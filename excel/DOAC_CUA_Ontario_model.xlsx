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esults" sheetId="3" state="visible" r:id="rId5"/>
    <sheet name="Validation" sheetId="4" state="visible" r:id="rId6"/>
    <sheet name="Scenarios_PSA" sheetId="5" state="visible" r:id="rId7"/>
    <sheet name="CMA" sheetId="6" state="visible" r:id="rId8"/>
    <sheet name="BIA" sheetId="7" state="visible" r:id="rId9"/>
    <sheet name="LifeTable" sheetId="8" state="visible" r:id="rId10"/>
    <sheet name="Apixaban" sheetId="9" state="visible" r:id="rId11"/>
    <sheet name="Warfarin" sheetId="10" state="visible" r:id="rId12"/>
  </sheets>
  <definedNames>
    <definedName function="false" hidden="false" name="af_prev" vbProcedure="false">BIA!$B$5</definedName>
    <definedName function="false" hidden="false" name="apx_price_tab" vbProcedure="false">Inputs!$C$16</definedName>
    <definedName function="false" hidden="false" name="cpi_2011" vbProcedure="false">Inputs!$C$12</definedName>
    <definedName function="false" hidden="false" name="cpi_2025" vbProcedure="false">Inputs!$C$13</definedName>
    <definedName function="false" hidden="false" name="c_apixaban" vbProcedure="false">Inputs!$C$19</definedName>
    <definedName function="false" hidden="false" name="c_apixaban_2011" vbProcedure="false">Inputs!$C$17</definedName>
    <definedName function="false" hidden="false" name="c_aspirin" vbProcedure="false">Inputs!$C$23</definedName>
    <definedName function="false" hidden="false" name="c_ich" vbProcedure="false">Inputs!$C$76</definedName>
    <definedName function="false" hidden="false" name="c_ich_2011" vbProcedure="false">Inputs!$C$75</definedName>
    <definedName function="false" hidden="false" name="c_inr" vbProcedure="false">Inputs!$C$22</definedName>
    <definedName function="false" hidden="false" name="c_inr_2011" vbProcedure="false">Inputs!$C$21</definedName>
    <definedName function="false" hidden="false" name="c_lt_major_stroke" vbProcedure="false">Inputs!$C$86</definedName>
    <definedName function="false" hidden="false" name="c_lt_major_stroke_2011" vbProcedure="false">Inputs!$C$85</definedName>
    <definedName function="false" hidden="false" name="c_lt_minor_stroke" vbProcedure="false">Inputs!$C$88</definedName>
    <definedName function="false" hidden="false" name="c_lt_minor_stroke_2011" vbProcedure="false">Inputs!$C$87</definedName>
    <definedName function="false" hidden="false" name="c_major_bleed" vbProcedure="false">Inputs!$C$78</definedName>
    <definedName function="false" hidden="false" name="c_major_bleed_2011" vbProcedure="false">Inputs!$C$77</definedName>
    <definedName function="false" hidden="false" name="c_minor_bleed" vbProcedure="false">Inputs!$C$80</definedName>
    <definedName function="false" hidden="false" name="c_minor_bleed_2011" vbProcedure="false">Inputs!$C$79</definedName>
    <definedName function="false" hidden="false" name="c_mi_fatal" vbProcedure="false">Inputs!$C$82</definedName>
    <definedName function="false" hidden="false" name="c_mi_fatal_2011" vbProcedure="false">Inputs!$C$81</definedName>
    <definedName function="false" hidden="false" name="c_mi_nonfatal" vbProcedure="false">Inputs!$C$84</definedName>
    <definedName function="false" hidden="false" name="c_mi_nonfatal_2011" vbProcedure="false">Inputs!$C$83</definedName>
    <definedName function="false" hidden="false" name="c_stroke_fatal" vbProcedure="false">Inputs!$C$68</definedName>
    <definedName function="false" hidden="false" name="c_stroke_fatal_2011" vbProcedure="false">Inputs!$C$67</definedName>
    <definedName function="false" hidden="false" name="c_stroke_major" vbProcedure="false">Inputs!$C$72</definedName>
    <definedName function="false" hidden="false" name="c_stroke_major_2011" vbProcedure="false">Inputs!$C$71</definedName>
    <definedName function="false" hidden="false" name="c_stroke_minor" vbProcedure="false">Inputs!$C$70</definedName>
    <definedName function="false" hidden="false" name="c_stroke_minor_2011" vbProcedure="false">Inputs!$C$69</definedName>
    <definedName function="false" hidden="false" name="c_tia" vbProcedure="false">Inputs!$C$74</definedName>
    <definedName function="false" hidden="false" name="c_tia_2011" vbProcedure="false">Inputs!$C$73</definedName>
    <definedName function="false" hidden="false" name="c_warfarin" vbProcedure="false">Inputs!$C$20</definedName>
    <definedName function="false" hidden="false" name="days_yr" vbProcedure="false">Inputs!$C$18</definedName>
    <definedName function="false" hidden="false" name="dec_major_bleed" vbProcedure="false">Inputs!$C$63</definedName>
    <definedName function="false" hidden="false" name="dec_mi" vbProcedure="false">Inputs!$C$62</definedName>
    <definedName function="false" hidden="false" name="dec_minor_bleed" vbProcedure="false">Inputs!$C$64</definedName>
    <definedName function="false" hidden="false" name="dec_per_year_over_70" vbProcedure="false">Inputs!$C$61</definedName>
    <definedName function="false" hidden="false" name="dec_tia" vbProcedure="false">Inputs!$C$65</definedName>
    <definedName function="false" hidden="false" name="disc_rate" vbProcedure="false">Inputs!$C$6</definedName>
    <definedName function="false" hidden="false" name="dt" vbProcedure="false">Inputs!$C$5</definedName>
    <definedName function="false" hidden="false" name="f_bleed_fatal" vbProcedure="false">Inputs!$C$38</definedName>
    <definedName function="false" hidden="false" name="f_mi_fatal" vbProcedure="false">Inputs!$C$39</definedName>
    <definedName function="false" hidden="false" name="f_stroke_fatal" vbProcedure="false">Inputs!$C$35</definedName>
    <definedName function="false" hidden="false" name="f_stroke_fatal_recur" vbProcedure="false">Inputs!$C$96</definedName>
    <definedName function="false" hidden="false" name="f_stroke_major" vbProcedure="false">Inputs!$C$36</definedName>
    <definedName function="false" hidden="false" name="gomp_int" vbProcedure="false">LifeTable!$F$3</definedName>
    <definedName function="false" hidden="false" name="gomp_slope" vbProcedure="false">LifeTable!$F$2</definedName>
    <definedName function="false" hidden="false" name="hr_death_prior_stroke" vbProcedure="false">Inputs!$C$26</definedName>
    <definedName function="false" hidden="false" name="hr_recur_fatal" vbProcedure="false">Inputs!$C$37</definedName>
    <definedName function="false" hidden="false" name="hs_diff_y1" vbProcedure="false">Results!$D$28</definedName>
    <definedName function="false" hidden="false" name="hs_diff_y2" vbProcedure="false">Results!$D$29</definedName>
    <definedName function="false" hidden="false" name="hs_diff_y3" vbProcedure="false">Results!$D$30</definedName>
    <definedName function="false" hidden="false" name="inflate" vbProcedure="false">Inputs!$C$14</definedName>
    <definedName function="false" hidden="false" name="or_apx_ich" vbProcedure="false">Inputs!$C$46</definedName>
    <definedName function="false" hidden="false" name="or_apx_mb" vbProcedure="false">Inputs!$C$47</definedName>
    <definedName function="false" hidden="false" name="or_apx_mi" vbProcedure="false">Inputs!$C$45</definedName>
    <definedName function="false" hidden="false" name="or_apx_stroke" vbProcedure="false">Inputs!$C$44</definedName>
    <definedName function="false" hidden="false" name="pop_65" vbProcedure="false">BIA!$B$4</definedName>
    <definedName function="false" hidden="false" name="p_ich" vbProcedure="false">Inputs!$C$30</definedName>
    <definedName function="false" hidden="false" name="p_major_bleed" vbProcedure="false">Inputs!$C$31</definedName>
    <definedName function="false" hidden="false" name="p_mi" vbProcedure="false">Inputs!$C$33</definedName>
    <definedName function="false" hidden="false" name="p_minor_bleed" vbProcedure="false">Inputs!$C$32</definedName>
    <definedName function="false" hidden="false" name="p_nonvasc_death" vbProcedure="false">Inputs!$C$25</definedName>
    <definedName function="false" hidden="false" name="p_rankin_5" vbProcedure="false">Inputs!$C$60</definedName>
    <definedName function="false" hidden="false" name="p_stroke" vbProcedure="false">Inputs!$C$28</definedName>
    <definedName function="false" hidden="false" name="p_tia" vbProcedure="false">Inputs!$C$29</definedName>
    <definedName function="false" hidden="false" name="qx_ref" vbProcedure="false">LifeTable!$F$4</definedName>
    <definedName function="false" hidden="false" name="ref_age" vbProcedure="false">Inputs!$C$4</definedName>
    <definedName function="false" hidden="false" name="rr_asa_ich" vbProcedure="false">Inputs!$C$51</definedName>
    <definedName function="false" hidden="false" name="rr_asa_mb" vbProcedure="false">Inputs!$C$53</definedName>
    <definedName function="false" hidden="false" name="rr_asa_mi" vbProcedure="false">Inputs!$C$50</definedName>
    <definedName function="false" hidden="false" name="rr_asa_minor" vbProcedure="false">Inputs!$C$52</definedName>
    <definedName function="false" hidden="false" name="rr_asa_stroke" vbProcedure="false">Inputs!$C$49</definedName>
    <definedName function="false" hidden="false" name="rr_asa_tia" vbProcedure="false">Inputs!$C$54</definedName>
    <definedName function="false" hidden="false" name="rr_stroke_per_decade" vbProcedure="false">Inputs!$C$41</definedName>
    <definedName function="false" hidden="false" name="rr_stroke_prior" vbProcedure="false">Inputs!$C$42</definedName>
    <definedName function="false" hidden="false" name="r_ich" vbProcedure="false">Inputs!$C$92</definedName>
    <definedName function="false" hidden="false" name="r_mb" vbProcedure="false">Inputs!$C$93</definedName>
    <definedName function="false" hidden="false" name="r_mi" vbProcedure="false">Inputs!$C$95</definedName>
    <definedName function="false" hidden="false" name="r_minor" vbProcedure="false">Inputs!$C$94</definedName>
    <definedName function="false" hidden="false" name="r_stroke" vbProcedure="false">Inputs!$C$90</definedName>
    <definedName function="false" hidden="false" name="r_tia" vbProcedure="false">Inputs!$C$91</definedName>
    <definedName function="false" hidden="false" name="share_oac" vbProcedure="false">BIA!$B$6</definedName>
    <definedName function="false" hidden="false" name="share_warf" vbProcedure="false">BIA!$B$7</definedName>
    <definedName function="false" hidden="false" name="start_age" vbProcedure="false">Inputs!$C$3</definedName>
    <definedName function="false" hidden="false" name="uptake_y1" vbProcedure="false">BIA!$B$8</definedName>
    <definedName function="false" hidden="false" name="uptake_y2" vbProcedure="false">BIA!$B$9</definedName>
    <definedName function="false" hidden="false" name="uptake_y3" vbProcedure="false">BIA!$B$10</definedName>
    <definedName function="false" hidden="false" name="u_af" vbProcedure="false">Inputs!$C$56</definedName>
    <definedName function="false" hidden="false" name="u_major_stroke" vbProcedure="false">Inputs!$C$97</definedName>
    <definedName function="false" hidden="false" name="u_minor_stroke" vbProcedure="false">Inputs!$C$57</definedName>
    <definedName function="false" hidden="false" name="u_rankin_3_4" vbProcedure="false">Inputs!$C$58</definedName>
    <definedName function="false" hidden="false" name="u_rankin_5" vbProcedure="false">Inputs!$C$59</definedName>
    <definedName function="false" hidden="false" name="val_mode" vbProcedure="false">Inputs!$C$10</definedName>
    <definedName function="false" hidden="false" name="wane_decay" vbProcedure="false">Inputs!$C$9</definedName>
    <definedName function="false" hidden="false" name="wane_start" vbProcedure="false">Inputs!$C$8</definedName>
    <definedName function="false" hidden="false" name="wtp" vbProcedure="false">Inputs!$C$7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<sst xmlns="http://schemas.openxmlformats.org/spreadsheetml/2006/main" count="852" uniqueCount="568">
  <si>
    <t xml:space="preserve">Generic apixaban vs warfarin for stroke prevention in non-valvular AF — cost-utility &amp; budget impact model</t>
  </si>
  <si>
    <t xml:space="preserve">Author: Daniel Pazos Cordero (portfolio project, October 2026). Not affiliated with or endorsed by CDA-AMC.</t>
  </si>
  <si>
    <t xml:space="preserve">PURPOSE</t>
  </si>
  <si>
    <t xml:space="preserve">Re-runs the CADTH 4th-edition guidelines worked example (DOACs vs warfarin, CHADS2 = 2) with 2026 Ontario generic apixaban prices,</t>
  </si>
  <si>
    <t xml:space="preserve">to ask whether generic entry changes the value proposition for public drug plans. Includes a 3-year Ontario budget impact analysis.</t>
  </si>
  <si>
    <t xml:space="preserve">COLOUR LEGEND</t>
  </si>
  <si>
    <t xml:space="preserve">Blue text = hard-coded input (sourced in the Inputs sheet).  Black text = formula.  Green text = link to another sheet.</t>
  </si>
  <si>
    <t xml:space="preserve">Yellow fill = key decision lever (drug price, perspective inputs, budget-impact assumptions). Change these to run your own scenarios.</t>
  </si>
  <si>
    <t xml:space="preserve">SHEETS</t>
  </si>
  <si>
    <t xml:space="preserve">Inputs — every parameter, base value, one-way range, PSA distribution and source. Each base value has a defined name used in formulas.</t>
  </si>
  <si>
    <t xml:space="preserve">LifeTable — Statistics Canada 2021-2023 anchors and the Gompertz fit used for age-specific background mortality.</t>
  </si>
  <si>
    <t xml:space="preserve">Apixaban / Warfarin — cohort Markov traces: 120 three-month cycles (age 70 to 100). Identical formulas; only the arm flag in cell B2 differs.</t>
  </si>
  <si>
    <t xml:space="preserve">Results — reference-case costs, QALYs, life-years, events, ICER, net monetary benefit, and price thresholds. All live.</t>
  </si>
  <si>
    <t xml:space="preserve">Validation — live checks (mass balance; Excel vs Python to the cent) and the CADTH worked-example reproduction (set val_mode = 1 on Inputs).</t>
  </si>
  <si>
    <t xml:space="preserve">Scenarios_PSA — scenario, one-way and probabilistic results from the Python notebooks, pasted as values (not formulas).</t>
  </si>
  <si>
    <t xml:space="preserve">CMA — cost comparison of the anticoagulant options at current ODB prices.</t>
  </si>
  <si>
    <t xml:space="preserve">BIA — Ontario public drug plan budget impact, years 1-3, with drug-plan and health-system perspectives. All live.</t>
  </si>
  <si>
    <t xml:space="preserve">MODEL CONVENTIONS</t>
  </si>
  <si>
    <t xml:space="preserve">Costs: 2025 CAD. Event and health-state costs from the CADTH worked example (2011 CAD) inflated with the all-items CPI (164.2 / 119.9).</t>
  </si>
  <si>
    <t xml:space="preserve">Drug prices: current ODB unit prices, not inflated. Dispensing fees and mark-ups excluded (CDA-AMC reference case).</t>
  </si>
  <si>
    <t xml:space="preserve">Perspective: publicly funded health care payer. Discounting: 1.5% per year on costs and QALYs. Lifetime horizon (to age 100).</t>
  </si>
  <si>
    <t xml:space="preserve">No IFERROR is used anywhere: any error in a cell is a real error. The 'Mass check' column on each trace sheet must equal 1 in every row.</t>
  </si>
  <si>
    <t xml:space="preserve">The probabilistic analysis (5,000 draws) is run in the Python replica because spreadsheet Monte Carlo is slow and hard to audit;</t>
  </si>
  <si>
    <t xml:space="preserve">the Excel deterministic results match Python to the cent (see Validation).</t>
  </si>
  <si>
    <t xml:space="preserve">Parameter</t>
  </si>
  <si>
    <t xml:space="preserve">Name (used in formulas)</t>
  </si>
  <si>
    <t xml:space="preserve">Base value</t>
  </si>
  <si>
    <t xml:space="preserve">Low (OWSA)</t>
  </si>
  <si>
    <t xml:space="preserve">High (OWSA)</t>
  </si>
  <si>
    <t xml:space="preserve">PSA distribution</t>
  </si>
  <si>
    <t xml:space="preserve">Source / note</t>
  </si>
  <si>
    <t xml:space="preserve">Model settings</t>
  </si>
  <si>
    <t xml:space="preserve">Start age (years)</t>
  </si>
  <si>
    <t xml:space="preserve">start_age</t>
  </si>
  <si>
    <t xml:space="preserve">CHADS2 = 2 cohort; CADTH worked example</t>
  </si>
  <si>
    <t xml:space="preserve">Reference age for trial-based rates</t>
  </si>
  <si>
    <t xml:space="preserve">ref_age</t>
  </si>
  <si>
    <t xml:space="preserve">Age at which RE-LY-based rates apply</t>
  </si>
  <si>
    <t xml:space="preserve">Cycle length (years)</t>
  </si>
  <si>
    <t xml:space="preserve">dt</t>
  </si>
  <si>
    <t xml:space="preserve">3-month cycles, as in CADTH worked example</t>
  </si>
  <si>
    <t xml:space="preserve">Discount rate (costs and QALYs)</t>
  </si>
  <si>
    <t xml:space="preserve">disc_rate</t>
  </si>
  <si>
    <t xml:space="preserve">CADTH 4th ed. reference case</t>
  </si>
  <si>
    <t xml:space="preserve">Willingness to pay ($/QALY)</t>
  </si>
  <si>
    <t xml:space="preserve">wtp</t>
  </si>
  <si>
    <t xml:space="preserve">Threshold used in CADTH worked example for NMB</t>
  </si>
  <si>
    <t xml:space="preserve">Apixaban effect waning: start (years)</t>
  </si>
  <si>
    <t xml:space="preserve">wane_start</t>
  </si>
  <si>
    <t xml:space="preserve">Scenario lever (CADTH worked example scenario)</t>
  </si>
  <si>
    <t xml:space="preserve">Apixaban effect waning: annual decay</t>
  </si>
  <si>
    <t xml:space="preserve">wane_decay</t>
  </si>
  <si>
    <t xml:space="preserve">0 = no waning (reference case); 0.05 = CADTH scenario</t>
  </si>
  <si>
    <t xml:space="preserve">Validation mode (1 = CADTH 2011 prices, 0 = 2025 reference case)</t>
  </si>
  <si>
    <t xml:space="preserve">val_mode</t>
  </si>
  <si>
    <t xml:space="preserve">Switch to 1 to reproduce the CADTH worked example at 2011 prices (see Validation sheet)</t>
  </si>
  <si>
    <t xml:space="preserve">Price year adjustment</t>
  </si>
  <si>
    <t xml:space="preserve">CPI 2011 (2002 = 100)</t>
  </si>
  <si>
    <t xml:space="preserve">cpi_2011</t>
  </si>
  <si>
    <t xml:space="preserve">Statistics Canada Table 18-10-0005-01</t>
  </si>
  <si>
    <t xml:space="preserve">CPI 2025 (2002 = 100)</t>
  </si>
  <si>
    <t xml:space="preserve">cpi_2025</t>
  </si>
  <si>
    <t xml:space="preserve">Statistics Canada Table 18-10-0005-01, annual average</t>
  </si>
  <si>
    <t xml:space="preserve">Inflator 2011 to 2025</t>
  </si>
  <si>
    <t xml:space="preserve">inflate</t>
  </si>
  <si>
    <t xml:space="preserve">Formula (= 1 in validation mode, i.e. costs stay in 2011 CAD)</t>
  </si>
  <si>
    <t xml:space="preserve">Drug prices (ODB, per tablet) and annual drug costs</t>
  </si>
  <si>
    <t xml:space="preserve">Apixaban 5 mg price per tablet</t>
  </si>
  <si>
    <t xml:space="preserve">apx_price_tab</t>
  </si>
  <si>
    <t xml:space="preserve">ODB Formulary, generic apixaban 5 mg, accessed Oct 2026. Brand Eliquis = $1.6336 (enter it here for the brand scenario).</t>
  </si>
  <si>
    <t xml:space="preserve">Apixaban annual cost in 2011 (validation mode only)</t>
  </si>
  <si>
    <t xml:space="preserve">c_apixaban_2011</t>
  </si>
  <si>
    <t xml:space="preserve">CADTH worked example, brand apixaban 2011 ODB price</t>
  </si>
  <si>
    <t xml:space="preserve">Days per year</t>
  </si>
  <si>
    <t xml:space="preserve">days_yr</t>
  </si>
  <si>
    <t xml:space="preserve">CDA-AMC convention for annualising daily drug costs</t>
  </si>
  <si>
    <t xml:space="preserve">Apixaban 5 mg BID, annual</t>
  </si>
  <si>
    <t xml:space="preserve">c_apixaban</t>
  </si>
  <si>
    <t xml:space="preserve">Formula</t>
  </si>
  <si>
    <t xml:space="preserve">Warfarin 5 mg daily, annual</t>
  </si>
  <si>
    <t xml:space="preserve">c_warfarin</t>
  </si>
  <si>
    <t xml:space="preserve">Fixed</t>
  </si>
  <si>
    <t xml:space="preserve">CADTH worked example (2011 ODB). Not inflated: generic prices have not tracked CPI. VERIFY against current ODB listing.</t>
  </si>
  <si>
    <t xml:space="preserve">INR monitoring, annual (warfarin only)</t>
  </si>
  <si>
    <t xml:space="preserve">c_inr_2011</t>
  </si>
  <si>
    <t xml:space="preserve">CADTH worked example (from HQO 2009), 2011 CAD</t>
  </si>
  <si>
    <t xml:space="preserve">INR monitoring, annual, 2025 CAD</t>
  </si>
  <si>
    <t xml:space="preserve">c_inr</t>
  </si>
  <si>
    <t xml:space="preserve">Formula: 2011 value x CPI inflator</t>
  </si>
  <si>
    <t xml:space="preserve">Aspirin, annual</t>
  </si>
  <si>
    <t xml:space="preserve">c_aspirin</t>
  </si>
  <si>
    <t xml:space="preserve">CADTH worked example (2011 ODB), not inflated</t>
  </si>
  <si>
    <t xml:space="preserve">Background mortality</t>
  </si>
  <si>
    <t xml:space="preserve">Non-vascular death at age 70 (annual)</t>
  </si>
  <si>
    <t xml:space="preserve">p_nonvasc_death</t>
  </si>
  <si>
    <t xml:space="preserve">Beta (mean = base, n = 11,794)</t>
  </si>
  <si>
    <t xml:space="preserve">RE-LY warfarin arm via CADTH worked example; scaled by age with the StatCan life-table gradient (LifeTable sheet)</t>
  </si>
  <si>
    <t xml:space="preserve">Mortality after stroke</t>
  </si>
  <si>
    <t xml:space="preserve">hr_death_prior_stroke</t>
  </si>
  <si>
    <t xml:space="preserve">Lognormal (95% CI 2.0-2.7)</t>
  </si>
  <si>
    <t xml:space="preserve">CADTH 2017 worked example, Table 1 (from Coyle et al. 2013)</t>
  </si>
  <si>
    <t xml:space="preserve">Baseline annual event probabilities on warfarin (CHADS2 = 2)</t>
  </si>
  <si>
    <t xml:space="preserve">Stroke rate on warfarin (annual)</t>
  </si>
  <si>
    <t xml:space="preserve">p_stroke</t>
  </si>
  <si>
    <t xml:space="preserve">TIA rate (annual)</t>
  </si>
  <si>
    <t xml:space="preserve">p_tia</t>
  </si>
  <si>
    <t xml:space="preserve">ICH rate on warfarin (annual)</t>
  </si>
  <si>
    <t xml:space="preserve">p_ich</t>
  </si>
  <si>
    <t xml:space="preserve">Major bleed rate on warfarin (annual)</t>
  </si>
  <si>
    <t xml:space="preserve">p_major_bleed</t>
  </si>
  <si>
    <t xml:space="preserve">Minor bleed rate (annual)</t>
  </si>
  <si>
    <t xml:space="preserve">p_minor_bleed</t>
  </si>
  <si>
    <t xml:space="preserve">MI rate (annual)</t>
  </si>
  <si>
    <t xml:space="preserve">p_mi</t>
  </si>
  <si>
    <t xml:space="preserve">Event outcomes</t>
  </si>
  <si>
    <t xml:space="preserve">Proportion of first strokes fatal</t>
  </si>
  <si>
    <t xml:space="preserve">f_stroke_fatal</t>
  </si>
  <si>
    <t xml:space="preserve">Beta (mean = base, n = 186)</t>
  </si>
  <si>
    <t xml:space="preserve">Proportion of non-fatal strokes major</t>
  </si>
  <si>
    <t xml:space="preserve">f_stroke_major</t>
  </si>
  <si>
    <t xml:space="preserve">Beta (mean = base, n = 117)</t>
  </si>
  <si>
    <t xml:space="preserve">Increase in fatality of recurrent stroke</t>
  </si>
  <si>
    <t xml:space="preserve">hr_recur_fatal</t>
  </si>
  <si>
    <t xml:space="preserve">Lognormal (95% CI 1.21-2.03)</t>
  </si>
  <si>
    <t xml:space="preserve">Proportion of major bleeds / ICH fatal</t>
  </si>
  <si>
    <t xml:space="preserve">f_bleed_fatal</t>
  </si>
  <si>
    <t xml:space="preserve">Beta (mean = base, n = 476)</t>
  </si>
  <si>
    <t xml:space="preserve">Proportion of MIs fatal</t>
  </si>
  <si>
    <t xml:space="preserve">f_mi_fatal</t>
  </si>
  <si>
    <t xml:space="preserve">Beta (mean = base, n = 66)</t>
  </si>
  <si>
    <t xml:space="preserve">Risk modifiers</t>
  </si>
  <si>
    <t xml:space="preserve">Stroke risk per 10 years of age</t>
  </si>
  <si>
    <t xml:space="preserve">rr_stroke_per_decade</t>
  </si>
  <si>
    <t xml:space="preserve">Lognormal (95% CI 1.3-1.7)</t>
  </si>
  <si>
    <t xml:space="preserve">Stroke risk after prior stroke/ICH</t>
  </si>
  <si>
    <t xml:space="preserve">rr_stroke_prior</t>
  </si>
  <si>
    <t xml:space="preserve">Lognormal (95% CI 0.78-6.35)</t>
  </si>
  <si>
    <t xml:space="preserve">Apixaban vs warfarin — odds ratios (CADTH NMA)</t>
  </si>
  <si>
    <t xml:space="preserve">Apixaban OR: stroke</t>
  </si>
  <si>
    <t xml:space="preserve">or_apx_stroke</t>
  </si>
  <si>
    <t xml:space="preserve">Lognormal (95% CI 0.65-0.95)</t>
  </si>
  <si>
    <t xml:space="preserve">Apixaban OR: MI</t>
  </si>
  <si>
    <t xml:space="preserve">or_apx_mi</t>
  </si>
  <si>
    <t xml:space="preserve">Lognormal (95% CI 0.66-1.17)</t>
  </si>
  <si>
    <t xml:space="preserve">Apixaban OR: ICH</t>
  </si>
  <si>
    <t xml:space="preserve">or_apx_ich</t>
  </si>
  <si>
    <t xml:space="preserve">Lognormal (95% CI 0.3-0.58)</t>
  </si>
  <si>
    <t xml:space="preserve">Apixaban OR: major bleed</t>
  </si>
  <si>
    <t xml:space="preserve">or_apx_mb</t>
  </si>
  <si>
    <t xml:space="preserve">Lognormal (95% CI 0.68-0.94)</t>
  </si>
  <si>
    <t xml:space="preserve">Aspirin vs warfarin — relative risks (after stroke, ICH or major bleed)</t>
  </si>
  <si>
    <t xml:space="preserve">Aspirin RR: stroke</t>
  </si>
  <si>
    <t xml:space="preserve">rr_asa_stroke</t>
  </si>
  <si>
    <t xml:space="preserve">Lognormal (95% CI 0.99-2.65)</t>
  </si>
  <si>
    <t xml:space="preserve">Aspirin RR: MI</t>
  </si>
  <si>
    <t xml:space="preserve">rr_asa_mi</t>
  </si>
  <si>
    <t xml:space="preserve">Lognormal (95% CI 0.84-2.39)</t>
  </si>
  <si>
    <t xml:space="preserve">Aspirin RR: ICH</t>
  </si>
  <si>
    <t xml:space="preserve">rr_asa_ich</t>
  </si>
  <si>
    <t xml:space="preserve">Lognormal (95% CI 0.16-1.6)</t>
  </si>
  <si>
    <t xml:space="preserve">Aspirin RR: minor bleed</t>
  </si>
  <si>
    <t xml:space="preserve">rr_asa_minor</t>
  </si>
  <si>
    <t xml:space="preserve">Lognormal (95% CI 0.32-1.22)</t>
  </si>
  <si>
    <t xml:space="preserve">Aspirin RR: major bleed</t>
  </si>
  <si>
    <t xml:space="preserve">rr_asa_mb</t>
  </si>
  <si>
    <t xml:space="preserve">Lognormal (95% CI 0.47-2.73)</t>
  </si>
  <si>
    <t xml:space="preserve">Aspirin RR: TIA</t>
  </si>
  <si>
    <t xml:space="preserve">rr_asa_tia</t>
  </si>
  <si>
    <t xml:space="preserve">Lognormal (95% CI 0.86-2.83)</t>
  </si>
  <si>
    <t xml:space="preserve">Utilities (annual) and decrements</t>
  </si>
  <si>
    <t xml:space="preserve">Utility: AF, no prior event</t>
  </si>
  <si>
    <t xml:space="preserve">u_af</t>
  </si>
  <si>
    <t xml:space="preserve">Beta (mean = base, n = 42)</t>
  </si>
  <si>
    <t xml:space="preserve">Utility: after minor stroke / ICH</t>
  </si>
  <si>
    <t xml:space="preserve">u_minor_stroke</t>
  </si>
  <si>
    <t xml:space="preserve">Beta (mean = base, n = 116)</t>
  </si>
  <si>
    <t xml:space="preserve">Utility: major stroke, Rankin 3-4</t>
  </si>
  <si>
    <t xml:space="preserve">u_rankin_3_4</t>
  </si>
  <si>
    <t xml:space="preserve">Beta (mean = base, n = 179)</t>
  </si>
  <si>
    <t xml:space="preserve">Utility: major stroke, Rankin 5</t>
  </si>
  <si>
    <t xml:space="preserve">u_rankin_5</t>
  </si>
  <si>
    <t xml:space="preserve">Beta (mean = base, n = 172)</t>
  </si>
  <si>
    <t xml:space="preserve">Share of major strokes at Rankin 5</t>
  </si>
  <si>
    <t xml:space="preserve">p_rankin_5</t>
  </si>
  <si>
    <t xml:space="preserve">Beta (mean = base, n = 47)</t>
  </si>
  <si>
    <t xml:space="preserve">Utility loss per year over 70</t>
  </si>
  <si>
    <t xml:space="preserve">dec_per_year_over_70</t>
  </si>
  <si>
    <t xml:space="preserve">Normal (SE 2e-05)</t>
  </si>
  <si>
    <t xml:space="preserve">Disutility: MI</t>
  </si>
  <si>
    <t xml:space="preserve">dec_mi</t>
  </si>
  <si>
    <t xml:space="preserve">Normal (SE 0.009)</t>
  </si>
  <si>
    <t xml:space="preserve">Disutility: major bleed</t>
  </si>
  <si>
    <t xml:space="preserve">dec_major_bleed</t>
  </si>
  <si>
    <t xml:space="preserve">Normal (SE 0.01)</t>
  </si>
  <si>
    <t xml:space="preserve">Disutility: minor bleed</t>
  </si>
  <si>
    <t xml:space="preserve">dec_minor_bleed</t>
  </si>
  <si>
    <t xml:space="preserve">Normal (SE 0.001)</t>
  </si>
  <si>
    <t xml:space="preserve">Disutility: TIA</t>
  </si>
  <si>
    <t xml:space="preserve">dec_tia</t>
  </si>
  <si>
    <t xml:space="preserve">Normal (SE 0.008)</t>
  </si>
  <si>
    <t xml:space="preserve">Clinical event costs (one-off) and long-term annual costs — entered in 2011 CAD, inflated by formula</t>
  </si>
  <si>
    <t xml:space="preserve">Cost: fatal stroke (2011 CAD)</t>
  </si>
  <si>
    <t xml:space="preserve">c_stroke_fatal_2011</t>
  </si>
  <si>
    <t xml:space="preserve">Cost: fatal stroke (2025 CAD)</t>
  </si>
  <si>
    <t xml:space="preserve">c_stroke_fatal</t>
  </si>
  <si>
    <t xml:space="preserve">Gamma (CV 25%)</t>
  </si>
  <si>
    <t xml:space="preserve">Cost: minor stroke (2011 CAD)</t>
  </si>
  <si>
    <t xml:space="preserve">c_stroke_minor_2011</t>
  </si>
  <si>
    <t xml:space="preserve">Cost: minor stroke (2025 CAD)</t>
  </si>
  <si>
    <t xml:space="preserve">c_stroke_minor</t>
  </si>
  <si>
    <t xml:space="preserve">Cost: major stroke (acute) (2011 CAD)</t>
  </si>
  <si>
    <t xml:space="preserve">c_stroke_major_2011</t>
  </si>
  <si>
    <t xml:space="preserve">Cost: major stroke (acute) (2025 CAD)</t>
  </si>
  <si>
    <t xml:space="preserve">c_stroke_major</t>
  </si>
  <si>
    <t xml:space="preserve">Cost: TIA (2011 CAD)</t>
  </si>
  <si>
    <t xml:space="preserve">c_tia_2011</t>
  </si>
  <si>
    <t xml:space="preserve">Cost: TIA (2025 CAD)</t>
  </si>
  <si>
    <t xml:space="preserve">c_tia</t>
  </si>
  <si>
    <t xml:space="preserve">Cost: ICH (2011 CAD)</t>
  </si>
  <si>
    <t xml:space="preserve">c_ich_2011</t>
  </si>
  <si>
    <t xml:space="preserve">Cost: ICH (2025 CAD)</t>
  </si>
  <si>
    <t xml:space="preserve">c_ich</t>
  </si>
  <si>
    <t xml:space="preserve">Cost: major bleed (2011 CAD)</t>
  </si>
  <si>
    <t xml:space="preserve">c_major_bleed_2011</t>
  </si>
  <si>
    <t xml:space="preserve">Cost: major bleed (2025 CAD)</t>
  </si>
  <si>
    <t xml:space="preserve">c_major_bleed</t>
  </si>
  <si>
    <t xml:space="preserve">Cost: minor bleed (2011 CAD)</t>
  </si>
  <si>
    <t xml:space="preserve">c_minor_bleed_2011</t>
  </si>
  <si>
    <t xml:space="preserve">Cost: minor bleed (2025 CAD)</t>
  </si>
  <si>
    <t xml:space="preserve">c_minor_bleed</t>
  </si>
  <si>
    <t xml:space="preserve">Cost: fatal MI (2011 CAD)</t>
  </si>
  <si>
    <t xml:space="preserve">c_mi_fatal_2011</t>
  </si>
  <si>
    <t xml:space="preserve">Cost: fatal MI (2025 CAD)</t>
  </si>
  <si>
    <t xml:space="preserve">c_mi_fatal</t>
  </si>
  <si>
    <t xml:space="preserve">Cost: non-fatal MI (2011 CAD)</t>
  </si>
  <si>
    <t xml:space="preserve">c_mi_nonfatal_2011</t>
  </si>
  <si>
    <t xml:space="preserve">Cost: non-fatal MI (2025 CAD)</t>
  </si>
  <si>
    <t xml:space="preserve">c_mi_nonfatal</t>
  </si>
  <si>
    <t xml:space="preserve">Annual cost: after major stroke (2011 CAD)</t>
  </si>
  <si>
    <t xml:space="preserve">c_lt_major_stroke_2011</t>
  </si>
  <si>
    <t xml:space="preserve">Annual cost: after major stroke (2025 CAD)</t>
  </si>
  <si>
    <t xml:space="preserve">c_lt_major_stroke</t>
  </si>
  <si>
    <t xml:space="preserve">Annual cost: after minor stroke / ICH (2011 CAD)</t>
  </si>
  <si>
    <t xml:space="preserve">c_lt_minor_stroke_2011</t>
  </si>
  <si>
    <t xml:space="preserve">Annual cost: after minor stroke / ICH (2025 CAD)</t>
  </si>
  <si>
    <t xml:space="preserve">c_lt_minor_stroke</t>
  </si>
  <si>
    <t xml:space="preserve">Derived quantities (formulas — do not edit)</t>
  </si>
  <si>
    <t xml:space="preserve">Annual rate: stroke</t>
  </si>
  <si>
    <t xml:space="preserve">r_stroke</t>
  </si>
  <si>
    <t xml:space="preserve">Annual rate: TIA</t>
  </si>
  <si>
    <t xml:space="preserve">r_tia</t>
  </si>
  <si>
    <t xml:space="preserve">Annual rate: ICH</t>
  </si>
  <si>
    <t xml:space="preserve">r_ich</t>
  </si>
  <si>
    <t xml:space="preserve">Annual rate: major bleed</t>
  </si>
  <si>
    <t xml:space="preserve">r_mb</t>
  </si>
  <si>
    <t xml:space="preserve">Annual rate: minor bleed</t>
  </si>
  <si>
    <t xml:space="preserve">r_minor</t>
  </si>
  <si>
    <t xml:space="preserve">Annual rate: MI</t>
  </si>
  <si>
    <t xml:space="preserve">r_mi</t>
  </si>
  <si>
    <t xml:space="preserve">Fatality of recurrent stroke</t>
  </si>
  <si>
    <t xml:space="preserve">f_stroke_fatal_recur</t>
  </si>
  <si>
    <t xml:space="preserve">Utility: post major stroke (Rankin mix)</t>
  </si>
  <si>
    <t xml:space="preserve">u_major_stroke</t>
  </si>
  <si>
    <t xml:space="preserve">Reference-case results — generic apixaban vs warfarin, CHADS2 = 2, age 70, lifetime, 2025 CAD</t>
  </si>
  <si>
    <t xml:space="preserve">Outcome (per patient)</t>
  </si>
  <si>
    <t xml:space="preserve">Apixaban (generic)</t>
  </si>
  <si>
    <t xml:space="preserve">Warfarin</t>
  </si>
  <si>
    <t xml:space="preserve">Incremental</t>
  </si>
  <si>
    <t xml:space="preserve">Total cost (discounted)</t>
  </si>
  <si>
    <t xml:space="preserve">   Drug and monitoring costs</t>
  </si>
  <si>
    <t xml:space="preserve">   Clinical event costs</t>
  </si>
  <si>
    <t xml:space="preserve">   Long-term post-event costs</t>
  </si>
  <si>
    <t xml:space="preserve">QALYs (discounted)</t>
  </si>
  <si>
    <t xml:space="preserve">Life-years (discounted)</t>
  </si>
  <si>
    <t xml:space="preserve">Total cost (undiscounted)</t>
  </si>
  <si>
    <t xml:space="preserve">QALYs (undiscounted)</t>
  </si>
  <si>
    <t xml:space="preserve">Life-years (undiscounted)</t>
  </si>
  <si>
    <t xml:space="preserve">Strokes per 1,000 patients</t>
  </si>
  <si>
    <t xml:space="preserve">Intracranial haemorrhages per 1,000</t>
  </si>
  <si>
    <t xml:space="preserve">Major bleeds per 1,000</t>
  </si>
  <si>
    <t xml:space="preserve">ICER ($ per QALY gained)</t>
  </si>
  <si>
    <t xml:space="preserve">Incremental net monetary benefit at WTP</t>
  </si>
  <si>
    <t xml:space="preserve">Price threshold analysis (apixaban 5 mg, per tablet)</t>
  </si>
  <si>
    <t xml:space="preserve">Current ODB price per tablet</t>
  </si>
  <si>
    <t xml:space="preserve">Discounted years on anticoagulant (apixaban arm)</t>
  </si>
  <si>
    <t xml:space="preserve">Price at which apixaban is cost-neutral vs warfarin</t>
  </si>
  <si>
    <t xml:space="preserve">Price at which ICER = WTP</t>
  </si>
  <si>
    <t xml:space="preserve">Note: incremental cost is linear in the apixaban price, so these thresholds are exact.</t>
  </si>
  <si>
    <t xml:space="preserve">Per-patient undiscounted total cost by year (feeds BIA)</t>
  </si>
  <si>
    <t xml:space="preserve">Year 1</t>
  </si>
  <si>
    <t xml:space="preserve">Year 2</t>
  </si>
  <si>
    <t xml:space="preserve">Year 3</t>
  </si>
  <si>
    <t xml:space="preserve">Validation</t>
  </si>
  <si>
    <t xml:space="preserve">Status cells read PASS or CHECK. No IFERROR is used anywhere, so any error value that appears is a genuine error.</t>
  </si>
  <si>
    <t xml:space="preserve">A. Mass balance (each cycle's state occupancy must sum to 1)</t>
  </si>
  <si>
    <t xml:space="preserve">Minimum</t>
  </si>
  <si>
    <t xml:space="preserve">Maximum</t>
  </si>
  <si>
    <t xml:space="preserve">Status</t>
  </si>
  <si>
    <t xml:space="preserve">Apixaban sheet</t>
  </si>
  <si>
    <t xml:space="preserve">Warfarin sheet</t>
  </si>
  <si>
    <t xml:space="preserve">B. Excel vs Python (expected values switch with val_mode)</t>
  </si>
  <si>
    <t xml:space="preserve">Excel (live)</t>
  </si>
  <si>
    <t xml:space="preserve">Python</t>
  </si>
  <si>
    <t xml:space="preserve">Difference</t>
  </si>
  <si>
    <t xml:space="preserve">Apixaban: total cost (discounted)</t>
  </si>
  <si>
    <t xml:space="preserve">Warfarin: total cost (discounted)</t>
  </si>
  <si>
    <t xml:space="preserve">Apixaban: QALYs (discounted)</t>
  </si>
  <si>
    <t xml:space="preserve">Warfarin: QALYs (discounted)</t>
  </si>
  <si>
    <t xml:space="preserve">Apixaban: life-years (discounted)</t>
  </si>
  <si>
    <t xml:space="preserve">Warfarin: life-years (discounted)</t>
  </si>
  <si>
    <t xml:space="preserve">Apixaban: strokes per 1,000</t>
  </si>
  <si>
    <t xml:space="preserve">Warfarin: strokes per 1,000</t>
  </si>
  <si>
    <t xml:space="preserve">Incremental cost</t>
  </si>
  <si>
    <t xml:space="preserve">Incremental QALYs</t>
  </si>
  <si>
    <t xml:space="preserve">Incremental net monetary benefit</t>
  </si>
  <si>
    <t xml:space="preserve">Python values are hard-coded from the notebooks (reference case and the 2011-price run). They only match while every other input is at its base value.</t>
  </si>
  <si>
    <t xml:space="preserve">C. Reproducing the CADTH worked example (set val_mode = 1)</t>
  </si>
  <si>
    <t xml:space="preserve">CADTH (2017)</t>
  </si>
  <si>
    <t xml:space="preserve">This model (Python)</t>
  </si>
  <si>
    <t xml:space="preserve">Difference vs CADTH</t>
  </si>
  <si>
    <t xml:space="preserve">Warfarin: total cost</t>
  </si>
  <si>
    <t xml:space="preserve">Warfarin: QALYs</t>
  </si>
  <si>
    <t xml:space="preserve">Warfarin: life-years</t>
  </si>
  <si>
    <t xml:space="preserve">Apixaban: total cost</t>
  </si>
  <si>
    <t xml:space="preserve">Apixaban: QALYs</t>
  </si>
  <si>
    <t xml:space="preserve">Apixaban: life-years</t>
  </si>
  <si>
    <t xml:space="preserve">ICER ($ per QALY)</t>
  </si>
  <si>
    <t xml:space="preserve">CADTH values: Guidelines for the Economic Evaluation of Health Technologies: Canada, 4th ed., worked example, CHADS2 = 2 (probabilistic means).</t>
  </si>
  <si>
    <t xml:space="preserve">Costs, life-years and incremental cost reproduce within 2%. Incremental QALYs are 31% higher than CADTH's (ICER 25% lower), so this</t>
  </si>
  <si>
    <t xml:space="preserve">simplified 5-state model is somewhat favourable to apixaban; the pessimistic treatment-effect scenarios (Scenarios_PSA) address this.</t>
  </si>
  <si>
    <t xml:space="preserve">D. Internal checks run in Python (all passed): utilities = 1 gives QALYs = life-years; apixaban ORs = 1 with equal drug cost gives identical</t>
  </si>
  <si>
    <t xml:space="preserve">arms; lower stroke OR raises QALYs monotonically; a higher discount rate lowers discounted QALYs.</t>
  </si>
  <si>
    <t xml:space="preserve">Uncertainty analyses: values from the Python notebooks (not live formulas)</t>
  </si>
  <si>
    <t xml:space="preserve">Re-run the notebooks (05 PSA, 06 sensitivity) to regenerate. Single scenarios can also be reproduced live by changing Inputs.</t>
  </si>
  <si>
    <t xml:space="preserve">Scenario</t>
  </si>
  <si>
    <t xml:space="preserve">Result</t>
  </si>
  <si>
    <t xml:space="preserve">INMB at $50,000/QALY</t>
  </si>
  <si>
    <t xml:space="preserve">Reference case (generic apixaban, 2026 ODB price)</t>
  </si>
  <si>
    <t xml:space="preserve">Dominant</t>
  </si>
  <si>
    <t xml:space="preserve">Brand apixaban price (Eliquis, ODB list)</t>
  </si>
  <si>
    <t xml:space="preserve">$5,419/QALY</t>
  </si>
  <si>
    <t xml:space="preserve">Discount rate 0%</t>
  </si>
  <si>
    <t xml:space="preserve">Discount rate 3%</t>
  </si>
  <si>
    <t xml:space="preserve">Time horizon 2 years (trial follow-up)</t>
  </si>
  <si>
    <t xml:space="preserve">Time horizon 10 years</t>
  </si>
  <si>
    <t xml:space="preserve">Apixaban effect wanes 5%/yr after year 2</t>
  </si>
  <si>
    <t xml:space="preserve">All apixaban ORs at upper 95% CI</t>
  </si>
  <si>
    <t xml:space="preserve">No INR monitoring cost for warfarin</t>
  </si>
  <si>
    <t xml:space="preserve">Cohort starts at age 80</t>
  </si>
  <si>
    <t xml:space="preserve">One-way sensitivity (all parameters, sorted by swing)</t>
  </si>
  <si>
    <t xml:space="preserve">Low value</t>
  </si>
  <si>
    <t xml:space="preserve">High value</t>
  </si>
  <si>
    <t xml:space="preserve">INMB at low</t>
  </si>
  <si>
    <t xml:space="preserve">INMB at high</t>
  </si>
  <si>
    <t xml:space="preserve">Swing</t>
  </si>
  <si>
    <t xml:space="preserve">Apixaban 5 mg BID, annual drug cost</t>
  </si>
  <si>
    <t xml:space="preserve">Annual cost: after minor stroke / ICH</t>
  </si>
  <si>
    <t xml:space="preserve">Warfarin 5 mg daily, annual drug cost</t>
  </si>
  <si>
    <t xml:space="preserve">Annual cost: after major stroke</t>
  </si>
  <si>
    <t xml:space="preserve">Cost: major stroke (acute)</t>
  </si>
  <si>
    <t xml:space="preserve">Cost: ICH</t>
  </si>
  <si>
    <t xml:space="preserve">Cost: minor stroke</t>
  </si>
  <si>
    <t xml:space="preserve">Cost: major bleed</t>
  </si>
  <si>
    <t xml:space="preserve">Cost: fatal stroke</t>
  </si>
  <si>
    <t xml:space="preserve">Cost: non-fatal MI</t>
  </si>
  <si>
    <t xml:space="preserve">Aspirin, annual drug cost</t>
  </si>
  <si>
    <t xml:space="preserve">Cost: minor bleed</t>
  </si>
  <si>
    <t xml:space="preserve">Cost: fatal MI</t>
  </si>
  <si>
    <t xml:space="preserve">Cost: TIA</t>
  </si>
  <si>
    <t xml:space="preserve">Probabilistic analysis (5,000 draws, seed 2026)</t>
  </si>
  <si>
    <t xml:space="preserve">Value</t>
  </si>
  <si>
    <t xml:space="preserve">Apixaban: expected cost</t>
  </si>
  <si>
    <t xml:space="preserve">Apixaban: expected QALYs</t>
  </si>
  <si>
    <t xml:space="preserve">Warfarin: expected cost</t>
  </si>
  <si>
    <t xml:space="preserve">Warfarin: expected QALYs</t>
  </si>
  <si>
    <t xml:space="preserve">Incremental cost (mean)</t>
  </si>
  <si>
    <t xml:space="preserve">Incremental cost, 2.5th percentile</t>
  </si>
  <si>
    <t xml:space="preserve">Incremental cost, 97.5th percentile</t>
  </si>
  <si>
    <t xml:space="preserve">Incremental QALYs (mean)</t>
  </si>
  <si>
    <t xml:space="preserve">Incremental QALYs, 2.5th percentile</t>
  </si>
  <si>
    <t xml:space="preserve">Incremental QALYs, 97.5th percentile</t>
  </si>
  <si>
    <t xml:space="preserve">Share of draws where apixaban is dominant</t>
  </si>
  <si>
    <t xml:space="preserve">Probability cost-effective at $50,000/QALY</t>
  </si>
  <si>
    <t xml:space="preserve">Cost comparison of oral anticoagulants at current Ontario Drug Benefit prices</t>
  </si>
  <si>
    <t xml:space="preserve">Regimen</t>
  </si>
  <si>
    <t xml:space="preserve">Dose / frequency</t>
  </si>
  <si>
    <t xml:space="preserve">Unit price (ODB)</t>
  </si>
  <si>
    <t xml:space="preserve">Units per day</t>
  </si>
  <si>
    <t xml:space="preserve">Daily cost</t>
  </si>
  <si>
    <t xml:space="preserve">Annual cost</t>
  </si>
  <si>
    <t xml:space="preserve">Source</t>
  </si>
  <si>
    <t xml:space="preserve">Apixaban 5 mg (generic)</t>
  </si>
  <si>
    <t xml:space="preserve">1 tablet twice daily</t>
  </si>
  <si>
    <t xml:space="preserve">ODB formulary, Oct 2026</t>
  </si>
  <si>
    <t xml:space="preserve">Edoxaban 60 mg (generic)</t>
  </si>
  <si>
    <t xml:space="preserve">1 tablet once daily</t>
  </si>
  <si>
    <t xml:space="preserve">ODB Formulary, generic edoxaban 60 mg, Oct 2026</t>
  </si>
  <si>
    <t xml:space="preserve">Apixaban 5 mg (Eliquis, brand)</t>
  </si>
  <si>
    <t xml:space="preserve">ODB Formulary, Oct 2026</t>
  </si>
  <si>
    <t xml:space="preserve">Warfarin 5 mg + INR monitoring</t>
  </si>
  <si>
    <t xml:space="preserve">Daily, plus INR tests</t>
  </si>
  <si>
    <t xml:space="preserve">CADTH worked example (warfarin 2011 ODB; INR inflated to 2025 CAD)</t>
  </si>
  <si>
    <t xml:space="preserve">Reading this table: a cost-minimization comparison is only valid between options judged to have similar clinical effects. Among DOACs that judgement belongs to the clinical review; versus warfarin, apixaban is NOT clinically equivalent (fewer strokes and ICH), which is why the main analysis is a cost-utility analysis.</t>
  </si>
  <si>
    <t xml:space="preserve">Rivaroxaban and dabigatran are omitted: their current ODB prices could not be verified when this model was built.</t>
  </si>
  <si>
    <t xml:space="preserve">Budget impact — switching residual warfarin users to generic apixaban, Ontario public drug programs, years 1-3</t>
  </si>
  <si>
    <t xml:space="preserve">Input</t>
  </si>
  <si>
    <t xml:space="preserve">Ontario population aged 65+</t>
  </si>
  <si>
    <t xml:space="preserve">Ontario Ministry of Finance population projections, 2025 (approx. 3.1 million)</t>
  </si>
  <si>
    <t xml:space="preserve">AF prevalence, age 65+</t>
  </si>
  <si>
    <t xml:space="preserve">Feinberg et al., Arch Intern Med 1995. ASSUMPTION that it applies to Ontario today</t>
  </si>
  <si>
    <t xml:space="preserve">Share of AF patients on an oral anticoagulant</t>
  </si>
  <si>
    <t xml:space="preserve">ASSUMPTION</t>
  </si>
  <si>
    <t xml:space="preserve">Share of anticoagulated patients still on warfarin</t>
  </si>
  <si>
    <t xml:space="preserve">ASSUMPTION. No current Ontario estimate found; most uncertain BIA input (try 5% and 30%)</t>
  </si>
  <si>
    <t xml:space="preserve">Uptake: share of warfarin users switched, year 1</t>
  </si>
  <si>
    <t xml:space="preserve">Uptake, year 2</t>
  </si>
  <si>
    <t xml:space="preserve">Uptake, year 3</t>
  </si>
  <si>
    <t xml:space="preserve">Eligible warfarin users (Ontario, 65+)</t>
  </si>
  <si>
    <t xml:space="preserve">Drug-plan cost difference per patient-year (apixaban − warfarin drug only)</t>
  </si>
  <si>
    <t xml:space="preserve">CDA-AMC BIA reference case: drug-plan perspective, drug acquisition cost only (no mark-up / dispensing fee)</t>
  </si>
  <si>
    <t xml:space="preserve">Year</t>
  </si>
  <si>
    <t xml:space="preserve">Patients switched</t>
  </si>
  <si>
    <t xml:space="preserve">Drug-plan impact</t>
  </si>
  <si>
    <t xml:space="preserve">Health-system impact (drugs, INR, events, long-term care)</t>
  </si>
  <si>
    <t xml:space="preserve">3-year total</t>
  </si>
  <si>
    <t xml:space="preserve">Health-system impact uses the per-patient cost difference in model years 1, 2 and 3 (Results sheet), i.e. it treats each year's switchers as starting therapy at age 70 — a simplification of a prevalent population.</t>
  </si>
  <si>
    <t xml:space="preserve">Age</t>
  </si>
  <si>
    <t xml:space="preserve">qx (StatCan 2021-2023)</t>
  </si>
  <si>
    <t xml:space="preserve">ln(qx)</t>
  </si>
  <si>
    <t xml:space="preserve">Gompertz fit</t>
  </si>
  <si>
    <t xml:space="preserve">Slope (per year of age)</t>
  </si>
  <si>
    <t xml:space="preserve">Intercept</t>
  </si>
  <si>
    <t xml:space="preserve">qx at reference age 70 (fitted)</t>
  </si>
  <si>
    <t xml:space="preserve">Source: Statistics Canada, Life tables, Canada, 2021-2023, complete life table (both sexes), Table 13-10-0114.</t>
  </si>
  <si>
    <t xml:space="preserve">Fitted qx at each age = EXP(intercept + slope x age); used only for its age GRADIENT relative to age 70.</t>
  </si>
  <si>
    <t xml:space="preserve">Fitted qx</t>
  </si>
  <si>
    <t xml:space="preserve">Model background death (annual)</t>
  </si>
  <si>
    <t xml:space="preserve">Apixaban arm — cohort Markov trace (120 x 3-month cycles)</t>
  </si>
  <si>
    <t xml:space="preserve">Arm flag (1 = apixaban, 0 = warfarin)</t>
  </si>
  <si>
    <t xml:space="preserve">Annual cost of the anticoagulant strategy (state 0)</t>
  </si>
  <si>
    <t xml:space="preserve">Columns grouped by state (S0 = AF on anticoagulant, S1 = post minor stroke/ICH, S2 = post major stroke, S3 = post major bleed, S4 = dead). Occupancy columns are start-of-cycle; 'New' columns feed the next row.</t>
  </si>
  <si>
    <t xml:space="preserve">Cycle</t>
  </si>
  <si>
    <t xml:space="preserve">Discount factor</t>
  </si>
  <si>
    <t xml:space="preserve">Apixaban effect multiplier (waning)</t>
  </si>
  <si>
    <t xml:space="preserve">Background death (annual)</t>
  </si>
  <si>
    <t xml:space="preserve">Stroke age factor</t>
  </si>
  <si>
    <t xml:space="preserve">Occupancy S0</t>
  </si>
  <si>
    <t xml:space="preserve">Occupancy S1</t>
  </si>
  <si>
    <t xml:space="preserve">Occupancy S2</t>
  </si>
  <si>
    <t xml:space="preserve">Occupancy S3</t>
  </si>
  <si>
    <t xml:space="preserve">Occupancy S4</t>
  </si>
  <si>
    <t xml:space="preserve">S0: p background death</t>
  </si>
  <si>
    <t xml:space="preserve">S0: survivors of background death</t>
  </si>
  <si>
    <t xml:space="preserve">S0: p stroke</t>
  </si>
  <si>
    <t xml:space="preserve">S0: p ich</t>
  </si>
  <si>
    <t xml:space="preserve">S0: p mb</t>
  </si>
  <si>
    <t xml:space="preserve">S0: p mi</t>
  </si>
  <si>
    <t xml:space="preserve">S0: p tia</t>
  </si>
  <si>
    <t xml:space="preserve">S0: p minor</t>
  </si>
  <si>
    <t xml:space="preserve">S0: n stroke</t>
  </si>
  <si>
    <t xml:space="preserve">S0: n ich</t>
  </si>
  <si>
    <t xml:space="preserve">S0: n mb</t>
  </si>
  <si>
    <t xml:space="preserve">S0: n mi</t>
  </si>
  <si>
    <t xml:space="preserve">S0: n tia</t>
  </si>
  <si>
    <t xml:space="preserve">S0: n minor</t>
  </si>
  <si>
    <t xml:space="preserve">S0: fatal strokes</t>
  </si>
  <si>
    <t xml:space="preserve">S0: non-fatal major strokes</t>
  </si>
  <si>
    <t xml:space="preserve">S0: non-fatal minor strokes</t>
  </si>
  <si>
    <t xml:space="preserve">S0: non-fatal ICH</t>
  </si>
  <si>
    <t xml:space="preserve">S0: non-fatal major bleeds</t>
  </si>
  <si>
    <t xml:space="preserve">S0: fatal MI</t>
  </si>
  <si>
    <t xml:space="preserve">S0: non-fatal MI</t>
  </si>
  <si>
    <t xml:space="preserve">S0: remain (no state-changing event)</t>
  </si>
  <si>
    <t xml:space="preserve">S0: event costs</t>
  </si>
  <si>
    <t xml:space="preserve">S0: event QALY loss</t>
  </si>
  <si>
    <t xml:space="preserve">S0: all deaths this cycle</t>
  </si>
  <si>
    <t xml:space="preserve">S1: p background death</t>
  </si>
  <si>
    <t xml:space="preserve">S1: survivors of background death</t>
  </si>
  <si>
    <t xml:space="preserve">S1: p stroke</t>
  </si>
  <si>
    <t xml:space="preserve">S1: p ich</t>
  </si>
  <si>
    <t xml:space="preserve">S1: p mb</t>
  </si>
  <si>
    <t xml:space="preserve">S1: p mi</t>
  </si>
  <si>
    <t xml:space="preserve">S1: p tia</t>
  </si>
  <si>
    <t xml:space="preserve">S1: p minor</t>
  </si>
  <si>
    <t xml:space="preserve">S1: n stroke</t>
  </si>
  <si>
    <t xml:space="preserve">S1: n ich</t>
  </si>
  <si>
    <t xml:space="preserve">S1: n mb</t>
  </si>
  <si>
    <t xml:space="preserve">S1: n mi</t>
  </si>
  <si>
    <t xml:space="preserve">S1: n tia</t>
  </si>
  <si>
    <t xml:space="preserve">S1: n minor</t>
  </si>
  <si>
    <t xml:space="preserve">S1: fatal strokes</t>
  </si>
  <si>
    <t xml:space="preserve">S1: non-fatal major strokes</t>
  </si>
  <si>
    <t xml:space="preserve">S1: non-fatal minor strokes</t>
  </si>
  <si>
    <t xml:space="preserve">S1: non-fatal ICH</t>
  </si>
  <si>
    <t xml:space="preserve">S1: non-fatal major bleeds</t>
  </si>
  <si>
    <t xml:space="preserve">S1: fatal MI</t>
  </si>
  <si>
    <t xml:space="preserve">S1: non-fatal MI</t>
  </si>
  <si>
    <t xml:space="preserve">S1: remain (no state-changing event)</t>
  </si>
  <si>
    <t xml:space="preserve">S1: event costs</t>
  </si>
  <si>
    <t xml:space="preserve">S1: event QALY loss</t>
  </si>
  <si>
    <t xml:space="preserve">S1: all deaths this cycle</t>
  </si>
  <si>
    <t xml:space="preserve">S2: p background death</t>
  </si>
  <si>
    <t xml:space="preserve">S2: survivors of background death</t>
  </si>
  <si>
    <t xml:space="preserve">S2: p stroke</t>
  </si>
  <si>
    <t xml:space="preserve">S2: p ich</t>
  </si>
  <si>
    <t xml:space="preserve">S2: p mb</t>
  </si>
  <si>
    <t xml:space="preserve">S2: p mi</t>
  </si>
  <si>
    <t xml:space="preserve">S2: p tia</t>
  </si>
  <si>
    <t xml:space="preserve">S2: p minor</t>
  </si>
  <si>
    <t xml:space="preserve">S2: n stroke</t>
  </si>
  <si>
    <t xml:space="preserve">S2: n ich</t>
  </si>
  <si>
    <t xml:space="preserve">S2: n mb</t>
  </si>
  <si>
    <t xml:space="preserve">S2: n mi</t>
  </si>
  <si>
    <t xml:space="preserve">S2: n tia</t>
  </si>
  <si>
    <t xml:space="preserve">S2: n minor</t>
  </si>
  <si>
    <t xml:space="preserve">S2: fatal strokes</t>
  </si>
  <si>
    <t xml:space="preserve">S2: non-fatal major strokes</t>
  </si>
  <si>
    <t xml:space="preserve">S2: non-fatal minor strokes</t>
  </si>
  <si>
    <t xml:space="preserve">S2: non-fatal ICH</t>
  </si>
  <si>
    <t xml:space="preserve">S2: non-fatal major bleeds</t>
  </si>
  <si>
    <t xml:space="preserve">S2: fatal MI</t>
  </si>
  <si>
    <t xml:space="preserve">S2: non-fatal MI</t>
  </si>
  <si>
    <t xml:space="preserve">S2: remain (no state-changing event)</t>
  </si>
  <si>
    <t xml:space="preserve">S2: event costs</t>
  </si>
  <si>
    <t xml:space="preserve">S2: event QALY loss</t>
  </si>
  <si>
    <t xml:space="preserve">S2: all deaths this cycle</t>
  </si>
  <si>
    <t xml:space="preserve">S3: p background death</t>
  </si>
  <si>
    <t xml:space="preserve">S3: survivors of background death</t>
  </si>
  <si>
    <t xml:space="preserve">S3: p stroke</t>
  </si>
  <si>
    <t xml:space="preserve">S3: p ich</t>
  </si>
  <si>
    <t xml:space="preserve">S3: p mb</t>
  </si>
  <si>
    <t xml:space="preserve">S3: p mi</t>
  </si>
  <si>
    <t xml:space="preserve">S3: p tia</t>
  </si>
  <si>
    <t xml:space="preserve">S3: p minor</t>
  </si>
  <si>
    <t xml:space="preserve">S3: n stroke</t>
  </si>
  <si>
    <t xml:space="preserve">S3: n ich</t>
  </si>
  <si>
    <t xml:space="preserve">S3: n mb</t>
  </si>
  <si>
    <t xml:space="preserve">S3: n mi</t>
  </si>
  <si>
    <t xml:space="preserve">S3: n tia</t>
  </si>
  <si>
    <t xml:space="preserve">S3: n minor</t>
  </si>
  <si>
    <t xml:space="preserve">S3: fatal strokes</t>
  </si>
  <si>
    <t xml:space="preserve">S3: non-fatal major strokes</t>
  </si>
  <si>
    <t xml:space="preserve">S3: non-fatal minor strokes</t>
  </si>
  <si>
    <t xml:space="preserve">S3: non-fatal ICH</t>
  </si>
  <si>
    <t xml:space="preserve">S3: non-fatal major bleeds</t>
  </si>
  <si>
    <t xml:space="preserve">S3: fatal MI</t>
  </si>
  <si>
    <t xml:space="preserve">S3: non-fatal MI</t>
  </si>
  <si>
    <t xml:space="preserve">S3: remain (no state-changing event)</t>
  </si>
  <si>
    <t xml:space="preserve">S3: event costs</t>
  </si>
  <si>
    <t xml:space="preserve">S3: event QALY loss</t>
  </si>
  <si>
    <t xml:space="preserve">S3: all deaths this cycle</t>
  </si>
  <si>
    <t xml:space="preserve">New S0 (next cycle)</t>
  </si>
  <si>
    <t xml:space="preserve">New S1 (next cycle)</t>
  </si>
  <si>
    <t xml:space="preserve">New S2 (next cycle)</t>
  </si>
  <si>
    <t xml:space="preserve">New S3 (next cycle)</t>
  </si>
  <si>
    <t xml:space="preserve">New S4 (next cycle)</t>
  </si>
  <si>
    <t xml:space="preserve">Mass check (=1)</t>
  </si>
  <si>
    <t xml:space="preserve">Drug cost</t>
  </si>
  <si>
    <t xml:space="preserve">Long-term care cost</t>
  </si>
  <si>
    <t xml:space="preserve">Event cost</t>
  </si>
  <si>
    <t xml:space="preserve">Drug cost (disc.)</t>
  </si>
  <si>
    <t xml:space="preserve">Event cost (disc.)</t>
  </si>
  <si>
    <t xml:space="preserve">Long-term cost (disc.)</t>
  </si>
  <si>
    <t xml:space="preserve">Strokes this cycle</t>
  </si>
  <si>
    <t xml:space="preserve">ICH this cycle</t>
  </si>
  <si>
    <t xml:space="preserve">Major bleeds this cycle</t>
  </si>
  <si>
    <t xml:space="preserve">Discounted years on anticoagulant (S0)</t>
  </si>
  <si>
    <t xml:space="preserve">Warfarin arm — cohort Markov trace (120 x 3-month cycles)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</si>
</sst>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"/>
    <numFmt numFmtId="166" formatCode="0.00"/>
    <numFmt numFmtId="167" formatCode="0.0%"/>
    <numFmt numFmtId="168" formatCode="\$#,##0"/>
    <numFmt numFmtId="169" formatCode="0%"/>
    <numFmt numFmtId="170" formatCode="0.0"/>
    <numFmt numFmtId="171" formatCode="0.0000"/>
    <numFmt numFmtId="172" formatCode="\$0.0000"/>
    <numFmt numFmtId="173" formatCode="\$#,##0.00"/>
    <numFmt numFmtId="174" formatCode="0.000"/>
    <numFmt numFmtId="175" formatCode="0.00000"/>
    <numFmt numFmtId="176" formatCode="0.000000000"/>
    <numFmt numFmtId="177" formatCode="0.000000"/>
    <numFmt numFmtId="178" formatCode="\+0.0%;\-0.0%"/>
    <numFmt numFmtId="179" formatCode="\$#,##0;&quot;($&quot;#,##0\)"/>
    <numFmt numFmtId="180" formatCode="0.#####"/>
    <numFmt numFmtId="181" formatCode="\$0.00"/>
    <numFmt numFmtId="182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2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26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</row>
    <row r="2" customFormat="false" ht="15" hidden="false" customHeight="false" outlineLevel="0" collapsed="false">
      <c r="A2" s="6" t="s">
        <v>31</v>
      </c>
      <c r="B2" s="7"/>
      <c r="C2" s="7"/>
      <c r="D2" s="7"/>
      <c r="E2" s="7"/>
      <c r="F2" s="7"/>
      <c r="G2" s="7"/>
    </row>
    <row r="3" customFormat="false" ht="15" hidden="false" customHeight="false" outlineLevel="0" collapsed="false">
      <c r="A3" s="2" t="s">
        <v>32</v>
      </c>
      <c r="B3" s="2" t="s">
        <v>33</v>
      </c>
      <c r="C3" s="8" t="n">
        <v>70</v>
      </c>
      <c r="D3" s="3"/>
      <c r="E3" s="3"/>
      <c r="F3" s="2"/>
      <c r="G3" s="9" t="s">
        <v>34</v>
      </c>
    </row>
    <row r="4" customFormat="false" ht="15" hidden="false" customHeight="false" outlineLevel="0" collapsed="false">
      <c r="A4" s="2" t="s">
        <v>35</v>
      </c>
      <c r="B4" s="2" t="s">
        <v>36</v>
      </c>
      <c r="C4" s="8" t="n">
        <v>70</v>
      </c>
      <c r="D4" s="3"/>
      <c r="E4" s="3"/>
      <c r="F4" s="2"/>
      <c r="G4" s="9" t="s">
        <v>37</v>
      </c>
    </row>
    <row r="5" customFormat="false" ht="15" hidden="false" customHeight="false" outlineLevel="0" collapsed="false">
      <c r="A5" s="2" t="s">
        <v>38</v>
      </c>
      <c r="B5" s="2" t="s">
        <v>39</v>
      </c>
      <c r="C5" s="10" t="n">
        <v>0.25</v>
      </c>
      <c r="D5" s="3"/>
      <c r="E5" s="3"/>
      <c r="F5" s="2"/>
      <c r="G5" s="9" t="s">
        <v>40</v>
      </c>
    </row>
    <row r="6" customFormat="false" ht="15" hidden="false" customHeight="false" outlineLevel="0" collapsed="false">
      <c r="A6" s="2" t="s">
        <v>41</v>
      </c>
      <c r="B6" s="2" t="s">
        <v>42</v>
      </c>
      <c r="C6" s="11" t="n">
        <v>0.015</v>
      </c>
      <c r="D6" s="3"/>
      <c r="E6" s="3"/>
      <c r="F6" s="2"/>
      <c r="G6" s="9" t="s">
        <v>43</v>
      </c>
    </row>
    <row r="7" customFormat="false" ht="15" hidden="false" customHeight="false" outlineLevel="0" collapsed="false">
      <c r="A7" s="2" t="s">
        <v>44</v>
      </c>
      <c r="B7" s="2" t="s">
        <v>45</v>
      </c>
      <c r="C7" s="12" t="n">
        <v>50000</v>
      </c>
      <c r="D7" s="3"/>
      <c r="E7" s="3"/>
      <c r="F7" s="2"/>
      <c r="G7" s="9" t="s">
        <v>46</v>
      </c>
    </row>
    <row r="8" customFormat="false" ht="15" hidden="false" customHeight="false" outlineLevel="0" collapsed="false">
      <c r="A8" s="2" t="s">
        <v>47</v>
      </c>
      <c r="B8" s="2" t="s">
        <v>48</v>
      </c>
      <c r="C8" s="8" t="n">
        <v>2</v>
      </c>
      <c r="D8" s="3"/>
      <c r="E8" s="3"/>
      <c r="F8" s="2"/>
      <c r="G8" s="9" t="s">
        <v>49</v>
      </c>
    </row>
    <row r="9" customFormat="false" ht="15" hidden="false" customHeight="false" outlineLevel="0" collapsed="false">
      <c r="A9" s="2" t="s">
        <v>50</v>
      </c>
      <c r="B9" s="2" t="s">
        <v>51</v>
      </c>
      <c r="C9" s="13" t="n">
        <v>0</v>
      </c>
      <c r="D9" s="3"/>
      <c r="E9" s="3"/>
      <c r="F9" s="2"/>
      <c r="G9" s="9" t="s">
        <v>52</v>
      </c>
    </row>
    <row r="10" customFormat="false" ht="23.85" hidden="false" customHeight="false" outlineLevel="0" collapsed="false">
      <c r="A10" s="2" t="s">
        <v>53</v>
      </c>
      <c r="B10" s="2" t="s">
        <v>54</v>
      </c>
      <c r="C10" s="14" t="n">
        <v>0</v>
      </c>
      <c r="D10" s="3"/>
      <c r="E10" s="3"/>
      <c r="F10" s="2"/>
      <c r="G10" s="9" t="s">
        <v>55</v>
      </c>
    </row>
    <row r="11" customFormat="false" ht="15" hidden="false" customHeight="false" outlineLevel="0" collapsed="false">
      <c r="A11" s="6" t="s">
        <v>56</v>
      </c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2" t="s">
        <v>57</v>
      </c>
      <c r="B12" s="2" t="s">
        <v>58</v>
      </c>
      <c r="C12" s="15" t="n">
        <v>119.9</v>
      </c>
      <c r="D12" s="3"/>
      <c r="E12" s="3"/>
      <c r="F12" s="2"/>
      <c r="G12" s="9" t="s">
        <v>59</v>
      </c>
    </row>
    <row r="13" customFormat="false" ht="15" hidden="false" customHeight="false" outlineLevel="0" collapsed="false">
      <c r="A13" s="2" t="s">
        <v>60</v>
      </c>
      <c r="B13" s="2" t="s">
        <v>61</v>
      </c>
      <c r="C13" s="15" t="n">
        <v>164.2</v>
      </c>
      <c r="D13" s="3"/>
      <c r="E13" s="3"/>
      <c r="F13" s="2"/>
      <c r="G13" s="9" t="s">
        <v>62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16" t="n">
        <f aca="false">IF(val_mode=1,1,cpi_2025/cpi_2011)</f>
        <v>1.36947456213511</v>
      </c>
      <c r="D14" s="3"/>
      <c r="E14" s="3"/>
      <c r="F14" s="2"/>
      <c r="G14" s="9" t="s">
        <v>65</v>
      </c>
    </row>
    <row r="15" customFormat="false" ht="15" hidden="false" customHeight="false" outlineLevel="0" collapsed="false">
      <c r="A15" s="6" t="s">
        <v>66</v>
      </c>
      <c r="B15" s="7"/>
      <c r="C15" s="7"/>
      <c r="D15" s="7"/>
      <c r="E15" s="7"/>
      <c r="F15" s="7"/>
      <c r="G15" s="7"/>
    </row>
    <row r="16" customFormat="false" ht="23.85" hidden="false" customHeight="false" outlineLevel="0" collapsed="false">
      <c r="A16" s="2" t="s">
        <v>67</v>
      </c>
      <c r="B16" s="2" t="s">
        <v>68</v>
      </c>
      <c r="C16" s="17" t="n">
        <v>0.4084</v>
      </c>
      <c r="D16" s="3"/>
      <c r="E16" s="3"/>
      <c r="F16" s="2"/>
      <c r="G16" s="9" t="s">
        <v>69</v>
      </c>
    </row>
    <row r="17" customFormat="false" ht="15" hidden="false" customHeight="false" outlineLevel="0" collapsed="false">
      <c r="A17" s="2" t="s">
        <v>70</v>
      </c>
      <c r="B17" s="2" t="s">
        <v>71</v>
      </c>
      <c r="C17" s="18" t="n">
        <v>1289.44</v>
      </c>
      <c r="D17" s="3"/>
      <c r="E17" s="3"/>
      <c r="F17" s="2"/>
      <c r="G17" s="9" t="s">
        <v>72</v>
      </c>
    </row>
    <row r="18" customFormat="false" ht="15" hidden="false" customHeight="false" outlineLevel="0" collapsed="false">
      <c r="A18" s="2" t="s">
        <v>73</v>
      </c>
      <c r="B18" s="2" t="s">
        <v>74</v>
      </c>
      <c r="C18" s="10" t="n">
        <v>365.25</v>
      </c>
      <c r="D18" s="3"/>
      <c r="E18" s="3"/>
      <c r="F18" s="2"/>
      <c r="G18" s="9" t="s">
        <v>75</v>
      </c>
    </row>
    <row r="19" customFormat="false" ht="15" hidden="false" customHeight="false" outlineLevel="0" collapsed="false">
      <c r="A19" s="2" t="s">
        <v>76</v>
      </c>
      <c r="B19" s="2" t="s">
        <v>77</v>
      </c>
      <c r="C19" s="19" t="n">
        <f aca="false">IF(val_mode=1,c_apixaban_2011,apx_price_tab*2*days_yr)</f>
        <v>298.3362</v>
      </c>
      <c r="D19" s="3"/>
      <c r="E19" s="3"/>
      <c r="F19" s="2"/>
      <c r="G19" s="9" t="s">
        <v>78</v>
      </c>
    </row>
    <row r="20" customFormat="false" ht="23.85" hidden="false" customHeight="false" outlineLevel="0" collapsed="false">
      <c r="A20" s="2" t="s">
        <v>79</v>
      </c>
      <c r="B20" s="2" t="s">
        <v>80</v>
      </c>
      <c r="C20" s="18" t="n">
        <v>54.61</v>
      </c>
      <c r="D20" s="18" t="n">
        <v>27</v>
      </c>
      <c r="E20" s="18" t="n">
        <v>110</v>
      </c>
      <c r="F20" s="2" t="s">
        <v>81</v>
      </c>
      <c r="G20" s="9" t="s">
        <v>82</v>
      </c>
    </row>
    <row r="21" customFormat="false" ht="15" hidden="false" customHeight="false" outlineLevel="0" collapsed="false">
      <c r="A21" s="2" t="s">
        <v>83</v>
      </c>
      <c r="B21" s="2" t="s">
        <v>84</v>
      </c>
      <c r="C21" s="18" t="n">
        <v>240.69</v>
      </c>
      <c r="D21" s="3"/>
      <c r="E21" s="3"/>
      <c r="F21" s="2"/>
      <c r="G21" s="9" t="s">
        <v>85</v>
      </c>
    </row>
    <row r="22" customFormat="false" ht="15" hidden="false" customHeight="false" outlineLevel="0" collapsed="false">
      <c r="A22" s="2" t="s">
        <v>86</v>
      </c>
      <c r="B22" s="2" t="s">
        <v>87</v>
      </c>
      <c r="C22" s="19" t="n">
        <f aca="false">c_inr_2011*inflate</f>
        <v>329.6188323603</v>
      </c>
      <c r="D22" s="19" t="n">
        <f aca="false">0.5*c_inr_2011*inflate</f>
        <v>164.80941618015</v>
      </c>
      <c r="E22" s="19" t="n">
        <f aca="false">1.5*c_inr_2011*inflate</f>
        <v>494.42824854045</v>
      </c>
      <c r="F22" s="2" t="s">
        <v>81</v>
      </c>
      <c r="G22" s="9" t="s">
        <v>88</v>
      </c>
    </row>
    <row r="23" customFormat="false" ht="15" hidden="false" customHeight="false" outlineLevel="0" collapsed="false">
      <c r="A23" s="2" t="s">
        <v>89</v>
      </c>
      <c r="B23" s="2" t="s">
        <v>90</v>
      </c>
      <c r="C23" s="18" t="n">
        <v>39.04</v>
      </c>
      <c r="D23" s="18" t="n">
        <v>20</v>
      </c>
      <c r="E23" s="18" t="n">
        <v>60</v>
      </c>
      <c r="F23" s="2" t="s">
        <v>81</v>
      </c>
      <c r="G23" s="9" t="s">
        <v>91</v>
      </c>
    </row>
    <row r="24" customFormat="false" ht="15" hidden="false" customHeight="false" outlineLevel="0" collapsed="false">
      <c r="A24" s="6" t="s">
        <v>92</v>
      </c>
      <c r="B24" s="7"/>
      <c r="C24" s="7"/>
      <c r="D24" s="7"/>
      <c r="E24" s="7"/>
      <c r="F24" s="7"/>
      <c r="G24" s="7"/>
    </row>
    <row r="25" customFormat="false" ht="23.85" hidden="false" customHeight="false" outlineLevel="0" collapsed="false">
      <c r="A25" s="2" t="s">
        <v>93</v>
      </c>
      <c r="B25" s="2" t="s">
        <v>94</v>
      </c>
      <c r="C25" s="20" t="n">
        <v>0.033</v>
      </c>
      <c r="D25" s="20" t="n">
        <v>0.025</v>
      </c>
      <c r="E25" s="20" t="n">
        <v>0.041</v>
      </c>
      <c r="F25" s="2" t="s">
        <v>95</v>
      </c>
      <c r="G25" s="9" t="s">
        <v>96</v>
      </c>
    </row>
    <row r="26" customFormat="false" ht="15" hidden="false" customHeight="false" outlineLevel="0" collapsed="false">
      <c r="A26" s="2" t="s">
        <v>97</v>
      </c>
      <c r="B26" s="2" t="s">
        <v>98</v>
      </c>
      <c r="C26" s="10" t="n">
        <v>2.3</v>
      </c>
      <c r="D26" s="10" t="n">
        <v>2</v>
      </c>
      <c r="E26" s="10" t="n">
        <v>2.7</v>
      </c>
      <c r="F26" s="2" t="s">
        <v>99</v>
      </c>
      <c r="G26" s="9" t="s">
        <v>100</v>
      </c>
    </row>
    <row r="27" customFormat="false" ht="15" hidden="false" customHeight="false" outlineLevel="0" collapsed="false">
      <c r="A27" s="6" t="s">
        <v>101</v>
      </c>
      <c r="B27" s="7"/>
      <c r="C27" s="7"/>
      <c r="D27" s="7"/>
      <c r="E27" s="7"/>
      <c r="F27" s="7"/>
      <c r="G27" s="7"/>
    </row>
    <row r="28" customFormat="false" ht="15" hidden="false" customHeight="false" outlineLevel="0" collapsed="false">
      <c r="A28" s="2" t="s">
        <v>102</v>
      </c>
      <c r="B28" s="2" t="s">
        <v>103</v>
      </c>
      <c r="C28" s="20" t="n">
        <v>0.016</v>
      </c>
      <c r="D28" s="20" t="n">
        <v>0.012</v>
      </c>
      <c r="E28" s="20" t="n">
        <v>0.02</v>
      </c>
      <c r="F28" s="2" t="s">
        <v>95</v>
      </c>
      <c r="G28" s="9" t="s">
        <v>100</v>
      </c>
    </row>
    <row r="29" customFormat="false" ht="15" hidden="false" customHeight="false" outlineLevel="0" collapsed="false">
      <c r="A29" s="2" t="s">
        <v>104</v>
      </c>
      <c r="B29" s="2" t="s">
        <v>105</v>
      </c>
      <c r="C29" s="20" t="n">
        <v>0.008</v>
      </c>
      <c r="D29" s="20" t="n">
        <v>0.006</v>
      </c>
      <c r="E29" s="20" t="n">
        <v>0.01</v>
      </c>
      <c r="F29" s="2" t="s">
        <v>95</v>
      </c>
      <c r="G29" s="9" t="s">
        <v>100</v>
      </c>
    </row>
    <row r="30" customFormat="false" ht="15" hidden="false" customHeight="false" outlineLevel="0" collapsed="false">
      <c r="A30" s="2" t="s">
        <v>106</v>
      </c>
      <c r="B30" s="2" t="s">
        <v>107</v>
      </c>
      <c r="C30" s="20" t="n">
        <v>0.008</v>
      </c>
      <c r="D30" s="20" t="n">
        <v>0.006</v>
      </c>
      <c r="E30" s="20" t="n">
        <v>0.01</v>
      </c>
      <c r="F30" s="2" t="s">
        <v>95</v>
      </c>
      <c r="G30" s="9" t="s">
        <v>100</v>
      </c>
    </row>
    <row r="31" customFormat="false" ht="15" hidden="false" customHeight="false" outlineLevel="0" collapsed="false">
      <c r="A31" s="2" t="s">
        <v>108</v>
      </c>
      <c r="B31" s="2" t="s">
        <v>109</v>
      </c>
      <c r="C31" s="20" t="n">
        <v>0.033</v>
      </c>
      <c r="D31" s="20" t="n">
        <v>0.025</v>
      </c>
      <c r="E31" s="20" t="n">
        <v>0.041</v>
      </c>
      <c r="F31" s="2" t="s">
        <v>95</v>
      </c>
      <c r="G31" s="9" t="s">
        <v>100</v>
      </c>
    </row>
    <row r="32" customFormat="false" ht="15" hidden="false" customHeight="false" outlineLevel="0" collapsed="false">
      <c r="A32" s="2" t="s">
        <v>110</v>
      </c>
      <c r="B32" s="2" t="s">
        <v>111</v>
      </c>
      <c r="C32" s="20" t="n">
        <v>0.164</v>
      </c>
      <c r="D32" s="20" t="n">
        <v>0.123</v>
      </c>
      <c r="E32" s="20" t="n">
        <v>0.205</v>
      </c>
      <c r="F32" s="2" t="s">
        <v>95</v>
      </c>
      <c r="G32" s="9" t="s">
        <v>100</v>
      </c>
    </row>
    <row r="33" customFormat="false" ht="15" hidden="false" customHeight="false" outlineLevel="0" collapsed="false">
      <c r="A33" s="2" t="s">
        <v>112</v>
      </c>
      <c r="B33" s="2" t="s">
        <v>113</v>
      </c>
      <c r="C33" s="20" t="n">
        <v>0.006</v>
      </c>
      <c r="D33" s="20" t="n">
        <v>0.0045</v>
      </c>
      <c r="E33" s="20" t="n">
        <v>0.0075</v>
      </c>
      <c r="F33" s="2" t="s">
        <v>95</v>
      </c>
      <c r="G33" s="9" t="s">
        <v>100</v>
      </c>
    </row>
    <row r="34" customFormat="false" ht="15" hidden="false" customHeight="false" outlineLevel="0" collapsed="false">
      <c r="A34" s="6" t="s">
        <v>114</v>
      </c>
      <c r="B34" s="7"/>
      <c r="C34" s="7"/>
      <c r="D34" s="7"/>
      <c r="E34" s="7"/>
      <c r="F34" s="7"/>
      <c r="G34" s="7"/>
    </row>
    <row r="35" customFormat="false" ht="15" hidden="false" customHeight="false" outlineLevel="0" collapsed="false">
      <c r="A35" s="2" t="s">
        <v>115</v>
      </c>
      <c r="B35" s="2" t="s">
        <v>116</v>
      </c>
      <c r="C35" s="21" t="n">
        <v>0.237</v>
      </c>
      <c r="D35" s="21" t="n">
        <v>0.18</v>
      </c>
      <c r="E35" s="21" t="n">
        <v>0.3</v>
      </c>
      <c r="F35" s="2" t="s">
        <v>117</v>
      </c>
      <c r="G35" s="9" t="s">
        <v>100</v>
      </c>
    </row>
    <row r="36" customFormat="false" ht="15" hidden="false" customHeight="false" outlineLevel="0" collapsed="false">
      <c r="A36" s="2" t="s">
        <v>118</v>
      </c>
      <c r="B36" s="2" t="s">
        <v>119</v>
      </c>
      <c r="C36" s="21" t="n">
        <v>0.333</v>
      </c>
      <c r="D36" s="21" t="n">
        <v>0.25</v>
      </c>
      <c r="E36" s="21" t="n">
        <v>0.42</v>
      </c>
      <c r="F36" s="2" t="s">
        <v>120</v>
      </c>
      <c r="G36" s="9" t="s">
        <v>100</v>
      </c>
    </row>
    <row r="37" customFormat="false" ht="15" hidden="false" customHeight="false" outlineLevel="0" collapsed="false">
      <c r="A37" s="2" t="s">
        <v>121</v>
      </c>
      <c r="B37" s="2" t="s">
        <v>122</v>
      </c>
      <c r="C37" s="21" t="n">
        <v>1.57</v>
      </c>
      <c r="D37" s="21" t="n">
        <v>1.21</v>
      </c>
      <c r="E37" s="21" t="n">
        <v>2.03</v>
      </c>
      <c r="F37" s="2" t="s">
        <v>123</v>
      </c>
      <c r="G37" s="9" t="s">
        <v>100</v>
      </c>
    </row>
    <row r="38" customFormat="false" ht="15" hidden="false" customHeight="false" outlineLevel="0" collapsed="false">
      <c r="A38" s="2" t="s">
        <v>124</v>
      </c>
      <c r="B38" s="2" t="s">
        <v>125</v>
      </c>
      <c r="C38" s="21" t="n">
        <v>0.084</v>
      </c>
      <c r="D38" s="21" t="n">
        <v>0.06</v>
      </c>
      <c r="E38" s="21" t="n">
        <v>0.11</v>
      </c>
      <c r="F38" s="2" t="s">
        <v>126</v>
      </c>
      <c r="G38" s="9" t="s">
        <v>100</v>
      </c>
    </row>
    <row r="39" customFormat="false" ht="15" hidden="false" customHeight="false" outlineLevel="0" collapsed="false">
      <c r="A39" s="2" t="s">
        <v>127</v>
      </c>
      <c r="B39" s="2" t="s">
        <v>128</v>
      </c>
      <c r="C39" s="21" t="n">
        <v>0.121</v>
      </c>
      <c r="D39" s="21" t="n">
        <v>0.06</v>
      </c>
      <c r="E39" s="21" t="n">
        <v>0.2</v>
      </c>
      <c r="F39" s="2" t="s">
        <v>129</v>
      </c>
      <c r="G39" s="9" t="s">
        <v>100</v>
      </c>
    </row>
    <row r="40" customFormat="false" ht="15" hidden="false" customHeight="false" outlineLevel="0" collapsed="false">
      <c r="A40" s="6" t="s">
        <v>130</v>
      </c>
      <c r="B40" s="7"/>
      <c r="C40" s="7"/>
      <c r="D40" s="7"/>
      <c r="E40" s="7"/>
      <c r="F40" s="7"/>
      <c r="G40" s="7"/>
    </row>
    <row r="41" customFormat="false" ht="15" hidden="false" customHeight="false" outlineLevel="0" collapsed="false">
      <c r="A41" s="2" t="s">
        <v>131</v>
      </c>
      <c r="B41" s="2" t="s">
        <v>132</v>
      </c>
      <c r="C41" s="10" t="n">
        <v>1.5</v>
      </c>
      <c r="D41" s="10" t="n">
        <v>1.3</v>
      </c>
      <c r="E41" s="10" t="n">
        <v>1.7</v>
      </c>
      <c r="F41" s="2" t="s">
        <v>133</v>
      </c>
      <c r="G41" s="9" t="s">
        <v>100</v>
      </c>
    </row>
    <row r="42" customFormat="false" ht="15" hidden="false" customHeight="false" outlineLevel="0" collapsed="false">
      <c r="A42" s="2" t="s">
        <v>134</v>
      </c>
      <c r="B42" s="2" t="s">
        <v>135</v>
      </c>
      <c r="C42" s="10" t="n">
        <v>2.2</v>
      </c>
      <c r="D42" s="10" t="n">
        <v>1.2</v>
      </c>
      <c r="E42" s="10" t="n">
        <v>3.5</v>
      </c>
      <c r="F42" s="2" t="s">
        <v>136</v>
      </c>
      <c r="G42" s="9" t="s">
        <v>100</v>
      </c>
    </row>
    <row r="43" customFormat="false" ht="15" hidden="false" customHeight="false" outlineLevel="0" collapsed="false">
      <c r="A43" s="6" t="s">
        <v>137</v>
      </c>
      <c r="B43" s="7"/>
      <c r="C43" s="7"/>
      <c r="D43" s="7"/>
      <c r="E43" s="7"/>
      <c r="F43" s="7"/>
      <c r="G43" s="7"/>
    </row>
    <row r="44" customFormat="false" ht="15" hidden="false" customHeight="false" outlineLevel="0" collapsed="false">
      <c r="A44" s="2" t="s">
        <v>138</v>
      </c>
      <c r="B44" s="2" t="s">
        <v>139</v>
      </c>
      <c r="C44" s="10" t="n">
        <v>0.79</v>
      </c>
      <c r="D44" s="10" t="n">
        <v>0.65</v>
      </c>
      <c r="E44" s="10" t="n">
        <v>0.95</v>
      </c>
      <c r="F44" s="2" t="s">
        <v>140</v>
      </c>
      <c r="G44" s="9" t="s">
        <v>100</v>
      </c>
    </row>
    <row r="45" customFormat="false" ht="15" hidden="false" customHeight="false" outlineLevel="0" collapsed="false">
      <c r="A45" s="2" t="s">
        <v>141</v>
      </c>
      <c r="B45" s="2" t="s">
        <v>142</v>
      </c>
      <c r="C45" s="10" t="n">
        <v>0.88</v>
      </c>
      <c r="D45" s="10" t="n">
        <v>0.66</v>
      </c>
      <c r="E45" s="10" t="n">
        <v>1.17</v>
      </c>
      <c r="F45" s="2" t="s">
        <v>143</v>
      </c>
      <c r="G45" s="9" t="s">
        <v>100</v>
      </c>
    </row>
    <row r="46" customFormat="false" ht="15" hidden="false" customHeight="false" outlineLevel="0" collapsed="false">
      <c r="A46" s="2" t="s">
        <v>144</v>
      </c>
      <c r="B46" s="2" t="s">
        <v>145</v>
      </c>
      <c r="C46" s="10" t="n">
        <v>0.42</v>
      </c>
      <c r="D46" s="10" t="n">
        <v>0.3</v>
      </c>
      <c r="E46" s="10" t="n">
        <v>0.58</v>
      </c>
      <c r="F46" s="2" t="s">
        <v>146</v>
      </c>
      <c r="G46" s="9" t="s">
        <v>100</v>
      </c>
    </row>
    <row r="47" customFormat="false" ht="15" hidden="false" customHeight="false" outlineLevel="0" collapsed="false">
      <c r="A47" s="2" t="s">
        <v>147</v>
      </c>
      <c r="B47" s="2" t="s">
        <v>148</v>
      </c>
      <c r="C47" s="10" t="n">
        <v>0.8</v>
      </c>
      <c r="D47" s="10" t="n">
        <v>0.68</v>
      </c>
      <c r="E47" s="10" t="n">
        <v>0.94</v>
      </c>
      <c r="F47" s="2" t="s">
        <v>149</v>
      </c>
      <c r="G47" s="9" t="s">
        <v>100</v>
      </c>
    </row>
    <row r="48" customFormat="false" ht="15" hidden="false" customHeight="false" outlineLevel="0" collapsed="false">
      <c r="A48" s="6" t="s">
        <v>150</v>
      </c>
      <c r="B48" s="7"/>
      <c r="C48" s="7"/>
      <c r="D48" s="7"/>
      <c r="E48" s="7"/>
      <c r="F48" s="7"/>
      <c r="G48" s="7"/>
    </row>
    <row r="49" customFormat="false" ht="15" hidden="false" customHeight="false" outlineLevel="0" collapsed="false">
      <c r="A49" s="2" t="s">
        <v>151</v>
      </c>
      <c r="B49" s="2" t="s">
        <v>152</v>
      </c>
      <c r="C49" s="10" t="n">
        <v>1.62</v>
      </c>
      <c r="D49" s="10" t="n">
        <v>0.99</v>
      </c>
      <c r="E49" s="10" t="n">
        <v>2.65</v>
      </c>
      <c r="F49" s="2" t="s">
        <v>153</v>
      </c>
      <c r="G49" s="9" t="s">
        <v>100</v>
      </c>
    </row>
    <row r="50" customFormat="false" ht="15" hidden="false" customHeight="false" outlineLevel="0" collapsed="false">
      <c r="A50" s="2" t="s">
        <v>154</v>
      </c>
      <c r="B50" s="2" t="s">
        <v>155</v>
      </c>
      <c r="C50" s="10" t="n">
        <v>1.42</v>
      </c>
      <c r="D50" s="10" t="n">
        <v>0.84</v>
      </c>
      <c r="E50" s="10" t="n">
        <v>2.39</v>
      </c>
      <c r="F50" s="2" t="s">
        <v>156</v>
      </c>
      <c r="G50" s="9" t="s">
        <v>100</v>
      </c>
    </row>
    <row r="51" customFormat="false" ht="15" hidden="false" customHeight="false" outlineLevel="0" collapsed="false">
      <c r="A51" s="2" t="s">
        <v>157</v>
      </c>
      <c r="B51" s="2" t="s">
        <v>158</v>
      </c>
      <c r="C51" s="10" t="n">
        <v>0.51</v>
      </c>
      <c r="D51" s="10" t="n">
        <v>0.16</v>
      </c>
      <c r="E51" s="10" t="n">
        <v>1.6</v>
      </c>
      <c r="F51" s="2" t="s">
        <v>159</v>
      </c>
      <c r="G51" s="9" t="s">
        <v>100</v>
      </c>
    </row>
    <row r="52" customFormat="false" ht="15" hidden="false" customHeight="false" outlineLevel="0" collapsed="false">
      <c r="A52" s="2" t="s">
        <v>160</v>
      </c>
      <c r="B52" s="2" t="s">
        <v>161</v>
      </c>
      <c r="C52" s="10" t="n">
        <v>0.63</v>
      </c>
      <c r="D52" s="10" t="n">
        <v>0.32</v>
      </c>
      <c r="E52" s="10" t="n">
        <v>1.22</v>
      </c>
      <c r="F52" s="2" t="s">
        <v>162</v>
      </c>
      <c r="G52" s="9" t="s">
        <v>100</v>
      </c>
    </row>
    <row r="53" customFormat="false" ht="15" hidden="false" customHeight="false" outlineLevel="0" collapsed="false">
      <c r="A53" s="2" t="s">
        <v>163</v>
      </c>
      <c r="B53" s="2" t="s">
        <v>164</v>
      </c>
      <c r="C53" s="10" t="n">
        <v>1.14</v>
      </c>
      <c r="D53" s="10" t="n">
        <v>0.47</v>
      </c>
      <c r="E53" s="10" t="n">
        <v>2.73</v>
      </c>
      <c r="F53" s="2" t="s">
        <v>165</v>
      </c>
      <c r="G53" s="9" t="s">
        <v>100</v>
      </c>
    </row>
    <row r="54" customFormat="false" ht="15" hidden="false" customHeight="false" outlineLevel="0" collapsed="false">
      <c r="A54" s="2" t="s">
        <v>166</v>
      </c>
      <c r="B54" s="2" t="s">
        <v>167</v>
      </c>
      <c r="C54" s="10" t="n">
        <v>1.56</v>
      </c>
      <c r="D54" s="10" t="n">
        <v>0.86</v>
      </c>
      <c r="E54" s="10" t="n">
        <v>2.83</v>
      </c>
      <c r="F54" s="2" t="s">
        <v>168</v>
      </c>
      <c r="G54" s="9" t="s">
        <v>100</v>
      </c>
    </row>
    <row r="55" customFormat="false" ht="15" hidden="false" customHeight="false" outlineLevel="0" collapsed="false">
      <c r="A55" s="6" t="s">
        <v>169</v>
      </c>
      <c r="B55" s="7"/>
      <c r="C55" s="7"/>
      <c r="D55" s="7"/>
      <c r="E55" s="7"/>
      <c r="F55" s="7"/>
      <c r="G55" s="7"/>
    </row>
    <row r="56" customFormat="false" ht="15" hidden="false" customHeight="false" outlineLevel="0" collapsed="false">
      <c r="A56" s="2" t="s">
        <v>170</v>
      </c>
      <c r="B56" s="2" t="s">
        <v>171</v>
      </c>
      <c r="C56" s="22" t="n">
        <v>0.81</v>
      </c>
      <c r="D56" s="22" t="n">
        <v>0.75</v>
      </c>
      <c r="E56" s="22" t="n">
        <v>0.87</v>
      </c>
      <c r="F56" s="2" t="s">
        <v>172</v>
      </c>
      <c r="G56" s="9" t="s">
        <v>100</v>
      </c>
    </row>
    <row r="57" customFormat="false" ht="15" hidden="false" customHeight="false" outlineLevel="0" collapsed="false">
      <c r="A57" s="2" t="s">
        <v>173</v>
      </c>
      <c r="B57" s="2" t="s">
        <v>174</v>
      </c>
      <c r="C57" s="22" t="n">
        <v>0.75</v>
      </c>
      <c r="D57" s="22" t="n">
        <v>0.67</v>
      </c>
      <c r="E57" s="22" t="n">
        <v>0.83</v>
      </c>
      <c r="F57" s="2" t="s">
        <v>175</v>
      </c>
      <c r="G57" s="9" t="s">
        <v>100</v>
      </c>
    </row>
    <row r="58" customFormat="false" ht="15" hidden="false" customHeight="false" outlineLevel="0" collapsed="false">
      <c r="A58" s="2" t="s">
        <v>176</v>
      </c>
      <c r="B58" s="2" t="s">
        <v>177</v>
      </c>
      <c r="C58" s="22" t="n">
        <v>0.39</v>
      </c>
      <c r="D58" s="22" t="n">
        <v>0.32</v>
      </c>
      <c r="E58" s="22" t="n">
        <v>0.46</v>
      </c>
      <c r="F58" s="2" t="s">
        <v>178</v>
      </c>
      <c r="G58" s="9" t="s">
        <v>100</v>
      </c>
    </row>
    <row r="59" customFormat="false" ht="15" hidden="false" customHeight="false" outlineLevel="0" collapsed="false">
      <c r="A59" s="2" t="s">
        <v>179</v>
      </c>
      <c r="B59" s="2" t="s">
        <v>180</v>
      </c>
      <c r="C59" s="22" t="n">
        <v>0.11</v>
      </c>
      <c r="D59" s="22" t="n">
        <v>0.06</v>
      </c>
      <c r="E59" s="22" t="n">
        <v>0.16</v>
      </c>
      <c r="F59" s="2" t="s">
        <v>181</v>
      </c>
      <c r="G59" s="9" t="s">
        <v>100</v>
      </c>
    </row>
    <row r="60" customFormat="false" ht="15" hidden="false" customHeight="false" outlineLevel="0" collapsed="false">
      <c r="A60" s="2" t="s">
        <v>182</v>
      </c>
      <c r="B60" s="2" t="s">
        <v>183</v>
      </c>
      <c r="C60" s="22" t="n">
        <v>0.205</v>
      </c>
      <c r="D60" s="22" t="n">
        <v>0.1</v>
      </c>
      <c r="E60" s="22" t="n">
        <v>0.31</v>
      </c>
      <c r="F60" s="2" t="s">
        <v>184</v>
      </c>
      <c r="G60" s="9" t="s">
        <v>100</v>
      </c>
    </row>
    <row r="61" customFormat="false" ht="15" hidden="false" customHeight="false" outlineLevel="0" collapsed="false">
      <c r="A61" s="2" t="s">
        <v>185</v>
      </c>
      <c r="B61" s="2" t="s">
        <v>186</v>
      </c>
      <c r="C61" s="22" t="n">
        <v>0.00029</v>
      </c>
      <c r="D61" s="22" t="n">
        <v>0.00025</v>
      </c>
      <c r="E61" s="22" t="n">
        <v>0.00033</v>
      </c>
      <c r="F61" s="2" t="s">
        <v>187</v>
      </c>
      <c r="G61" s="9" t="s">
        <v>100</v>
      </c>
    </row>
    <row r="62" customFormat="false" ht="15" hidden="false" customHeight="false" outlineLevel="0" collapsed="false">
      <c r="A62" s="2" t="s">
        <v>188</v>
      </c>
      <c r="B62" s="2" t="s">
        <v>189</v>
      </c>
      <c r="C62" s="22" t="n">
        <v>0.125</v>
      </c>
      <c r="D62" s="22" t="n">
        <v>0.107</v>
      </c>
      <c r="E62" s="22" t="n">
        <v>0.143</v>
      </c>
      <c r="F62" s="2" t="s">
        <v>190</v>
      </c>
      <c r="G62" s="9" t="s">
        <v>100</v>
      </c>
    </row>
    <row r="63" customFormat="false" ht="15" hidden="false" customHeight="false" outlineLevel="0" collapsed="false">
      <c r="A63" s="2" t="s">
        <v>191</v>
      </c>
      <c r="B63" s="2" t="s">
        <v>192</v>
      </c>
      <c r="C63" s="22" t="n">
        <v>0.092</v>
      </c>
      <c r="D63" s="22" t="n">
        <v>0.072</v>
      </c>
      <c r="E63" s="22" t="n">
        <v>0.112</v>
      </c>
      <c r="F63" s="2" t="s">
        <v>193</v>
      </c>
      <c r="G63" s="9" t="s">
        <v>100</v>
      </c>
    </row>
    <row r="64" customFormat="false" ht="15" hidden="false" customHeight="false" outlineLevel="0" collapsed="false">
      <c r="A64" s="2" t="s">
        <v>194</v>
      </c>
      <c r="B64" s="2" t="s">
        <v>195</v>
      </c>
      <c r="C64" s="22" t="n">
        <v>0.013</v>
      </c>
      <c r="D64" s="22" t="n">
        <v>0.011</v>
      </c>
      <c r="E64" s="22" t="n">
        <v>0.015</v>
      </c>
      <c r="F64" s="2" t="s">
        <v>196</v>
      </c>
      <c r="G64" s="9" t="s">
        <v>100</v>
      </c>
    </row>
    <row r="65" customFormat="false" ht="15" hidden="false" customHeight="false" outlineLevel="0" collapsed="false">
      <c r="A65" s="2" t="s">
        <v>197</v>
      </c>
      <c r="B65" s="2" t="s">
        <v>198</v>
      </c>
      <c r="C65" s="22" t="n">
        <v>0.103</v>
      </c>
      <c r="D65" s="22" t="n">
        <v>0.087</v>
      </c>
      <c r="E65" s="22" t="n">
        <v>0.119</v>
      </c>
      <c r="F65" s="2" t="s">
        <v>199</v>
      </c>
      <c r="G65" s="9" t="s">
        <v>100</v>
      </c>
    </row>
    <row r="66" customFormat="false" ht="15" hidden="false" customHeight="false" outlineLevel="0" collapsed="false">
      <c r="A66" s="6" t="s">
        <v>200</v>
      </c>
      <c r="B66" s="7"/>
      <c r="C66" s="7"/>
      <c r="D66" s="7"/>
      <c r="E66" s="7"/>
      <c r="F66" s="7"/>
      <c r="G66" s="7"/>
    </row>
    <row r="67" customFormat="false" ht="15" hidden="false" customHeight="false" outlineLevel="0" collapsed="false">
      <c r="A67" s="2" t="s">
        <v>201</v>
      </c>
      <c r="B67" s="2" t="s">
        <v>202</v>
      </c>
      <c r="C67" s="23" t="n">
        <v>16800</v>
      </c>
      <c r="D67" s="3"/>
      <c r="E67" s="3"/>
      <c r="F67" s="2"/>
      <c r="G67" s="9" t="s">
        <v>100</v>
      </c>
    </row>
    <row r="68" customFormat="false" ht="15" hidden="false" customHeight="false" outlineLevel="0" collapsed="false">
      <c r="A68" s="2" t="s">
        <v>203</v>
      </c>
      <c r="B68" s="2" t="s">
        <v>204</v>
      </c>
      <c r="C68" s="24" t="n">
        <f aca="false">c_stroke_fatal_2011*inflate</f>
        <v>23007.1726438699</v>
      </c>
      <c r="D68" s="24" t="n">
        <f aca="false">0.75*c_stroke_fatal_2011*inflate</f>
        <v>17255.3794829024</v>
      </c>
      <c r="E68" s="24" t="n">
        <f aca="false">1.25*c_stroke_fatal_2011*inflate</f>
        <v>28758.9658048374</v>
      </c>
      <c r="F68" s="2" t="s">
        <v>205</v>
      </c>
      <c r="G68" s="9" t="s">
        <v>88</v>
      </c>
    </row>
    <row r="69" customFormat="false" ht="15" hidden="false" customHeight="false" outlineLevel="0" collapsed="false">
      <c r="A69" s="2" t="s">
        <v>206</v>
      </c>
      <c r="B69" s="2" t="s">
        <v>207</v>
      </c>
      <c r="C69" s="23" t="n">
        <v>16800</v>
      </c>
      <c r="D69" s="3"/>
      <c r="E69" s="3"/>
      <c r="F69" s="2"/>
      <c r="G69" s="9" t="s">
        <v>100</v>
      </c>
    </row>
    <row r="70" customFormat="false" ht="15" hidden="false" customHeight="false" outlineLevel="0" collapsed="false">
      <c r="A70" s="2" t="s">
        <v>208</v>
      </c>
      <c r="B70" s="2" t="s">
        <v>209</v>
      </c>
      <c r="C70" s="24" t="n">
        <f aca="false">c_stroke_minor_2011*inflate</f>
        <v>23007.1726438699</v>
      </c>
      <c r="D70" s="24" t="n">
        <f aca="false">0.75*c_stroke_minor_2011*inflate</f>
        <v>17255.3794829024</v>
      </c>
      <c r="E70" s="24" t="n">
        <f aca="false">1.25*c_stroke_minor_2011*inflate</f>
        <v>28758.9658048374</v>
      </c>
      <c r="F70" s="2" t="s">
        <v>205</v>
      </c>
      <c r="G70" s="9" t="s">
        <v>88</v>
      </c>
    </row>
    <row r="71" customFormat="false" ht="15" hidden="false" customHeight="false" outlineLevel="0" collapsed="false">
      <c r="A71" s="2" t="s">
        <v>210</v>
      </c>
      <c r="B71" s="2" t="s">
        <v>211</v>
      </c>
      <c r="C71" s="23" t="n">
        <v>56864</v>
      </c>
      <c r="D71" s="3"/>
      <c r="E71" s="3"/>
      <c r="F71" s="2"/>
      <c r="G71" s="9" t="s">
        <v>100</v>
      </c>
    </row>
    <row r="72" customFormat="false" ht="15" hidden="false" customHeight="false" outlineLevel="0" collapsed="false">
      <c r="A72" s="2" t="s">
        <v>212</v>
      </c>
      <c r="B72" s="2" t="s">
        <v>213</v>
      </c>
      <c r="C72" s="24" t="n">
        <f aca="false">c_stroke_major_2011*inflate</f>
        <v>77873.801501251</v>
      </c>
      <c r="D72" s="24" t="n">
        <f aca="false">0.75*c_stroke_major_2011*inflate</f>
        <v>58405.3511259383</v>
      </c>
      <c r="E72" s="24" t="n">
        <f aca="false">1.25*c_stroke_major_2011*inflate</f>
        <v>97342.2518765638</v>
      </c>
      <c r="F72" s="2" t="s">
        <v>205</v>
      </c>
      <c r="G72" s="9" t="s">
        <v>88</v>
      </c>
    </row>
    <row r="73" customFormat="false" ht="15" hidden="false" customHeight="false" outlineLevel="0" collapsed="false">
      <c r="A73" s="2" t="s">
        <v>214</v>
      </c>
      <c r="B73" s="2" t="s">
        <v>215</v>
      </c>
      <c r="C73" s="23" t="n">
        <v>4296</v>
      </c>
      <c r="D73" s="3"/>
      <c r="E73" s="3"/>
      <c r="F73" s="2"/>
      <c r="G73" s="9" t="s">
        <v>100</v>
      </c>
    </row>
    <row r="74" customFormat="false" ht="15" hidden="false" customHeight="false" outlineLevel="0" collapsed="false">
      <c r="A74" s="2" t="s">
        <v>216</v>
      </c>
      <c r="B74" s="2" t="s">
        <v>217</v>
      </c>
      <c r="C74" s="24" t="n">
        <f aca="false">c_tia_2011*inflate</f>
        <v>5883.26271893244</v>
      </c>
      <c r="D74" s="24" t="n">
        <f aca="false">0.75*c_tia_2011*inflate</f>
        <v>4412.44703919933</v>
      </c>
      <c r="E74" s="24" t="n">
        <f aca="false">1.25*c_tia_2011*inflate</f>
        <v>7354.07839866555</v>
      </c>
      <c r="F74" s="2" t="s">
        <v>205</v>
      </c>
      <c r="G74" s="9" t="s">
        <v>88</v>
      </c>
    </row>
    <row r="75" customFormat="false" ht="15" hidden="false" customHeight="false" outlineLevel="0" collapsed="false">
      <c r="A75" s="2" t="s">
        <v>218</v>
      </c>
      <c r="B75" s="2" t="s">
        <v>219</v>
      </c>
      <c r="C75" s="23" t="n">
        <v>16559</v>
      </c>
      <c r="D75" s="3"/>
      <c r="E75" s="3"/>
      <c r="F75" s="2"/>
      <c r="G75" s="9" t="s">
        <v>100</v>
      </c>
    </row>
    <row r="76" customFormat="false" ht="15" hidden="false" customHeight="false" outlineLevel="0" collapsed="false">
      <c r="A76" s="2" t="s">
        <v>220</v>
      </c>
      <c r="B76" s="2" t="s">
        <v>221</v>
      </c>
      <c r="C76" s="24" t="n">
        <f aca="false">c_ich_2011*inflate</f>
        <v>22677.1292743953</v>
      </c>
      <c r="D76" s="24" t="n">
        <f aca="false">0.75*c_ich_2011*inflate</f>
        <v>17007.8469557965</v>
      </c>
      <c r="E76" s="24" t="n">
        <f aca="false">1.25*c_ich_2011*inflate</f>
        <v>28346.4115929942</v>
      </c>
      <c r="F76" s="2" t="s">
        <v>205</v>
      </c>
      <c r="G76" s="9" t="s">
        <v>88</v>
      </c>
    </row>
    <row r="77" customFormat="false" ht="15" hidden="false" customHeight="false" outlineLevel="0" collapsed="false">
      <c r="A77" s="2" t="s">
        <v>222</v>
      </c>
      <c r="B77" s="2" t="s">
        <v>223</v>
      </c>
      <c r="C77" s="23" t="n">
        <v>4392</v>
      </c>
      <c r="D77" s="3"/>
      <c r="E77" s="3"/>
      <c r="F77" s="2"/>
      <c r="G77" s="9" t="s">
        <v>100</v>
      </c>
    </row>
    <row r="78" customFormat="false" ht="15" hidden="false" customHeight="false" outlineLevel="0" collapsed="false">
      <c r="A78" s="2" t="s">
        <v>224</v>
      </c>
      <c r="B78" s="2" t="s">
        <v>225</v>
      </c>
      <c r="C78" s="24" t="n">
        <f aca="false">c_major_bleed_2011*inflate</f>
        <v>6014.73227689741</v>
      </c>
      <c r="D78" s="24" t="n">
        <f aca="false">0.75*c_major_bleed_2011*inflate</f>
        <v>4511.04920767306</v>
      </c>
      <c r="E78" s="24" t="n">
        <f aca="false">1.25*c_major_bleed_2011*inflate</f>
        <v>7518.41534612177</v>
      </c>
      <c r="F78" s="2" t="s">
        <v>205</v>
      </c>
      <c r="G78" s="9" t="s">
        <v>88</v>
      </c>
    </row>
    <row r="79" customFormat="false" ht="15" hidden="false" customHeight="false" outlineLevel="0" collapsed="false">
      <c r="A79" s="2" t="s">
        <v>226</v>
      </c>
      <c r="B79" s="2" t="s">
        <v>227</v>
      </c>
      <c r="C79" s="23" t="n">
        <v>104</v>
      </c>
      <c r="D79" s="3"/>
      <c r="E79" s="3"/>
      <c r="F79" s="2"/>
      <c r="G79" s="9" t="s">
        <v>100</v>
      </c>
    </row>
    <row r="80" customFormat="false" ht="15" hidden="false" customHeight="false" outlineLevel="0" collapsed="false">
      <c r="A80" s="2" t="s">
        <v>228</v>
      </c>
      <c r="B80" s="2" t="s">
        <v>229</v>
      </c>
      <c r="C80" s="24" t="n">
        <f aca="false">c_minor_bleed_2011*inflate</f>
        <v>142.425354462052</v>
      </c>
      <c r="D80" s="24" t="n">
        <f aca="false">0.75*c_minor_bleed_2011*inflate</f>
        <v>106.819015846539</v>
      </c>
      <c r="E80" s="24" t="n">
        <f aca="false">1.25*c_minor_bleed_2011*inflate</f>
        <v>178.031693077565</v>
      </c>
      <c r="F80" s="2" t="s">
        <v>205</v>
      </c>
      <c r="G80" s="9" t="s">
        <v>88</v>
      </c>
    </row>
    <row r="81" customFormat="false" ht="15" hidden="false" customHeight="false" outlineLevel="0" collapsed="false">
      <c r="A81" s="2" t="s">
        <v>230</v>
      </c>
      <c r="B81" s="2" t="s">
        <v>231</v>
      </c>
      <c r="C81" s="23" t="n">
        <v>7351</v>
      </c>
      <c r="D81" s="3"/>
      <c r="E81" s="3"/>
      <c r="F81" s="2"/>
      <c r="G81" s="9" t="s">
        <v>100</v>
      </c>
    </row>
    <row r="82" customFormat="false" ht="15" hidden="false" customHeight="false" outlineLevel="0" collapsed="false">
      <c r="A82" s="2" t="s">
        <v>232</v>
      </c>
      <c r="B82" s="2" t="s">
        <v>233</v>
      </c>
      <c r="C82" s="24" t="n">
        <f aca="false">c_mi_fatal_2011*inflate</f>
        <v>10067.0075062552</v>
      </c>
      <c r="D82" s="24" t="n">
        <f aca="false">0.75*c_mi_fatal_2011*inflate</f>
        <v>7550.25562969141</v>
      </c>
      <c r="E82" s="24" t="n">
        <f aca="false">1.25*c_mi_fatal_2011*inflate</f>
        <v>12583.759382819</v>
      </c>
      <c r="F82" s="2" t="s">
        <v>205</v>
      </c>
      <c r="G82" s="9" t="s">
        <v>88</v>
      </c>
    </row>
    <row r="83" customFormat="false" ht="15" hidden="false" customHeight="false" outlineLevel="0" collapsed="false">
      <c r="A83" s="2" t="s">
        <v>234</v>
      </c>
      <c r="B83" s="2" t="s">
        <v>235</v>
      </c>
      <c r="C83" s="23" t="n">
        <v>11380</v>
      </c>
      <c r="D83" s="3"/>
      <c r="E83" s="3"/>
      <c r="F83" s="2"/>
      <c r="G83" s="9" t="s">
        <v>100</v>
      </c>
    </row>
    <row r="84" customFormat="false" ht="15" hidden="false" customHeight="false" outlineLevel="0" collapsed="false">
      <c r="A84" s="2" t="s">
        <v>236</v>
      </c>
      <c r="B84" s="2" t="s">
        <v>237</v>
      </c>
      <c r="C84" s="24" t="n">
        <f aca="false">c_mi_nonfatal_2011*inflate</f>
        <v>15584.6205170976</v>
      </c>
      <c r="D84" s="24" t="n">
        <f aca="false">0.75*c_mi_nonfatal_2011*inflate</f>
        <v>11688.4653878232</v>
      </c>
      <c r="E84" s="24" t="n">
        <f aca="false">1.25*c_mi_nonfatal_2011*inflate</f>
        <v>19480.775646372</v>
      </c>
      <c r="F84" s="2" t="s">
        <v>205</v>
      </c>
      <c r="G84" s="9" t="s">
        <v>88</v>
      </c>
    </row>
    <row r="85" customFormat="false" ht="15" hidden="false" customHeight="false" outlineLevel="0" collapsed="false">
      <c r="A85" s="2" t="s">
        <v>238</v>
      </c>
      <c r="B85" s="2" t="s">
        <v>239</v>
      </c>
      <c r="C85" s="23" t="n">
        <v>19069</v>
      </c>
      <c r="D85" s="3"/>
      <c r="E85" s="3"/>
      <c r="F85" s="2"/>
      <c r="G85" s="9" t="s">
        <v>100</v>
      </c>
    </row>
    <row r="86" customFormat="false" ht="15" hidden="false" customHeight="false" outlineLevel="0" collapsed="false">
      <c r="A86" s="2" t="s">
        <v>240</v>
      </c>
      <c r="B86" s="2" t="s">
        <v>241</v>
      </c>
      <c r="C86" s="24" t="n">
        <f aca="false">c_lt_major_stroke_2011*inflate</f>
        <v>26114.5104253545</v>
      </c>
      <c r="D86" s="24" t="n">
        <f aca="false">0.75*c_lt_major_stroke_2011*inflate</f>
        <v>19585.8828190158</v>
      </c>
      <c r="E86" s="24" t="n">
        <f aca="false">1.25*c_lt_major_stroke_2011*inflate</f>
        <v>32643.1380316931</v>
      </c>
      <c r="F86" s="2" t="s">
        <v>205</v>
      </c>
      <c r="G86" s="9" t="s">
        <v>88</v>
      </c>
    </row>
    <row r="87" customFormat="false" ht="15" hidden="false" customHeight="false" outlineLevel="0" collapsed="false">
      <c r="A87" s="2" t="s">
        <v>242</v>
      </c>
      <c r="B87" s="2" t="s">
        <v>243</v>
      </c>
      <c r="C87" s="23" t="n">
        <v>7896</v>
      </c>
      <c r="D87" s="3"/>
      <c r="E87" s="3"/>
      <c r="F87" s="2"/>
      <c r="G87" s="9" t="s">
        <v>100</v>
      </c>
    </row>
    <row r="88" customFormat="false" ht="15" hidden="false" customHeight="false" outlineLevel="0" collapsed="false">
      <c r="A88" s="2" t="s">
        <v>244</v>
      </c>
      <c r="B88" s="2" t="s">
        <v>245</v>
      </c>
      <c r="C88" s="24" t="n">
        <f aca="false">c_lt_minor_stroke_2011*inflate</f>
        <v>10813.3711426189</v>
      </c>
      <c r="D88" s="24" t="n">
        <f aca="false">0.75*c_lt_minor_stroke_2011*inflate</f>
        <v>8110.02835696414</v>
      </c>
      <c r="E88" s="24" t="n">
        <f aca="false">1.25*c_lt_minor_stroke_2011*inflate</f>
        <v>13516.7139282736</v>
      </c>
      <c r="F88" s="2" t="s">
        <v>205</v>
      </c>
      <c r="G88" s="9" t="s">
        <v>88</v>
      </c>
    </row>
    <row r="89" customFormat="false" ht="15" hidden="false" customHeight="false" outlineLevel="0" collapsed="false">
      <c r="A89" s="6" t="s">
        <v>246</v>
      </c>
      <c r="B89" s="7"/>
      <c r="C89" s="7"/>
      <c r="D89" s="7"/>
      <c r="E89" s="7"/>
      <c r="F89" s="7"/>
      <c r="G89" s="7"/>
    </row>
    <row r="90" customFormat="false" ht="15" hidden="false" customHeight="false" outlineLevel="0" collapsed="false">
      <c r="A90" s="2" t="s">
        <v>247</v>
      </c>
      <c r="B90" s="2" t="s">
        <v>248</v>
      </c>
      <c r="C90" s="25" t="n">
        <f aca="false">-LN(1-p_stroke)</f>
        <v>0.0161293819298836</v>
      </c>
      <c r="D90" s="3"/>
      <c r="E90" s="3"/>
      <c r="F90" s="2"/>
      <c r="G90" s="9" t="s">
        <v>78</v>
      </c>
    </row>
    <row r="91" customFormat="false" ht="15" hidden="false" customHeight="false" outlineLevel="0" collapsed="false">
      <c r="A91" s="2" t="s">
        <v>249</v>
      </c>
      <c r="B91" s="2" t="s">
        <v>250</v>
      </c>
      <c r="C91" s="25" t="n">
        <f aca="false">-LN(1-p_tia)</f>
        <v>0.00803217169726427</v>
      </c>
      <c r="D91" s="3"/>
      <c r="E91" s="3"/>
      <c r="F91" s="2"/>
      <c r="G91" s="9" t="s">
        <v>78</v>
      </c>
    </row>
    <row r="92" customFormat="false" ht="15" hidden="false" customHeight="false" outlineLevel="0" collapsed="false">
      <c r="A92" s="2" t="s">
        <v>251</v>
      </c>
      <c r="B92" s="2" t="s">
        <v>252</v>
      </c>
      <c r="C92" s="25" t="n">
        <f aca="false">-LN(1-p_ich)</f>
        <v>0.00803217169726427</v>
      </c>
      <c r="D92" s="3"/>
      <c r="E92" s="3"/>
      <c r="F92" s="2"/>
      <c r="G92" s="9" t="s">
        <v>78</v>
      </c>
    </row>
    <row r="93" customFormat="false" ht="15" hidden="false" customHeight="false" outlineLevel="0" collapsed="false">
      <c r="A93" s="2" t="s">
        <v>253</v>
      </c>
      <c r="B93" s="2" t="s">
        <v>254</v>
      </c>
      <c r="C93" s="25" t="n">
        <f aca="false">-LN(1-p_major_bleed)</f>
        <v>0.0335567835288428</v>
      </c>
      <c r="D93" s="3"/>
      <c r="E93" s="3"/>
      <c r="F93" s="2"/>
      <c r="G93" s="9" t="s">
        <v>78</v>
      </c>
    </row>
    <row r="94" customFormat="false" ht="15" hidden="false" customHeight="false" outlineLevel="0" collapsed="false">
      <c r="A94" s="2" t="s">
        <v>255</v>
      </c>
      <c r="B94" s="2" t="s">
        <v>256</v>
      </c>
      <c r="C94" s="25" t="n">
        <f aca="false">-LN(1-p_minor_bleed)</f>
        <v>0.179126665897435</v>
      </c>
      <c r="D94" s="3"/>
      <c r="E94" s="3"/>
      <c r="F94" s="2"/>
      <c r="G94" s="9" t="s">
        <v>78</v>
      </c>
    </row>
    <row r="95" customFormat="false" ht="15" hidden="false" customHeight="false" outlineLevel="0" collapsed="false">
      <c r="A95" s="2" t="s">
        <v>257</v>
      </c>
      <c r="B95" s="2" t="s">
        <v>258</v>
      </c>
      <c r="C95" s="25" t="n">
        <f aca="false">-LN(1-p_mi)</f>
        <v>0.00601807232556302</v>
      </c>
      <c r="D95" s="3"/>
      <c r="E95" s="3"/>
      <c r="F95" s="2"/>
      <c r="G95" s="9" t="s">
        <v>78</v>
      </c>
    </row>
    <row r="96" customFormat="false" ht="15" hidden="false" customHeight="false" outlineLevel="0" collapsed="false">
      <c r="A96" s="2" t="s">
        <v>259</v>
      </c>
      <c r="B96" s="2" t="s">
        <v>260</v>
      </c>
      <c r="C96" s="25" t="n">
        <f aca="false">MIN(f_stroke_fatal*hr_recur_fatal,1)</f>
        <v>0.37209</v>
      </c>
      <c r="D96" s="3"/>
      <c r="E96" s="3"/>
      <c r="F96" s="2"/>
      <c r="G96" s="9" t="s">
        <v>78</v>
      </c>
    </row>
    <row r="97" customFormat="false" ht="15" hidden="false" customHeight="false" outlineLevel="0" collapsed="false">
      <c r="A97" s="2" t="s">
        <v>261</v>
      </c>
      <c r="B97" s="2" t="s">
        <v>262</v>
      </c>
      <c r="C97" s="25" t="n">
        <f aca="false">(1-p_rankin_5)*u_rankin_3_4+p_rankin_5*u_rankin_5</f>
        <v>0.3326</v>
      </c>
      <c r="D97" s="3"/>
      <c r="E97" s="3"/>
      <c r="F97" s="2"/>
      <c r="G97" s="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263</v>
      </c>
      <c r="B1" s="3"/>
      <c r="C1" s="3"/>
      <c r="D1" s="3"/>
    </row>
    <row r="2" customFormat="false" ht="15" hidden="false" customHeight="false" outlineLevel="0" collapsed="false">
      <c r="A2" s="3"/>
      <c r="B2" s="3"/>
      <c r="C2" s="3"/>
      <c r="D2" s="3"/>
    </row>
    <row r="3" customFormat="false" ht="15" hidden="false" customHeight="false" outlineLevel="0" collapsed="false">
      <c r="A3" s="5" t="s">
        <v>264</v>
      </c>
      <c r="B3" s="5" t="s">
        <v>265</v>
      </c>
      <c r="C3" s="5" t="s">
        <v>266</v>
      </c>
      <c r="D3" s="5" t="s">
        <v>267</v>
      </c>
    </row>
    <row r="4" customFormat="false" ht="15" hidden="false" customHeight="false" outlineLevel="0" collapsed="false">
      <c r="A4" s="2" t="s">
        <v>268</v>
      </c>
      <c r="B4" s="26" t="n">
        <f aca="false">SUM(Apixaban!DT6:DT125)</f>
        <v>22807.8471211962</v>
      </c>
      <c r="C4" s="26" t="n">
        <f aca="false">SUM(Warfarin!DT6:DT125)</f>
        <v>28415.7556272265</v>
      </c>
      <c r="D4" s="27" t="n">
        <f aca="false">B4-C4</f>
        <v>-5607.90850603034</v>
      </c>
    </row>
    <row r="5" customFormat="false" ht="15" hidden="false" customHeight="false" outlineLevel="0" collapsed="false">
      <c r="A5" s="2" t="s">
        <v>269</v>
      </c>
      <c r="B5" s="26" t="n">
        <f aca="false">SUM(Apixaban!DU6:DU125)</f>
        <v>2362.09726662257</v>
      </c>
      <c r="C5" s="26" t="n">
        <f aca="false">SUM(Warfarin!DU6:DU125)</f>
        <v>2791.20294940694</v>
      </c>
      <c r="D5" s="27" t="n">
        <f aca="false">B5-C5</f>
        <v>-429.105682784365</v>
      </c>
    </row>
    <row r="6" customFormat="false" ht="15" hidden="false" customHeight="false" outlineLevel="0" collapsed="false">
      <c r="A6" s="2" t="s">
        <v>270</v>
      </c>
      <c r="B6" s="26" t="n">
        <f aca="false">SUM(Apixaban!DV6:DV125)</f>
        <v>11499.7379340868</v>
      </c>
      <c r="C6" s="26" t="n">
        <f aca="false">SUM(Warfarin!DV6:DV125)</f>
        <v>13952.852027952</v>
      </c>
      <c r="D6" s="27" t="n">
        <f aca="false">B6-C6</f>
        <v>-2453.11409386526</v>
      </c>
    </row>
    <row r="7" customFormat="false" ht="15" hidden="false" customHeight="false" outlineLevel="0" collapsed="false">
      <c r="A7" s="2" t="s">
        <v>271</v>
      </c>
      <c r="B7" s="26" t="n">
        <f aca="false">SUM(Apixaban!DW6:DW125)</f>
        <v>8946.0119204868</v>
      </c>
      <c r="C7" s="26" t="n">
        <f aca="false">SUM(Warfarin!DW6:DW125)</f>
        <v>11671.7006498675</v>
      </c>
      <c r="D7" s="27" t="n">
        <f aca="false">B7-C7</f>
        <v>-2725.68872938071</v>
      </c>
    </row>
    <row r="8" customFormat="false" ht="15" hidden="false" customHeight="false" outlineLevel="0" collapsed="false">
      <c r="A8" s="2" t="s">
        <v>272</v>
      </c>
      <c r="B8" s="28" t="n">
        <f aca="false">SUM(Apixaban!DX6:DX125)</f>
        <v>7.46446505520994</v>
      </c>
      <c r="C8" s="28" t="n">
        <f aca="false">SUM(Warfarin!DX6:DX125)</f>
        <v>7.22819465539139</v>
      </c>
      <c r="D8" s="29" t="n">
        <f aca="false">B8-C8</f>
        <v>0.236270399818552</v>
      </c>
    </row>
    <row r="9" customFormat="false" ht="15" hidden="false" customHeight="false" outlineLevel="0" collapsed="false">
      <c r="A9" s="2" t="s">
        <v>273</v>
      </c>
      <c r="B9" s="28" t="n">
        <f aca="false">SUM(Apixaban!DY6:DY125)</f>
        <v>9.38789091607325</v>
      </c>
      <c r="C9" s="28" t="n">
        <f aca="false">SUM(Warfarin!DY6:DY125)</f>
        <v>9.12943090989414</v>
      </c>
      <c r="D9" s="29" t="n">
        <f aca="false">B9-C9</f>
        <v>0.258460006179106</v>
      </c>
    </row>
    <row r="10" customFormat="false" ht="15" hidden="false" customHeight="false" outlineLevel="0" collapsed="false">
      <c r="A10" s="2" t="s">
        <v>274</v>
      </c>
      <c r="B10" s="26" t="n">
        <f aca="false">SUM(Apixaban!DQ6:DQ125)</f>
        <v>25757.4855175668</v>
      </c>
      <c r="C10" s="26" t="n">
        <f aca="false">SUM(Warfarin!DQ6:DQ125)</f>
        <v>31951.543475908</v>
      </c>
      <c r="D10" s="27" t="n">
        <f aca="false">B10-C10</f>
        <v>-6194.05795834117</v>
      </c>
    </row>
    <row r="11" customFormat="false" ht="15" hidden="false" customHeight="false" outlineLevel="0" collapsed="false">
      <c r="A11" s="2" t="s">
        <v>275</v>
      </c>
      <c r="B11" s="28" t="n">
        <f aca="false">SUM(Apixaban!DR6:DR125)</f>
        <v>8.22504068596018</v>
      </c>
      <c r="C11" s="28" t="n">
        <f aca="false">SUM(Warfarin!DR6:DR125)</f>
        <v>7.94448761206643</v>
      </c>
      <c r="D11" s="29" t="n">
        <f aca="false">B11-C11</f>
        <v>0.280553073893755</v>
      </c>
    </row>
    <row r="12" customFormat="false" ht="15" hidden="false" customHeight="false" outlineLevel="0" collapsed="false">
      <c r="A12" s="2" t="s">
        <v>276</v>
      </c>
      <c r="B12" s="28" t="n">
        <f aca="false">SUM(Apixaban!DS6:DS125)</f>
        <v>10.352352432297</v>
      </c>
      <c r="C12" s="28" t="n">
        <f aca="false">SUM(Warfarin!DS6:DS125)</f>
        <v>10.0433197889533</v>
      </c>
      <c r="D12" s="29" t="n">
        <f aca="false">B12-C12</f>
        <v>0.309032643343672</v>
      </c>
    </row>
    <row r="13" customFormat="false" ht="15" hidden="false" customHeight="false" outlineLevel="0" collapsed="false">
      <c r="A13" s="2" t="s">
        <v>277</v>
      </c>
      <c r="B13" s="30" t="n">
        <f aca="false">SUM(Apixaban!DZ6:DZ125)*1000</f>
        <v>238.605132134123</v>
      </c>
      <c r="C13" s="30" t="n">
        <f aca="false">SUM(Warfarin!DZ6:DZ125)*1000</f>
        <v>281.750502180531</v>
      </c>
      <c r="D13" s="31" t="n">
        <f aca="false">B13-C13</f>
        <v>-43.1453700464076</v>
      </c>
    </row>
    <row r="14" customFormat="false" ht="15" hidden="false" customHeight="false" outlineLevel="0" collapsed="false">
      <c r="A14" s="2" t="s">
        <v>278</v>
      </c>
      <c r="B14" s="30" t="n">
        <f aca="false">SUM(Apixaban!EA6:EA125)*1000</f>
        <v>35.5206002779284</v>
      </c>
      <c r="C14" s="30" t="n">
        <f aca="false">SUM(Warfarin!EA6:EA125)*1000</f>
        <v>69.8032865537313</v>
      </c>
      <c r="D14" s="31" t="n">
        <f aca="false">B14-C14</f>
        <v>-34.2826862758029</v>
      </c>
    </row>
    <row r="15" customFormat="false" ht="15" hidden="false" customHeight="false" outlineLevel="0" collapsed="false">
      <c r="A15" s="2" t="s">
        <v>279</v>
      </c>
      <c r="B15" s="30" t="n">
        <f aca="false">SUM(Apixaban!EB6:EB125)*1000</f>
        <v>292.374589573007</v>
      </c>
      <c r="C15" s="30" t="n">
        <f aca="false">SUM(Warfarin!EB6:EB125)*1000</f>
        <v>338.929920074311</v>
      </c>
      <c r="D15" s="31" t="n">
        <f aca="false">B15-C15</f>
        <v>-46.5553305013038</v>
      </c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4" t="s">
        <v>280</v>
      </c>
      <c r="B17" s="3"/>
      <c r="C17" s="3"/>
      <c r="D17" s="27" t="str">
        <f aca="false">IF(AND(D4&lt;=0,D8&gt;=0),"Apixaban dominant",IF(AND(D4&gt;=0,D8&lt;=0),"Apixaban dominated",D4/D8))</f>
        <v>Apixaban dominant</v>
      </c>
    </row>
    <row r="18" customFormat="false" ht="15" hidden="false" customHeight="false" outlineLevel="0" collapsed="false">
      <c r="A18" s="4" t="s">
        <v>281</v>
      </c>
      <c r="B18" s="3"/>
      <c r="C18" s="3"/>
      <c r="D18" s="27" t="n">
        <f aca="false">D8*wtp-D4</f>
        <v>17421.4284969579</v>
      </c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4" t="s">
        <v>282</v>
      </c>
      <c r="B20" s="3"/>
      <c r="C20" s="3"/>
      <c r="D20" s="3"/>
    </row>
    <row r="21" customFormat="false" ht="15" hidden="false" customHeight="false" outlineLevel="0" collapsed="false">
      <c r="A21" s="3" t="s">
        <v>283</v>
      </c>
      <c r="B21" s="3"/>
      <c r="C21" s="3"/>
      <c r="D21" s="32" t="n">
        <f aca="false">apx_price_tab</f>
        <v>0.4084</v>
      </c>
    </row>
    <row r="22" customFormat="false" ht="15" hidden="false" customHeight="false" outlineLevel="0" collapsed="false">
      <c r="A22" s="3" t="s">
        <v>284</v>
      </c>
      <c r="B22" s="3"/>
      <c r="C22" s="3"/>
      <c r="D22" s="28" t="n">
        <f aca="false">SUM(Apixaban!EC6:EC125)</f>
        <v>7.69619456536221</v>
      </c>
    </row>
    <row r="23" customFormat="false" ht="15" hidden="false" customHeight="false" outlineLevel="0" collapsed="false">
      <c r="A23" s="3" t="s">
        <v>285</v>
      </c>
      <c r="B23" s="3"/>
      <c r="C23" s="3"/>
      <c r="D23" s="33" t="n">
        <f aca="false">D21-D4/(D22*2*days_yr)</f>
        <v>1.40588106593491</v>
      </c>
    </row>
    <row r="24" customFormat="false" ht="15" hidden="false" customHeight="false" outlineLevel="0" collapsed="false">
      <c r="A24" s="3" t="s">
        <v>286</v>
      </c>
      <c r="B24" s="3"/>
      <c r="C24" s="3"/>
      <c r="D24" s="33" t="n">
        <f aca="false">D21+(D8*wtp-D4)/(D22*2*days_yr)</f>
        <v>3.50715688031784</v>
      </c>
    </row>
    <row r="25" customFormat="false" ht="15" hidden="false" customHeight="false" outlineLevel="0" collapsed="false">
      <c r="A25" s="2" t="s">
        <v>287</v>
      </c>
      <c r="B25" s="3"/>
      <c r="C25" s="3"/>
      <c r="D25" s="3"/>
    </row>
    <row r="26" customFormat="false" ht="15" hidden="false" customHeight="false" outlineLevel="0" collapsed="false">
      <c r="A26" s="3"/>
      <c r="B26" s="3"/>
      <c r="C26" s="3"/>
      <c r="D26" s="3"/>
    </row>
    <row r="27" customFormat="false" ht="15" hidden="false" customHeight="false" outlineLevel="0" collapsed="false">
      <c r="A27" s="4" t="s">
        <v>288</v>
      </c>
      <c r="B27" s="3"/>
      <c r="C27" s="3"/>
      <c r="D27" s="3"/>
    </row>
    <row r="28" customFormat="false" ht="15" hidden="false" customHeight="false" outlineLevel="0" collapsed="false">
      <c r="A28" s="3" t="s">
        <v>289</v>
      </c>
      <c r="B28" s="26" t="n">
        <f aca="false">SUM(Apixaban!DQ6:DQ9)</f>
        <v>1218.83604393574</v>
      </c>
      <c r="C28" s="26" t="n">
        <f aca="false">SUM(Warfarin!DQ6:DQ9)</f>
        <v>1607.39703715982</v>
      </c>
      <c r="D28" s="27" t="n">
        <f aca="false">B28-C28</f>
        <v>-388.560993224075</v>
      </c>
    </row>
    <row r="29" customFormat="false" ht="15" hidden="false" customHeight="false" outlineLevel="0" collapsed="false">
      <c r="A29" s="3" t="s">
        <v>290</v>
      </c>
      <c r="B29" s="26" t="n">
        <f aca="false">SUM(Apixaban!DQ10:DQ13)</f>
        <v>1388.84031170425</v>
      </c>
      <c r="C29" s="26" t="n">
        <f aca="false">SUM(Warfarin!DQ10:DQ13)</f>
        <v>1833.51685256663</v>
      </c>
      <c r="D29" s="27" t="n">
        <f aca="false">B29-C29</f>
        <v>-444.676540862381</v>
      </c>
    </row>
    <row r="30" customFormat="false" ht="15" hidden="false" customHeight="false" outlineLevel="0" collapsed="false">
      <c r="A30" s="3" t="s">
        <v>291</v>
      </c>
      <c r="B30" s="26" t="n">
        <f aca="false">SUM(Apixaban!DQ14:DQ17)</f>
        <v>1533.64243408327</v>
      </c>
      <c r="C30" s="26" t="n">
        <f aca="false">SUM(Warfarin!DQ14:DQ17)</f>
        <v>2019.0884896863</v>
      </c>
      <c r="D30" s="27" t="n">
        <f aca="false">B30-C30</f>
        <v>-485.446055603034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292</v>
      </c>
      <c r="B1" s="3"/>
      <c r="C1" s="3"/>
      <c r="D1" s="3"/>
      <c r="E1" s="3"/>
    </row>
    <row r="2" customFormat="false" ht="15" hidden="false" customHeight="false" outlineLevel="0" collapsed="false">
      <c r="A2" s="3" t="s">
        <v>293</v>
      </c>
      <c r="B2" s="3"/>
      <c r="C2" s="3"/>
      <c r="D2" s="3"/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5" t="s">
        <v>294</v>
      </c>
      <c r="B4" s="5" t="s">
        <v>295</v>
      </c>
      <c r="C4" s="5" t="s">
        <v>296</v>
      </c>
      <c r="D4" s="5" t="s">
        <v>297</v>
      </c>
      <c r="E4" s="3"/>
    </row>
    <row r="5" customFormat="false" ht="15" hidden="false" customHeight="false" outlineLevel="0" collapsed="false">
      <c r="A5" s="3" t="s">
        <v>298</v>
      </c>
      <c r="B5" s="34" t="n">
        <f aca="false">MIN(Apixaban!DM6:DM125)</f>
        <v>0.999999999999999</v>
      </c>
      <c r="C5" s="34" t="n">
        <f aca="false">MAX(Apixaban!DM6:DM125)</f>
        <v>1</v>
      </c>
      <c r="D5" s="3" t="str">
        <f aca="false">IF(AND(ABS(B5-1)&lt;0.000000001,ABS(C5-1)&lt;0.000000001),"PASS","CHECK")</f>
        <v>PASS</v>
      </c>
      <c r="E5" s="3"/>
    </row>
    <row r="6" customFormat="false" ht="15" hidden="false" customHeight="false" outlineLevel="0" collapsed="false">
      <c r="A6" s="3" t="s">
        <v>299</v>
      </c>
      <c r="B6" s="34" t="n">
        <f aca="false">MIN(Warfarin!DM6:DM125)</f>
        <v>1</v>
      </c>
      <c r="C6" s="34" t="n">
        <f aca="false">MAX(Warfarin!DM6:DM125)</f>
        <v>1</v>
      </c>
      <c r="D6" s="3" t="str">
        <f aca="false">IF(AND(ABS(B6-1)&lt;0.000000001,ABS(C6-1)&lt;0.000000001),"PASS","CHECK")</f>
        <v>PASS</v>
      </c>
      <c r="E6" s="3"/>
    </row>
    <row r="7" customFormat="false" ht="15" hidden="false" customHeight="false" outlineLevel="0" collapsed="false">
      <c r="A7" s="3"/>
      <c r="B7" s="3"/>
      <c r="C7" s="3"/>
      <c r="D7" s="3"/>
      <c r="E7" s="3"/>
    </row>
    <row r="8" customFormat="false" ht="15" hidden="false" customHeight="false" outlineLevel="0" collapsed="false">
      <c r="A8" s="5" t="s">
        <v>300</v>
      </c>
      <c r="B8" s="5" t="s">
        <v>301</v>
      </c>
      <c r="C8" s="5" t="s">
        <v>302</v>
      </c>
      <c r="D8" s="5" t="s">
        <v>303</v>
      </c>
      <c r="E8" s="5" t="s">
        <v>297</v>
      </c>
    </row>
    <row r="9" customFormat="false" ht="15" hidden="false" customHeight="false" outlineLevel="0" collapsed="false">
      <c r="A9" s="3" t="s">
        <v>304</v>
      </c>
      <c r="B9" s="35" t="n">
        <f aca="false">Results!B4</f>
        <v>22807.8471211962</v>
      </c>
      <c r="C9" s="36" t="n">
        <f aca="false">IF(val_mode=1,24919.455929835,22807.8471211961)</f>
        <v>22807.8471211961</v>
      </c>
      <c r="D9" s="36" t="n">
        <f aca="false">B9-C9</f>
        <v>0</v>
      </c>
      <c r="E9" s="3" t="str">
        <f aca="false">IF(ABS(D9)&lt;0.01,"PASS","CHECK")</f>
        <v>PASS</v>
      </c>
    </row>
    <row r="10" customFormat="false" ht="15" hidden="false" customHeight="false" outlineLevel="0" collapsed="false">
      <c r="A10" s="3" t="s">
        <v>305</v>
      </c>
      <c r="B10" s="35" t="n">
        <f aca="false">Results!C4</f>
        <v>28415.7556272265</v>
      </c>
      <c r="C10" s="36" t="n">
        <f aca="false">IF(val_mode=1,20875.1726832633,28415.7556272264)</f>
        <v>28415.7556272264</v>
      </c>
      <c r="D10" s="36" t="n">
        <f aca="false">B10-C10</f>
        <v>0</v>
      </c>
      <c r="E10" s="3" t="str">
        <f aca="false">IF(ABS(D10)&lt;0.01,"PASS","CHECK")</f>
        <v>PASS</v>
      </c>
    </row>
    <row r="11" customFormat="false" ht="15" hidden="false" customHeight="false" outlineLevel="0" collapsed="false">
      <c r="A11" s="3" t="s">
        <v>306</v>
      </c>
      <c r="B11" s="37" t="n">
        <f aca="false">Results!B8</f>
        <v>7.46446505520994</v>
      </c>
      <c r="C11" s="38" t="n">
        <f aca="false">IF(val_mode=1,7.46446505520995,7.46446505520995)</f>
        <v>7.46446505520995</v>
      </c>
      <c r="D11" s="38" t="n">
        <f aca="false">B11-C11</f>
        <v>0</v>
      </c>
      <c r="E11" s="3" t="str">
        <f aca="false">IF(ABS(D11)&lt;0.000001,"PASS","CHECK")</f>
        <v>PASS</v>
      </c>
    </row>
    <row r="12" customFormat="false" ht="15" hidden="false" customHeight="false" outlineLevel="0" collapsed="false">
      <c r="A12" s="3" t="s">
        <v>307</v>
      </c>
      <c r="B12" s="37" t="n">
        <f aca="false">Results!C8</f>
        <v>7.22819465539139</v>
      </c>
      <c r="C12" s="38" t="n">
        <f aca="false">IF(val_mode=1,7.22819465539138,7.22819465539138)</f>
        <v>7.22819465539138</v>
      </c>
      <c r="D12" s="38" t="n">
        <f aca="false">B12-C12</f>
        <v>0</v>
      </c>
      <c r="E12" s="3" t="str">
        <f aca="false">IF(ABS(D12)&lt;0.000001,"PASS","CHECK")</f>
        <v>PASS</v>
      </c>
    </row>
    <row r="13" customFormat="false" ht="15" hidden="false" customHeight="false" outlineLevel="0" collapsed="false">
      <c r="A13" s="3" t="s">
        <v>308</v>
      </c>
      <c r="B13" s="37" t="n">
        <f aca="false">Results!B9</f>
        <v>9.38789091607325</v>
      </c>
      <c r="C13" s="38" t="n">
        <f aca="false">IF(val_mode=1,9.38789091607325,9.38789091607325)</f>
        <v>9.38789091607325</v>
      </c>
      <c r="D13" s="38" t="n">
        <f aca="false">B13-C13</f>
        <v>0</v>
      </c>
      <c r="E13" s="3" t="str">
        <f aca="false">IF(ABS(D13)&lt;0.000001,"PASS","CHECK")</f>
        <v>PASS</v>
      </c>
    </row>
    <row r="14" customFormat="false" ht="15" hidden="false" customHeight="false" outlineLevel="0" collapsed="false">
      <c r="A14" s="3" t="s">
        <v>309</v>
      </c>
      <c r="B14" s="37" t="n">
        <f aca="false">Results!C9</f>
        <v>9.12943090989414</v>
      </c>
      <c r="C14" s="38" t="n">
        <f aca="false">IF(val_mode=1,9.12943090989414,9.12943090989414)</f>
        <v>9.12943090989414</v>
      </c>
      <c r="D14" s="38" t="n">
        <f aca="false">B14-C14</f>
        <v>0</v>
      </c>
      <c r="E14" s="3" t="str">
        <f aca="false">IF(ABS(D14)&lt;0.000001,"PASS","CHECK")</f>
        <v>PASS</v>
      </c>
    </row>
    <row r="15" customFormat="false" ht="15" hidden="false" customHeight="false" outlineLevel="0" collapsed="false">
      <c r="A15" s="3" t="s">
        <v>310</v>
      </c>
      <c r="B15" s="28" t="n">
        <f aca="false">Results!B13</f>
        <v>238.605132134123</v>
      </c>
      <c r="C15" s="29" t="n">
        <f aca="false">IF(val_mode=1,238.605132134123,238.605132134123)</f>
        <v>238.605132134123</v>
      </c>
      <c r="D15" s="29" t="n">
        <f aca="false">B15-C15</f>
        <v>0</v>
      </c>
      <c r="E15" s="3" t="str">
        <f aca="false">IF(ABS(D15)&lt;0.001,"PASS","CHECK")</f>
        <v>PASS</v>
      </c>
    </row>
    <row r="16" customFormat="false" ht="15" hidden="false" customHeight="false" outlineLevel="0" collapsed="false">
      <c r="A16" s="3" t="s">
        <v>311</v>
      </c>
      <c r="B16" s="28" t="n">
        <f aca="false">Results!C13</f>
        <v>281.750502180531</v>
      </c>
      <c r="C16" s="29" t="n">
        <f aca="false">IF(val_mode=1,281.75050218053,281.75050218053)</f>
        <v>281.75050218053</v>
      </c>
      <c r="D16" s="29" t="n">
        <f aca="false">B16-C16</f>
        <v>0</v>
      </c>
      <c r="E16" s="3" t="str">
        <f aca="false">IF(ABS(D16)&lt;0.001,"PASS","CHECK")</f>
        <v>PASS</v>
      </c>
    </row>
    <row r="17" customFormat="false" ht="15" hidden="false" customHeight="false" outlineLevel="0" collapsed="false">
      <c r="A17" s="3" t="s">
        <v>312</v>
      </c>
      <c r="B17" s="35" t="n">
        <f aca="false">Results!D4</f>
        <v>-5607.90850603034</v>
      </c>
      <c r="C17" s="36" t="n">
        <f aca="false">IF(val_mode=1,4044.28324657166,-5607.90850603029)</f>
        <v>-5607.90850603029</v>
      </c>
      <c r="D17" s="36" t="n">
        <f aca="false">B17-C17</f>
        <v>-4.72937244921923E-011</v>
      </c>
      <c r="E17" s="3" t="str">
        <f aca="false">IF(ABS(D17)&lt;0.01,"PASS","CHECK")</f>
        <v>PASS</v>
      </c>
    </row>
    <row r="18" customFormat="false" ht="15" hidden="false" customHeight="false" outlineLevel="0" collapsed="false">
      <c r="A18" s="3" t="s">
        <v>313</v>
      </c>
      <c r="B18" s="37" t="n">
        <f aca="false">Results!D8</f>
        <v>0.236270399818552</v>
      </c>
      <c r="C18" s="38" t="n">
        <f aca="false">IF(val_mode=1,0.236270399818563,0.236270399818563)</f>
        <v>0.236270399818563</v>
      </c>
      <c r="D18" s="38" t="n">
        <f aca="false">B18-C18</f>
        <v>-1.15463194561016E-014</v>
      </c>
      <c r="E18" s="3" t="str">
        <f aca="false">IF(ABS(D18)&lt;0.000001,"PASS","CHECK")</f>
        <v>PASS</v>
      </c>
    </row>
    <row r="19" customFormat="false" ht="15" hidden="false" customHeight="false" outlineLevel="0" collapsed="false">
      <c r="A19" s="3" t="s">
        <v>314</v>
      </c>
      <c r="B19" s="35" t="n">
        <f aca="false">Results!D18</f>
        <v>17421.4284969579</v>
      </c>
      <c r="C19" s="36" t="n">
        <f aca="false">IF(val_mode=1,7769.2367443565,17421.4284969585)</f>
        <v>17421.4284969585</v>
      </c>
      <c r="D19" s="36" t="n">
        <f aca="false">B19-C19</f>
        <v>-5.27506927028298E-010</v>
      </c>
      <c r="E19" s="3" t="str">
        <f aca="false">IF(ABS(D19)&lt;0.05,"PASS","CHECK")</f>
        <v>PASS</v>
      </c>
    </row>
    <row r="20" customFormat="false" ht="15" hidden="false" customHeight="false" outlineLevel="0" collapsed="false">
      <c r="A20" s="2" t="s">
        <v>315</v>
      </c>
      <c r="B20" s="3"/>
      <c r="C20" s="3"/>
      <c r="D20" s="3"/>
      <c r="E20" s="3"/>
    </row>
    <row r="21" customFormat="false" ht="15" hidden="false" customHeight="false" outlineLevel="0" collapsed="false">
      <c r="A21" s="3"/>
      <c r="B21" s="3"/>
      <c r="C21" s="3"/>
      <c r="D21" s="3"/>
      <c r="E21" s="3"/>
    </row>
    <row r="22" customFormat="false" ht="23.85" hidden="false" customHeight="false" outlineLevel="0" collapsed="false">
      <c r="A22" s="5" t="s">
        <v>316</v>
      </c>
      <c r="B22" s="5" t="s">
        <v>317</v>
      </c>
      <c r="C22" s="5" t="s">
        <v>318</v>
      </c>
      <c r="D22" s="5" t="s">
        <v>301</v>
      </c>
      <c r="E22" s="5" t="s">
        <v>319</v>
      </c>
    </row>
    <row r="23" customFormat="false" ht="15" hidden="false" customHeight="false" outlineLevel="0" collapsed="false">
      <c r="A23" s="3" t="s">
        <v>320</v>
      </c>
      <c r="B23" s="23" t="n">
        <v>20558</v>
      </c>
      <c r="C23" s="23" t="n">
        <v>20875.1726832633</v>
      </c>
      <c r="D23" s="26" t="str">
        <f aca="false">IF(val_mode=1,Results!C4,"set val_mode = 1")</f>
        <v>set val_mode = 1</v>
      </c>
      <c r="E23" s="39" t="n">
        <f aca="false">C23/B23-1</f>
        <v>0.0154281877256202</v>
      </c>
    </row>
    <row r="24" customFormat="false" ht="15" hidden="false" customHeight="false" outlineLevel="0" collapsed="false">
      <c r="A24" s="3" t="s">
        <v>321</v>
      </c>
      <c r="B24" s="21" t="n">
        <v>7.49</v>
      </c>
      <c r="C24" s="21" t="n">
        <v>7.22819465539138</v>
      </c>
      <c r="D24" s="28" t="str">
        <f aca="false">IF(val_mode=1,Results!C8,"set val_mode = 1")</f>
        <v>set val_mode = 1</v>
      </c>
      <c r="E24" s="39" t="n">
        <f aca="false">C24/B24-1</f>
        <v>-0.0349539845939411</v>
      </c>
    </row>
    <row r="25" customFormat="false" ht="15" hidden="false" customHeight="false" outlineLevel="0" collapsed="false">
      <c r="A25" s="3" t="s">
        <v>322</v>
      </c>
      <c r="B25" s="21" t="n">
        <v>9.12</v>
      </c>
      <c r="C25" s="21" t="n">
        <v>9.12943090989414</v>
      </c>
      <c r="D25" s="28" t="str">
        <f aca="false">IF(val_mode=1,Results!C9,"set val_mode = 1")</f>
        <v>set val_mode = 1</v>
      </c>
      <c r="E25" s="39" t="n">
        <f aca="false">C25/B25-1</f>
        <v>0.00103409099716423</v>
      </c>
    </row>
    <row r="26" customFormat="false" ht="15" hidden="false" customHeight="false" outlineLevel="0" collapsed="false">
      <c r="A26" s="3" t="s">
        <v>323</v>
      </c>
      <c r="B26" s="23" t="n">
        <v>24665</v>
      </c>
      <c r="C26" s="23" t="n">
        <v>24919.455929835</v>
      </c>
      <c r="D26" s="26" t="str">
        <f aca="false">IF(val_mode=1,Results!B4,"set val_mode = 1")</f>
        <v>set val_mode = 1</v>
      </c>
      <c r="E26" s="39" t="n">
        <f aca="false">C26/B26-1</f>
        <v>0.0103164779985798</v>
      </c>
    </row>
    <row r="27" customFormat="false" ht="15" hidden="false" customHeight="false" outlineLevel="0" collapsed="false">
      <c r="A27" s="3" t="s">
        <v>324</v>
      </c>
      <c r="B27" s="21" t="n">
        <v>7.67</v>
      </c>
      <c r="C27" s="21" t="n">
        <v>7.46446505520995</v>
      </c>
      <c r="D27" s="28" t="str">
        <f aca="false">IF(val_mode=1,Results!B8,"set val_mode = 1")</f>
        <v>set val_mode = 1</v>
      </c>
      <c r="E27" s="39" t="n">
        <f aca="false">C27/B27-1</f>
        <v>-0.0267972548618064</v>
      </c>
    </row>
    <row r="28" customFormat="false" ht="15" hidden="false" customHeight="false" outlineLevel="0" collapsed="false">
      <c r="A28" s="3" t="s">
        <v>325</v>
      </c>
      <c r="B28" s="21" t="n">
        <v>9.48</v>
      </c>
      <c r="C28" s="21" t="n">
        <v>9.38789091607325</v>
      </c>
      <c r="D28" s="28" t="str">
        <f aca="false">IF(val_mode=1,Results!B9,"set val_mode = 1")</f>
        <v>set val_mode = 1</v>
      </c>
      <c r="E28" s="39" t="n">
        <f aca="false">C28/B28-1</f>
        <v>-0.00971614809353905</v>
      </c>
    </row>
    <row r="29" customFormat="false" ht="15" hidden="false" customHeight="false" outlineLevel="0" collapsed="false">
      <c r="A29" s="3" t="s">
        <v>312</v>
      </c>
      <c r="B29" s="23" t="n">
        <v>4107</v>
      </c>
      <c r="C29" s="23" t="n">
        <v>4044.28324657166</v>
      </c>
      <c r="D29" s="26" t="str">
        <f aca="false">IF(val_mode=1,Results!D4,"set val_mode = 1")</f>
        <v>set val_mode = 1</v>
      </c>
      <c r="E29" s="39" t="n">
        <f aca="false">C29/B29-1</f>
        <v>-0.015270697206802</v>
      </c>
    </row>
    <row r="30" customFormat="false" ht="15" hidden="false" customHeight="false" outlineLevel="0" collapsed="false">
      <c r="A30" s="3" t="s">
        <v>313</v>
      </c>
      <c r="B30" s="21" t="n">
        <v>0.18</v>
      </c>
      <c r="C30" s="21" t="n">
        <v>0.236270399818563</v>
      </c>
      <c r="D30" s="28" t="str">
        <f aca="false">IF(val_mode=1,Results!D8,"set val_mode = 1")</f>
        <v>set val_mode = 1</v>
      </c>
      <c r="E30" s="39" t="n">
        <f aca="false">C30/B30-1</f>
        <v>0.312613332325352</v>
      </c>
    </row>
    <row r="31" customFormat="false" ht="15" hidden="false" customHeight="false" outlineLevel="0" collapsed="false">
      <c r="A31" s="3" t="s">
        <v>326</v>
      </c>
      <c r="B31" s="23" t="n">
        <v>22875</v>
      </c>
      <c r="C31" s="23" t="n">
        <v>17117.1812028817</v>
      </c>
      <c r="D31" s="26" t="str">
        <f aca="false">IF(val_mode=1,Results!D4/Results!D8,"set val_mode = 1")</f>
        <v>set val_mode = 1</v>
      </c>
      <c r="E31" s="39" t="n">
        <f aca="false">C31/B31-1</f>
        <v>-0.251707925557083</v>
      </c>
    </row>
    <row r="32" customFormat="false" ht="15" hidden="false" customHeight="false" outlineLevel="0" collapsed="false">
      <c r="A32" s="3"/>
      <c r="B32" s="3"/>
      <c r="C32" s="3"/>
      <c r="D32" s="3"/>
      <c r="E32" s="3"/>
    </row>
    <row r="33" customFormat="false" ht="15" hidden="false" customHeight="false" outlineLevel="0" collapsed="false">
      <c r="A33" s="3" t="s">
        <v>327</v>
      </c>
      <c r="B33" s="3"/>
      <c r="C33" s="3"/>
      <c r="D33" s="3"/>
      <c r="E33" s="3"/>
    </row>
    <row r="34" customFormat="false" ht="15" hidden="false" customHeight="false" outlineLevel="0" collapsed="false">
      <c r="A34" s="3" t="s">
        <v>328</v>
      </c>
      <c r="B34" s="3"/>
      <c r="C34" s="3"/>
      <c r="D34" s="3"/>
      <c r="E34" s="3"/>
    </row>
    <row r="35" customFormat="false" ht="15" hidden="false" customHeight="false" outlineLevel="0" collapsed="false">
      <c r="A35" s="3" t="s">
        <v>329</v>
      </c>
      <c r="B35" s="3"/>
      <c r="C35" s="3"/>
      <c r="D35" s="3"/>
      <c r="E35" s="3"/>
    </row>
    <row r="36" customFormat="false" ht="15" hidden="false" customHeight="false" outlineLevel="0" collapsed="false">
      <c r="A36" s="3" t="s">
        <v>330</v>
      </c>
      <c r="B36" s="3"/>
      <c r="C36" s="3"/>
      <c r="D36" s="3"/>
      <c r="E36" s="3"/>
    </row>
    <row r="37" customFormat="false" ht="15" hidden="false" customHeight="false" outlineLevel="0" collapsed="false">
      <c r="A37" s="3" t="s">
        <v>331</v>
      </c>
      <c r="B37" s="3"/>
      <c r="C37" s="3"/>
      <c r="D37" s="3"/>
      <c r="E3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5" min="4" style="0" width="2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332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3" t="s">
        <v>333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5" t="s">
        <v>334</v>
      </c>
      <c r="B4" s="5" t="s">
        <v>312</v>
      </c>
      <c r="C4" s="5" t="s">
        <v>313</v>
      </c>
      <c r="D4" s="5" t="s">
        <v>335</v>
      </c>
      <c r="E4" s="5" t="s">
        <v>336</v>
      </c>
      <c r="F4" s="3"/>
    </row>
    <row r="5" customFormat="false" ht="15" hidden="false" customHeight="false" outlineLevel="0" collapsed="false">
      <c r="A5" s="3" t="s">
        <v>337</v>
      </c>
      <c r="B5" s="40" t="n">
        <v>-5607.90850603029</v>
      </c>
      <c r="C5" s="21" t="n">
        <v>0.236270399818563</v>
      </c>
      <c r="D5" s="41" t="s">
        <v>338</v>
      </c>
      <c r="E5" s="23" t="n">
        <v>17421.4284969585</v>
      </c>
      <c r="F5" s="3"/>
    </row>
    <row r="6" customFormat="false" ht="15" hidden="false" customHeight="false" outlineLevel="0" collapsed="false">
      <c r="A6" s="3" t="s">
        <v>339</v>
      </c>
      <c r="B6" s="40" t="n">
        <v>1280.25181724213</v>
      </c>
      <c r="C6" s="21" t="n">
        <v>0.236270399818563</v>
      </c>
      <c r="D6" s="41" t="s">
        <v>340</v>
      </c>
      <c r="E6" s="23" t="n">
        <v>10533.268173686</v>
      </c>
      <c r="F6" s="3"/>
    </row>
    <row r="7" customFormat="false" ht="15" hidden="false" customHeight="false" outlineLevel="0" collapsed="false">
      <c r="A7" s="3" t="s">
        <v>341</v>
      </c>
      <c r="B7" s="40" t="n">
        <v>-6194.05795834115</v>
      </c>
      <c r="C7" s="21" t="n">
        <v>0.280553073893765</v>
      </c>
      <c r="D7" s="41" t="s">
        <v>338</v>
      </c>
      <c r="E7" s="23" t="n">
        <v>20221.7116530294</v>
      </c>
      <c r="F7" s="3"/>
    </row>
    <row r="8" customFormat="false" ht="15" hidden="false" customHeight="false" outlineLevel="0" collapsed="false">
      <c r="A8" s="3" t="s">
        <v>342</v>
      </c>
      <c r="B8" s="40" t="n">
        <v>-5104.61845105004</v>
      </c>
      <c r="C8" s="21" t="n">
        <v>0.200646125581519</v>
      </c>
      <c r="D8" s="41" t="s">
        <v>338</v>
      </c>
      <c r="E8" s="23" t="n">
        <v>15136.924730126</v>
      </c>
      <c r="F8" s="3"/>
    </row>
    <row r="9" customFormat="false" ht="15" hidden="false" customHeight="false" outlineLevel="0" collapsed="false">
      <c r="A9" s="3" t="s">
        <v>343</v>
      </c>
      <c r="B9" s="40" t="n">
        <v>-821.941340859113</v>
      </c>
      <c r="C9" s="21" t="n">
        <v>0.00419469471772027</v>
      </c>
      <c r="D9" s="41" t="s">
        <v>338</v>
      </c>
      <c r="E9" s="23" t="n">
        <v>1031.67607674513</v>
      </c>
      <c r="F9" s="3"/>
    </row>
    <row r="10" customFormat="false" ht="15" hidden="false" customHeight="false" outlineLevel="0" collapsed="false">
      <c r="A10" s="3" t="s">
        <v>344</v>
      </c>
      <c r="B10" s="40" t="n">
        <v>-4357.39728292069</v>
      </c>
      <c r="C10" s="21" t="n">
        <v>0.0974621274401386</v>
      </c>
      <c r="D10" s="41" t="s">
        <v>338</v>
      </c>
      <c r="E10" s="23" t="n">
        <v>9230.50365492762</v>
      </c>
      <c r="F10" s="3"/>
    </row>
    <row r="11" customFormat="false" ht="15" hidden="false" customHeight="false" outlineLevel="0" collapsed="false">
      <c r="A11" s="3" t="s">
        <v>345</v>
      </c>
      <c r="B11" s="40" t="n">
        <v>-4912.09229876214</v>
      </c>
      <c r="C11" s="21" t="n">
        <v>0.206897016496447</v>
      </c>
      <c r="D11" s="41" t="s">
        <v>338</v>
      </c>
      <c r="E11" s="23" t="n">
        <v>15256.9431235845</v>
      </c>
      <c r="F11" s="3"/>
    </row>
    <row r="12" customFormat="false" ht="15" hidden="false" customHeight="false" outlineLevel="0" collapsed="false">
      <c r="A12" s="3" t="s">
        <v>346</v>
      </c>
      <c r="B12" s="40" t="n">
        <v>-2613.64153248555</v>
      </c>
      <c r="C12" s="21" t="n">
        <v>0.0924876167135853</v>
      </c>
      <c r="D12" s="41" t="s">
        <v>338</v>
      </c>
      <c r="E12" s="23" t="n">
        <v>7238.02236816481</v>
      </c>
      <c r="F12" s="3"/>
    </row>
    <row r="13" customFormat="false" ht="15" hidden="false" customHeight="false" outlineLevel="0" collapsed="false">
      <c r="A13" s="3" t="s">
        <v>347</v>
      </c>
      <c r="B13" s="40" t="n">
        <v>-3282.94155859588</v>
      </c>
      <c r="C13" s="21" t="n">
        <v>0.236270399818563</v>
      </c>
      <c r="D13" s="41" t="s">
        <v>338</v>
      </c>
      <c r="E13" s="23" t="n">
        <v>15096.4615495241</v>
      </c>
      <c r="F13" s="3"/>
    </row>
    <row r="14" customFormat="false" ht="15" hidden="false" customHeight="false" outlineLevel="0" collapsed="false">
      <c r="A14" s="3" t="s">
        <v>348</v>
      </c>
      <c r="B14" s="40" t="n">
        <v>-3125.2016289826</v>
      </c>
      <c r="C14" s="21" t="n">
        <v>0.105172191101859</v>
      </c>
      <c r="D14" s="41" t="s">
        <v>338</v>
      </c>
      <c r="E14" s="23" t="n">
        <v>8383.81118407556</v>
      </c>
      <c r="F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</row>
    <row r="17" customFormat="false" ht="15" hidden="false" customHeight="false" outlineLevel="0" collapsed="false">
      <c r="A17" s="42" t="s">
        <v>349</v>
      </c>
      <c r="B17" s="42" t="s">
        <v>350</v>
      </c>
      <c r="C17" s="42" t="s">
        <v>351</v>
      </c>
      <c r="D17" s="42" t="s">
        <v>352</v>
      </c>
      <c r="E17" s="42" t="s">
        <v>353</v>
      </c>
      <c r="F17" s="42" t="s">
        <v>354</v>
      </c>
    </row>
    <row r="18" customFormat="false" ht="15" hidden="false" customHeight="false" outlineLevel="0" collapsed="false">
      <c r="A18" s="3" t="s">
        <v>138</v>
      </c>
      <c r="B18" s="43" t="n">
        <v>0.65</v>
      </c>
      <c r="C18" s="43" t="n">
        <v>0.95</v>
      </c>
      <c r="D18" s="23" t="n">
        <v>23049.4137057608</v>
      </c>
      <c r="E18" s="23" t="n">
        <v>11203.6558794755</v>
      </c>
      <c r="F18" s="23" t="n">
        <v>11845.7578262853</v>
      </c>
    </row>
    <row r="19" customFormat="false" ht="15" hidden="false" customHeight="false" outlineLevel="0" collapsed="false">
      <c r="A19" s="3" t="s">
        <v>355</v>
      </c>
      <c r="B19" s="43" t="n">
        <v>149.1681</v>
      </c>
      <c r="C19" s="43" t="n">
        <v>1193.3448</v>
      </c>
      <c r="D19" s="23" t="n">
        <v>18569.4552175039</v>
      </c>
      <c r="E19" s="23" t="n">
        <v>10533.268173686</v>
      </c>
      <c r="F19" s="23" t="n">
        <v>8036.18704381784</v>
      </c>
    </row>
    <row r="20" customFormat="false" ht="15" hidden="false" customHeight="false" outlineLevel="0" collapsed="false">
      <c r="A20" s="3" t="s">
        <v>93</v>
      </c>
      <c r="B20" s="43" t="n">
        <v>0.025</v>
      </c>
      <c r="C20" s="43" t="n">
        <v>0.041</v>
      </c>
      <c r="D20" s="23" t="n">
        <v>21029.6199504009</v>
      </c>
      <c r="E20" s="23" t="n">
        <v>14837.8296179578</v>
      </c>
      <c r="F20" s="23" t="n">
        <v>6191.79033244312</v>
      </c>
    </row>
    <row r="21" customFormat="false" ht="15" hidden="false" customHeight="false" outlineLevel="0" collapsed="false">
      <c r="A21" s="3" t="s">
        <v>144</v>
      </c>
      <c r="B21" s="43" t="n">
        <v>0.3</v>
      </c>
      <c r="C21" s="43" t="n">
        <v>0.58</v>
      </c>
      <c r="D21" s="23" t="n">
        <v>18892.6599318915</v>
      </c>
      <c r="E21" s="23" t="n">
        <v>15481.9347895304</v>
      </c>
      <c r="F21" s="23" t="n">
        <v>3410.72514236103</v>
      </c>
    </row>
    <row r="22" customFormat="false" ht="15" hidden="false" customHeight="false" outlineLevel="0" collapsed="false">
      <c r="A22" s="3" t="s">
        <v>147</v>
      </c>
      <c r="B22" s="43" t="n">
        <v>0.68</v>
      </c>
      <c r="C22" s="43" t="n">
        <v>0.94</v>
      </c>
      <c r="D22" s="23" t="n">
        <v>18973.7078429497</v>
      </c>
      <c r="E22" s="23" t="n">
        <v>15686.3958455944</v>
      </c>
      <c r="F22" s="23" t="n">
        <v>3287.31199735527</v>
      </c>
    </row>
    <row r="23" customFormat="false" ht="15" hidden="false" customHeight="false" outlineLevel="0" collapsed="false">
      <c r="A23" s="3" t="s">
        <v>102</v>
      </c>
      <c r="B23" s="43" t="n">
        <v>0.012</v>
      </c>
      <c r="C23" s="43" t="n">
        <v>0.02</v>
      </c>
      <c r="D23" s="23" t="n">
        <v>15844.583138009</v>
      </c>
      <c r="E23" s="23" t="n">
        <v>18840.1052978286</v>
      </c>
      <c r="F23" s="23" t="n">
        <v>2995.52215981954</v>
      </c>
    </row>
    <row r="24" customFormat="false" ht="15" hidden="false" customHeight="false" outlineLevel="0" collapsed="false">
      <c r="A24" s="3" t="s">
        <v>106</v>
      </c>
      <c r="B24" s="43" t="n">
        <v>0.006</v>
      </c>
      <c r="C24" s="43" t="n">
        <v>0.01</v>
      </c>
      <c r="D24" s="23" t="n">
        <v>15980.0889731203</v>
      </c>
      <c r="E24" s="23" t="n">
        <v>18824.5533120628</v>
      </c>
      <c r="F24" s="23" t="n">
        <v>2844.46433894245</v>
      </c>
    </row>
    <row r="25" customFormat="false" ht="15" hidden="false" customHeight="false" outlineLevel="0" collapsed="false">
      <c r="A25" s="3" t="s">
        <v>170</v>
      </c>
      <c r="B25" s="43" t="n">
        <v>0.75</v>
      </c>
      <c r="C25" s="43" t="n">
        <v>0.87</v>
      </c>
      <c r="D25" s="23" t="n">
        <v>16041.299765987</v>
      </c>
      <c r="E25" s="23" t="n">
        <v>18801.5572279298</v>
      </c>
      <c r="F25" s="23" t="n">
        <v>2760.25746194275</v>
      </c>
    </row>
    <row r="26" customFormat="false" ht="15" hidden="false" customHeight="false" outlineLevel="0" collapsed="false">
      <c r="A26" s="3" t="s">
        <v>151</v>
      </c>
      <c r="B26" s="43" t="n">
        <v>0.99</v>
      </c>
      <c r="C26" s="43" t="n">
        <v>2.65</v>
      </c>
      <c r="D26" s="23" t="n">
        <v>16405.6259215682</v>
      </c>
      <c r="E26" s="23" t="n">
        <v>18873.4033411382</v>
      </c>
      <c r="F26" s="23" t="n">
        <v>2467.77741957002</v>
      </c>
    </row>
    <row r="27" customFormat="false" ht="15" hidden="false" customHeight="false" outlineLevel="0" collapsed="false">
      <c r="A27" s="3" t="s">
        <v>83</v>
      </c>
      <c r="B27" s="43" t="n">
        <v>164.80941618015</v>
      </c>
      <c r="C27" s="43" t="n">
        <v>494.42824854045</v>
      </c>
      <c r="D27" s="23" t="n">
        <v>16258.9450232413</v>
      </c>
      <c r="E27" s="23" t="n">
        <v>18583.9119706757</v>
      </c>
      <c r="F27" s="23" t="n">
        <v>2324.96694743439</v>
      </c>
    </row>
    <row r="28" customFormat="false" ht="15" hidden="false" customHeight="false" outlineLevel="0" collapsed="false">
      <c r="A28" s="3" t="s">
        <v>173</v>
      </c>
      <c r="B28" s="43" t="n">
        <v>0.67</v>
      </c>
      <c r="C28" s="43" t="n">
        <v>0.83</v>
      </c>
      <c r="D28" s="23" t="n">
        <v>18085.0523162231</v>
      </c>
      <c r="E28" s="23" t="n">
        <v>16757.804677694</v>
      </c>
      <c r="F28" s="23" t="n">
        <v>1327.24763852909</v>
      </c>
    </row>
    <row r="29" customFormat="false" ht="15" hidden="false" customHeight="false" outlineLevel="0" collapsed="false">
      <c r="A29" s="3" t="s">
        <v>134</v>
      </c>
      <c r="B29" s="43" t="n">
        <v>1.2</v>
      </c>
      <c r="C29" s="43" t="n">
        <v>3.5</v>
      </c>
      <c r="D29" s="23" t="n">
        <v>16877.6748471355</v>
      </c>
      <c r="E29" s="23" t="n">
        <v>18033.9857223336</v>
      </c>
      <c r="F29" s="23" t="n">
        <v>1156.31087519805</v>
      </c>
    </row>
    <row r="30" customFormat="false" ht="15" hidden="false" customHeight="false" outlineLevel="0" collapsed="false">
      <c r="A30" s="3" t="s">
        <v>141</v>
      </c>
      <c r="B30" s="43" t="n">
        <v>0.66</v>
      </c>
      <c r="C30" s="43" t="n">
        <v>1.17</v>
      </c>
      <c r="D30" s="23" t="n">
        <v>17899.4618796311</v>
      </c>
      <c r="E30" s="23" t="n">
        <v>16792.9408210031</v>
      </c>
      <c r="F30" s="23" t="n">
        <v>1106.52105862797</v>
      </c>
    </row>
    <row r="31" customFormat="false" ht="15" hidden="false" customHeight="false" outlineLevel="0" collapsed="false">
      <c r="A31" s="3" t="s">
        <v>356</v>
      </c>
      <c r="B31" s="43" t="n">
        <v>8110.02835696414</v>
      </c>
      <c r="C31" s="43" t="n">
        <v>13516.7139282736</v>
      </c>
      <c r="D31" s="23" t="n">
        <v>16972.9278309092</v>
      </c>
      <c r="E31" s="23" t="n">
        <v>17869.9291630077</v>
      </c>
      <c r="F31" s="23" t="n">
        <v>897.001332098429</v>
      </c>
    </row>
    <row r="32" customFormat="false" ht="15" hidden="false" customHeight="false" outlineLevel="0" collapsed="false">
      <c r="A32" s="3" t="s">
        <v>118</v>
      </c>
      <c r="B32" s="43" t="n">
        <v>0.25</v>
      </c>
      <c r="C32" s="43" t="n">
        <v>0.42</v>
      </c>
      <c r="D32" s="23" t="n">
        <v>16985.0099789662</v>
      </c>
      <c r="E32" s="23" t="n">
        <v>17870.5754979478</v>
      </c>
      <c r="F32" s="23" t="n">
        <v>885.565518981563</v>
      </c>
    </row>
    <row r="33" customFormat="false" ht="15" hidden="false" customHeight="false" outlineLevel="0" collapsed="false">
      <c r="A33" s="3" t="s">
        <v>131</v>
      </c>
      <c r="B33" s="43" t="n">
        <v>1.3</v>
      </c>
      <c r="C33" s="43" t="n">
        <v>1.7</v>
      </c>
      <c r="D33" s="23" t="n">
        <v>17026.5659361518</v>
      </c>
      <c r="E33" s="23" t="n">
        <v>17774.8534419401</v>
      </c>
      <c r="F33" s="23" t="n">
        <v>748.287505788296</v>
      </c>
    </row>
    <row r="34" customFormat="false" ht="15" hidden="false" customHeight="false" outlineLevel="0" collapsed="false">
      <c r="A34" s="3" t="s">
        <v>124</v>
      </c>
      <c r="B34" s="43" t="n">
        <v>0.06</v>
      </c>
      <c r="C34" s="43" t="n">
        <v>0.11</v>
      </c>
      <c r="D34" s="23" t="n">
        <v>17118.9338400837</v>
      </c>
      <c r="E34" s="23" t="n">
        <v>17746.1881330182</v>
      </c>
      <c r="F34" s="23" t="n">
        <v>627.254292934555</v>
      </c>
    </row>
    <row r="35" customFormat="false" ht="15" hidden="false" customHeight="false" outlineLevel="0" collapsed="false">
      <c r="A35" s="3" t="s">
        <v>357</v>
      </c>
      <c r="B35" s="43" t="n">
        <v>27</v>
      </c>
      <c r="C35" s="43" t="n">
        <v>110</v>
      </c>
      <c r="D35" s="23" t="n">
        <v>17226.6813189559</v>
      </c>
      <c r="E35" s="23" t="n">
        <v>17812.1219482283</v>
      </c>
      <c r="F35" s="23" t="n">
        <v>585.440629272416</v>
      </c>
    </row>
    <row r="36" customFormat="false" ht="15" hidden="false" customHeight="false" outlineLevel="0" collapsed="false">
      <c r="A36" s="3" t="s">
        <v>97</v>
      </c>
      <c r="B36" s="43" t="n">
        <v>2</v>
      </c>
      <c r="C36" s="43" t="n">
        <v>2.7</v>
      </c>
      <c r="D36" s="23" t="n">
        <v>17186.582355756</v>
      </c>
      <c r="E36" s="23" t="n">
        <v>17685.4739046905</v>
      </c>
      <c r="F36" s="23" t="n">
        <v>498.89154893448</v>
      </c>
    </row>
    <row r="37" customFormat="false" ht="15" hidden="false" customHeight="false" outlineLevel="0" collapsed="false">
      <c r="A37" s="3" t="s">
        <v>163</v>
      </c>
      <c r="B37" s="43" t="n">
        <v>0.47</v>
      </c>
      <c r="C37" s="43" t="n">
        <v>2.73</v>
      </c>
      <c r="D37" s="23" t="n">
        <v>17272.5671839117</v>
      </c>
      <c r="E37" s="23" t="n">
        <v>17762.4979234528</v>
      </c>
      <c r="F37" s="23" t="n">
        <v>489.930739541109</v>
      </c>
    </row>
    <row r="38" customFormat="false" ht="15" hidden="false" customHeight="false" outlineLevel="0" collapsed="false">
      <c r="A38" s="3" t="s">
        <v>358</v>
      </c>
      <c r="B38" s="43" t="n">
        <v>19585.8828190159</v>
      </c>
      <c r="C38" s="43" t="n">
        <v>32643.1380316931</v>
      </c>
      <c r="D38" s="23" t="n">
        <v>17188.5069806625</v>
      </c>
      <c r="E38" s="23" t="n">
        <v>17654.3500132544</v>
      </c>
      <c r="F38" s="23" t="n">
        <v>465.843032591874</v>
      </c>
    </row>
    <row r="39" customFormat="false" ht="15" hidden="false" customHeight="false" outlineLevel="0" collapsed="false">
      <c r="A39" s="3" t="s">
        <v>108</v>
      </c>
      <c r="B39" s="43" t="n">
        <v>0.025</v>
      </c>
      <c r="C39" s="43" t="n">
        <v>0.041</v>
      </c>
      <c r="D39" s="23" t="n">
        <v>17652.0668559928</v>
      </c>
      <c r="E39" s="23" t="n">
        <v>17189.3471100635</v>
      </c>
      <c r="F39" s="23" t="n">
        <v>462.719745929309</v>
      </c>
    </row>
    <row r="40" customFormat="false" ht="15" hidden="false" customHeight="false" outlineLevel="0" collapsed="false">
      <c r="A40" s="3" t="s">
        <v>157</v>
      </c>
      <c r="B40" s="43" t="n">
        <v>0.16</v>
      </c>
      <c r="C40" s="43" t="n">
        <v>1.6</v>
      </c>
      <c r="D40" s="23" t="n">
        <v>17325.8911588431</v>
      </c>
      <c r="E40" s="23" t="n">
        <v>17707.4613230146</v>
      </c>
      <c r="F40" s="23" t="n">
        <v>381.570164171513</v>
      </c>
    </row>
    <row r="41" customFormat="false" ht="15" hidden="false" customHeight="false" outlineLevel="0" collapsed="false">
      <c r="A41" s="3" t="s">
        <v>359</v>
      </c>
      <c r="B41" s="43" t="n">
        <v>58405.3511259383</v>
      </c>
      <c r="C41" s="43" t="n">
        <v>97342.2518765638</v>
      </c>
      <c r="D41" s="23" t="n">
        <v>17240.4381624442</v>
      </c>
      <c r="E41" s="23" t="n">
        <v>17602.4188314727</v>
      </c>
      <c r="F41" s="23" t="n">
        <v>361.980669028468</v>
      </c>
    </row>
    <row r="42" customFormat="false" ht="15" hidden="false" customHeight="false" outlineLevel="0" collapsed="false">
      <c r="A42" s="3" t="s">
        <v>360</v>
      </c>
      <c r="B42" s="43" t="n">
        <v>17007.8469557965</v>
      </c>
      <c r="C42" s="43" t="n">
        <v>28346.4115929942</v>
      </c>
      <c r="D42" s="23" t="n">
        <v>17241.9055135073</v>
      </c>
      <c r="E42" s="23" t="n">
        <v>17600.9514804096</v>
      </c>
      <c r="F42" s="23" t="n">
        <v>359.045966902319</v>
      </c>
    </row>
    <row r="43" customFormat="false" ht="15" hidden="false" customHeight="false" outlineLevel="0" collapsed="false">
      <c r="A43" s="3" t="s">
        <v>361</v>
      </c>
      <c r="B43" s="43" t="n">
        <v>17255.3794829024</v>
      </c>
      <c r="C43" s="43" t="n">
        <v>28758.9658048374</v>
      </c>
      <c r="D43" s="23" t="n">
        <v>17314.3237156631</v>
      </c>
      <c r="E43" s="23" t="n">
        <v>17528.5332782539</v>
      </c>
      <c r="F43" s="23" t="n">
        <v>214.209562590761</v>
      </c>
    </row>
    <row r="44" customFormat="false" ht="15" hidden="false" customHeight="false" outlineLevel="0" collapsed="false">
      <c r="A44" s="3" t="s">
        <v>176</v>
      </c>
      <c r="B44" s="43" t="n">
        <v>0.32</v>
      </c>
      <c r="C44" s="43" t="n">
        <v>0.46</v>
      </c>
      <c r="D44" s="23" t="n">
        <v>17520.6996084648</v>
      </c>
      <c r="E44" s="23" t="n">
        <v>17322.1573854517</v>
      </c>
      <c r="F44" s="23" t="n">
        <v>198.542223013075</v>
      </c>
    </row>
    <row r="45" customFormat="false" ht="15" hidden="false" customHeight="false" outlineLevel="0" collapsed="false">
      <c r="A45" s="3" t="s">
        <v>362</v>
      </c>
      <c r="B45" s="43" t="n">
        <v>4511.04920767306</v>
      </c>
      <c r="C45" s="43" t="n">
        <v>7518.41534612177</v>
      </c>
      <c r="D45" s="23" t="n">
        <v>17356.1417643775</v>
      </c>
      <c r="E45" s="23" t="n">
        <v>17486.7152295395</v>
      </c>
      <c r="F45" s="23" t="n">
        <v>130.573465162008</v>
      </c>
    </row>
    <row r="46" customFormat="false" ht="15" hidden="false" customHeight="false" outlineLevel="0" collapsed="false">
      <c r="A46" s="3" t="s">
        <v>363</v>
      </c>
      <c r="B46" s="43" t="n">
        <v>17255.3794829024</v>
      </c>
      <c r="C46" s="43" t="n">
        <v>28758.9658048374</v>
      </c>
      <c r="D46" s="23" t="n">
        <v>17356.1612654466</v>
      </c>
      <c r="E46" s="23" t="n">
        <v>17486.6957284704</v>
      </c>
      <c r="F46" s="23" t="n">
        <v>130.534463023862</v>
      </c>
    </row>
    <row r="47" customFormat="false" ht="15" hidden="false" customHeight="false" outlineLevel="0" collapsed="false">
      <c r="A47" s="3" t="s">
        <v>154</v>
      </c>
      <c r="B47" s="43" t="n">
        <v>0.84</v>
      </c>
      <c r="C47" s="43" t="n">
        <v>2.39</v>
      </c>
      <c r="D47" s="23" t="n">
        <v>17380.2586108564</v>
      </c>
      <c r="E47" s="23" t="n">
        <v>17489.8799814745</v>
      </c>
      <c r="F47" s="23" t="n">
        <v>109.621370618082</v>
      </c>
    </row>
    <row r="48" customFormat="false" ht="15" hidden="false" customHeight="false" outlineLevel="0" collapsed="false">
      <c r="A48" s="3" t="s">
        <v>182</v>
      </c>
      <c r="B48" s="43" t="n">
        <v>0.1</v>
      </c>
      <c r="C48" s="43" t="n">
        <v>0.31</v>
      </c>
      <c r="D48" s="23" t="n">
        <v>17368.9833814455</v>
      </c>
      <c r="E48" s="23" t="n">
        <v>17473.8736124713</v>
      </c>
      <c r="F48" s="23" t="n">
        <v>104.890231025885</v>
      </c>
    </row>
    <row r="49" customFormat="false" ht="15" hidden="false" customHeight="false" outlineLevel="0" collapsed="false">
      <c r="A49" s="3" t="s">
        <v>115</v>
      </c>
      <c r="B49" s="43" t="n">
        <v>0.18</v>
      </c>
      <c r="C49" s="43" t="n">
        <v>0.3</v>
      </c>
      <c r="D49" s="23" t="n">
        <v>17384.6958054471</v>
      </c>
      <c r="E49" s="23" t="n">
        <v>17464.9210728145</v>
      </c>
      <c r="F49" s="23" t="n">
        <v>80.2252673674302</v>
      </c>
    </row>
    <row r="50" customFormat="false" ht="15" hidden="false" customHeight="false" outlineLevel="0" collapsed="false">
      <c r="A50" s="3" t="s">
        <v>112</v>
      </c>
      <c r="B50" s="43" t="n">
        <v>0.0045</v>
      </c>
      <c r="C50" s="43" t="n">
        <v>0.0075</v>
      </c>
      <c r="D50" s="23" t="n">
        <v>17385.7027670652</v>
      </c>
      <c r="E50" s="23" t="n">
        <v>17456.9628303285</v>
      </c>
      <c r="F50" s="23" t="n">
        <v>71.2600632632857</v>
      </c>
    </row>
    <row r="51" customFormat="false" ht="15" hidden="false" customHeight="false" outlineLevel="0" collapsed="false">
      <c r="A51" s="3" t="s">
        <v>127</v>
      </c>
      <c r="B51" s="43" t="n">
        <v>0.06</v>
      </c>
      <c r="C51" s="43" t="n">
        <v>0.2</v>
      </c>
      <c r="D51" s="23" t="n">
        <v>17391.3313739094</v>
      </c>
      <c r="E51" s="23" t="n">
        <v>17459.8818052563</v>
      </c>
      <c r="F51" s="23" t="n">
        <v>68.5504313468482</v>
      </c>
    </row>
    <row r="52" customFormat="false" ht="15" hidden="false" customHeight="false" outlineLevel="0" collapsed="false">
      <c r="A52" s="3" t="s">
        <v>166</v>
      </c>
      <c r="B52" s="43" t="n">
        <v>0.86</v>
      </c>
      <c r="C52" s="43" t="n">
        <v>2.83</v>
      </c>
      <c r="D52" s="23" t="n">
        <v>17406.5102135314</v>
      </c>
      <c r="E52" s="23" t="n">
        <v>17448.4410489646</v>
      </c>
      <c r="F52" s="23" t="n">
        <v>41.9308354331588</v>
      </c>
    </row>
    <row r="53" customFormat="false" ht="15" hidden="false" customHeight="false" outlineLevel="0" collapsed="false">
      <c r="A53" s="3" t="s">
        <v>179</v>
      </c>
      <c r="B53" s="43" t="n">
        <v>0.06</v>
      </c>
      <c r="C53" s="43" t="n">
        <v>0.16</v>
      </c>
      <c r="D53" s="23" t="n">
        <v>17439.7129334891</v>
      </c>
      <c r="E53" s="23" t="n">
        <v>17403.1440604275</v>
      </c>
      <c r="F53" s="23" t="n">
        <v>36.5688730616057</v>
      </c>
    </row>
    <row r="54" customFormat="false" ht="15" hidden="false" customHeight="false" outlineLevel="0" collapsed="false">
      <c r="A54" s="3" t="s">
        <v>364</v>
      </c>
      <c r="B54" s="43" t="n">
        <v>11688.4653878232</v>
      </c>
      <c r="C54" s="43" t="n">
        <v>19480.775646372</v>
      </c>
      <c r="D54" s="23" t="n">
        <v>17404.8061320948</v>
      </c>
      <c r="E54" s="23" t="n">
        <v>17438.0508618221</v>
      </c>
      <c r="F54" s="23" t="n">
        <v>33.244729727383</v>
      </c>
    </row>
    <row r="55" customFormat="false" ht="15" hidden="false" customHeight="false" outlineLevel="0" collapsed="false">
      <c r="A55" s="3" t="s">
        <v>191</v>
      </c>
      <c r="B55" s="43" t="n">
        <v>0.072</v>
      </c>
      <c r="C55" s="43" t="n">
        <v>0.112</v>
      </c>
      <c r="D55" s="23" t="n">
        <v>17411.4858022069</v>
      </c>
      <c r="E55" s="23" t="n">
        <v>17431.3711917102</v>
      </c>
      <c r="F55" s="23" t="n">
        <v>19.8853895033462</v>
      </c>
    </row>
    <row r="56" customFormat="false" ht="15" hidden="false" customHeight="false" outlineLevel="0" collapsed="false">
      <c r="A56" s="3" t="s">
        <v>160</v>
      </c>
      <c r="B56" s="43" t="n">
        <v>0.32</v>
      </c>
      <c r="C56" s="43" t="n">
        <v>1.22</v>
      </c>
      <c r="D56" s="23" t="n">
        <v>17415.2801464459</v>
      </c>
      <c r="E56" s="23" t="n">
        <v>17432.8969881944</v>
      </c>
      <c r="F56" s="23" t="n">
        <v>17.6168417484732</v>
      </c>
    </row>
    <row r="57" customFormat="false" ht="15" hidden="false" customHeight="false" outlineLevel="0" collapsed="false">
      <c r="A57" s="3" t="s">
        <v>365</v>
      </c>
      <c r="B57" s="43" t="n">
        <v>20</v>
      </c>
      <c r="C57" s="43" t="n">
        <v>60</v>
      </c>
      <c r="D57" s="23" t="n">
        <v>17414.1127006064</v>
      </c>
      <c r="E57" s="23" t="n">
        <v>17429.4820206738</v>
      </c>
      <c r="F57" s="23" t="n">
        <v>15.3693200673661</v>
      </c>
    </row>
    <row r="58" customFormat="false" ht="15" hidden="false" customHeight="false" outlineLevel="0" collapsed="false">
      <c r="A58" s="3" t="s">
        <v>185</v>
      </c>
      <c r="B58" s="43" t="n">
        <v>0.00025</v>
      </c>
      <c r="C58" s="43" t="n">
        <v>0.00033</v>
      </c>
      <c r="D58" s="23" t="n">
        <v>17427.530887103</v>
      </c>
      <c r="E58" s="23" t="n">
        <v>17415.3261068134</v>
      </c>
      <c r="F58" s="23" t="n">
        <v>12.2047802895177</v>
      </c>
    </row>
    <row r="59" customFormat="false" ht="15" hidden="false" customHeight="false" outlineLevel="0" collapsed="false">
      <c r="A59" s="3" t="s">
        <v>110</v>
      </c>
      <c r="B59" s="43" t="n">
        <v>0.123</v>
      </c>
      <c r="C59" s="43" t="n">
        <v>0.205</v>
      </c>
      <c r="D59" s="23" t="n">
        <v>17426.8877329328</v>
      </c>
      <c r="E59" s="23" t="n">
        <v>17415.7803199637</v>
      </c>
      <c r="F59" s="23" t="n">
        <v>11.107412969126</v>
      </c>
    </row>
    <row r="60" customFormat="false" ht="15" hidden="false" customHeight="false" outlineLevel="0" collapsed="false">
      <c r="A60" s="3" t="s">
        <v>121</v>
      </c>
      <c r="B60" s="43" t="n">
        <v>1.21</v>
      </c>
      <c r="C60" s="43" t="n">
        <v>2.03</v>
      </c>
      <c r="D60" s="23" t="n">
        <v>17419.1866297429</v>
      </c>
      <c r="E60" s="23" t="n">
        <v>17426.2041383301</v>
      </c>
      <c r="F60" s="23" t="n">
        <v>7.01750858726155</v>
      </c>
    </row>
    <row r="61" customFormat="false" ht="15" hidden="false" customHeight="false" outlineLevel="0" collapsed="false">
      <c r="A61" s="3" t="s">
        <v>366</v>
      </c>
      <c r="B61" s="43" t="n">
        <v>106.819015846539</v>
      </c>
      <c r="C61" s="43" t="n">
        <v>178.031693077565</v>
      </c>
      <c r="D61" s="23" t="n">
        <v>17423.8621424243</v>
      </c>
      <c r="E61" s="23" t="n">
        <v>17418.9948514927</v>
      </c>
      <c r="F61" s="23" t="n">
        <v>4.86729093159374</v>
      </c>
    </row>
    <row r="62" customFormat="false" ht="15" hidden="false" customHeight="false" outlineLevel="0" collapsed="false">
      <c r="A62" s="3" t="s">
        <v>194</v>
      </c>
      <c r="B62" s="43" t="n">
        <v>0.011</v>
      </c>
      <c r="C62" s="43" t="n">
        <v>0.015</v>
      </c>
      <c r="D62" s="23" t="n">
        <v>17423.1372134114</v>
      </c>
      <c r="E62" s="23" t="n">
        <v>17419.7197805039</v>
      </c>
      <c r="F62" s="23" t="n">
        <v>3.41743290750674</v>
      </c>
    </row>
    <row r="63" customFormat="false" ht="15" hidden="false" customHeight="false" outlineLevel="0" collapsed="false">
      <c r="A63" s="3" t="s">
        <v>367</v>
      </c>
      <c r="B63" s="43" t="n">
        <v>7550.25562969141</v>
      </c>
      <c r="C63" s="43" t="n">
        <v>12583.759382819</v>
      </c>
      <c r="D63" s="23" t="n">
        <v>17419.9504321843</v>
      </c>
      <c r="E63" s="23" t="n">
        <v>17422.9065617327</v>
      </c>
      <c r="F63" s="23" t="n">
        <v>2.95612954838725</v>
      </c>
    </row>
    <row r="64" customFormat="false" ht="15" hidden="false" customHeight="false" outlineLevel="0" collapsed="false">
      <c r="A64" s="3" t="s">
        <v>188</v>
      </c>
      <c r="B64" s="43" t="n">
        <v>0.107</v>
      </c>
      <c r="C64" s="43" t="n">
        <v>0.143</v>
      </c>
      <c r="D64" s="23" t="n">
        <v>17420.4685680102</v>
      </c>
      <c r="E64" s="23" t="n">
        <v>17422.3884259063</v>
      </c>
      <c r="F64" s="23" t="n">
        <v>1.91985789603859</v>
      </c>
    </row>
    <row r="65" customFormat="false" ht="15" hidden="false" customHeight="false" outlineLevel="0" collapsed="false">
      <c r="A65" s="3" t="s">
        <v>104</v>
      </c>
      <c r="B65" s="43" t="n">
        <v>0.006</v>
      </c>
      <c r="C65" s="43" t="n">
        <v>0.01</v>
      </c>
      <c r="D65" s="23" t="n">
        <v>17422.1165010812</v>
      </c>
      <c r="E65" s="23" t="n">
        <v>17420.7370961212</v>
      </c>
      <c r="F65" s="23" t="n">
        <v>1.37940496000374</v>
      </c>
    </row>
    <row r="66" customFormat="false" ht="15" hidden="false" customHeight="false" outlineLevel="0" collapsed="false">
      <c r="A66" s="3" t="s">
        <v>368</v>
      </c>
      <c r="B66" s="43" t="n">
        <v>4412.44703919933</v>
      </c>
      <c r="C66" s="43" t="n">
        <v>7354.07839866555</v>
      </c>
      <c r="D66" s="23" t="n">
        <v>17421.988821018</v>
      </c>
      <c r="E66" s="23" t="n">
        <v>17420.868172899</v>
      </c>
      <c r="F66" s="23" t="n">
        <v>1.12064811903838</v>
      </c>
    </row>
    <row r="67" customFormat="false" ht="15" hidden="false" customHeight="false" outlineLevel="0" collapsed="false">
      <c r="A67" s="3" t="s">
        <v>197</v>
      </c>
      <c r="B67" s="43" t="n">
        <v>0.087</v>
      </c>
      <c r="C67" s="43" t="n">
        <v>0.119</v>
      </c>
      <c r="D67" s="23" t="n">
        <v>17421.5046892462</v>
      </c>
      <c r="E67" s="23" t="n">
        <v>17421.3523046709</v>
      </c>
      <c r="F67" s="23" t="n">
        <v>0.152384575270844</v>
      </c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</row>
    <row r="69" customFormat="false" ht="15" hidden="false" customHeight="false" outlineLevel="0" collapsed="false">
      <c r="A69" s="42" t="s">
        <v>369</v>
      </c>
      <c r="B69" s="42" t="s">
        <v>370</v>
      </c>
      <c r="C69" s="3"/>
      <c r="D69" s="3"/>
      <c r="E69" s="3"/>
      <c r="F69" s="3"/>
    </row>
    <row r="70" customFormat="false" ht="15" hidden="false" customHeight="false" outlineLevel="0" collapsed="false">
      <c r="A70" s="3" t="s">
        <v>371</v>
      </c>
      <c r="B70" s="23" t="n">
        <v>23168.0513932443</v>
      </c>
      <c r="C70" s="3"/>
      <c r="D70" s="3"/>
      <c r="E70" s="3"/>
      <c r="F70" s="3"/>
    </row>
    <row r="71" customFormat="false" ht="15" hidden="false" customHeight="false" outlineLevel="0" collapsed="false">
      <c r="A71" s="3" t="s">
        <v>372</v>
      </c>
      <c r="B71" s="21" t="n">
        <v>7.44833615429814</v>
      </c>
      <c r="C71" s="3"/>
      <c r="D71" s="3"/>
      <c r="E71" s="3"/>
      <c r="F71" s="3"/>
    </row>
    <row r="72" customFormat="false" ht="15" hidden="false" customHeight="false" outlineLevel="0" collapsed="false">
      <c r="A72" s="3" t="s">
        <v>373</v>
      </c>
      <c r="B72" s="23" t="n">
        <v>28757.3285943511</v>
      </c>
      <c r="C72" s="3"/>
      <c r="D72" s="3"/>
      <c r="E72" s="3"/>
      <c r="F72" s="3"/>
    </row>
    <row r="73" customFormat="false" ht="15" hidden="false" customHeight="false" outlineLevel="0" collapsed="false">
      <c r="A73" s="3" t="s">
        <v>374</v>
      </c>
      <c r="B73" s="21" t="n">
        <v>7.21250743253209</v>
      </c>
      <c r="C73" s="3"/>
      <c r="D73" s="3"/>
      <c r="E73" s="3"/>
      <c r="F73" s="3"/>
    </row>
    <row r="74" customFormat="false" ht="15" hidden="false" customHeight="false" outlineLevel="0" collapsed="false">
      <c r="A74" s="3" t="s">
        <v>375</v>
      </c>
      <c r="B74" s="40" t="n">
        <v>-5589.27720110682</v>
      </c>
      <c r="C74" s="3"/>
      <c r="D74" s="3"/>
      <c r="E74" s="3"/>
      <c r="F74" s="3"/>
    </row>
    <row r="75" customFormat="false" ht="15" hidden="false" customHeight="false" outlineLevel="0" collapsed="false">
      <c r="A75" s="3" t="s">
        <v>376</v>
      </c>
      <c r="B75" s="40" t="n">
        <v>-8352.14720375992</v>
      </c>
      <c r="C75" s="3"/>
      <c r="D75" s="3"/>
      <c r="E75" s="3"/>
      <c r="F75" s="3"/>
    </row>
    <row r="76" customFormat="false" ht="15" hidden="false" customHeight="false" outlineLevel="0" collapsed="false">
      <c r="A76" s="3" t="s">
        <v>377</v>
      </c>
      <c r="B76" s="40" t="n">
        <v>-3242.32465261863</v>
      </c>
      <c r="C76" s="3"/>
      <c r="D76" s="3"/>
      <c r="E76" s="3"/>
      <c r="F76" s="3"/>
    </row>
    <row r="77" customFormat="false" ht="15" hidden="false" customHeight="false" outlineLevel="0" collapsed="false">
      <c r="A77" s="3" t="s">
        <v>378</v>
      </c>
      <c r="B77" s="21" t="n">
        <v>0.235828721766043</v>
      </c>
      <c r="C77" s="3"/>
      <c r="D77" s="3"/>
      <c r="E77" s="3"/>
      <c r="F77" s="3"/>
    </row>
    <row r="78" customFormat="false" ht="15" hidden="false" customHeight="false" outlineLevel="0" collapsed="false">
      <c r="A78" s="3" t="s">
        <v>379</v>
      </c>
      <c r="B78" s="21" t="n">
        <v>0.126587867808496</v>
      </c>
      <c r="C78" s="3"/>
      <c r="D78" s="3"/>
      <c r="E78" s="3"/>
      <c r="F78" s="3"/>
    </row>
    <row r="79" customFormat="false" ht="15" hidden="false" customHeight="false" outlineLevel="0" collapsed="false">
      <c r="A79" s="3" t="s">
        <v>380</v>
      </c>
      <c r="B79" s="21" t="n">
        <v>0.358781414907798</v>
      </c>
      <c r="C79" s="3"/>
      <c r="D79" s="3"/>
      <c r="E79" s="3"/>
      <c r="F79" s="3"/>
    </row>
    <row r="80" customFormat="false" ht="15" hidden="false" customHeight="false" outlineLevel="0" collapsed="false">
      <c r="A80" s="3" t="s">
        <v>381</v>
      </c>
      <c r="B80" s="44" t="n">
        <v>1</v>
      </c>
      <c r="C80" s="3"/>
      <c r="D80" s="3"/>
      <c r="E80" s="3"/>
      <c r="F80" s="3"/>
    </row>
    <row r="81" customFormat="false" ht="15" hidden="false" customHeight="false" outlineLevel="0" collapsed="false">
      <c r="A81" s="3" t="s">
        <v>382</v>
      </c>
      <c r="B81" s="44" t="n">
        <v>1</v>
      </c>
      <c r="C81" s="3"/>
      <c r="D81" s="3"/>
      <c r="E81" s="3"/>
      <c r="F8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383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5" t="s">
        <v>384</v>
      </c>
      <c r="B3" s="5" t="s">
        <v>385</v>
      </c>
      <c r="C3" s="5" t="s">
        <v>386</v>
      </c>
      <c r="D3" s="5" t="s">
        <v>387</v>
      </c>
      <c r="E3" s="5" t="s">
        <v>388</v>
      </c>
      <c r="F3" s="5" t="s">
        <v>389</v>
      </c>
      <c r="G3" s="5" t="s">
        <v>390</v>
      </c>
    </row>
    <row r="4" customFormat="false" ht="15" hidden="false" customHeight="false" outlineLevel="0" collapsed="false">
      <c r="A4" s="3" t="s">
        <v>391</v>
      </c>
      <c r="B4" s="3" t="s">
        <v>392</v>
      </c>
      <c r="C4" s="32" t="n">
        <f aca="false">apx_price_tab</f>
        <v>0.4084</v>
      </c>
      <c r="D4" s="41" t="n">
        <v>2</v>
      </c>
      <c r="E4" s="45" t="n">
        <f aca="false">C4*D4</f>
        <v>0.8168</v>
      </c>
      <c r="F4" s="27" t="n">
        <f aca="false">E4*days_yr</f>
        <v>298.3362</v>
      </c>
      <c r="G4" s="3" t="s">
        <v>393</v>
      </c>
    </row>
    <row r="5" customFormat="false" ht="15" hidden="false" customHeight="false" outlineLevel="0" collapsed="false">
      <c r="A5" s="3" t="s">
        <v>394</v>
      </c>
      <c r="B5" s="3" t="s">
        <v>395</v>
      </c>
      <c r="C5" s="46" t="n">
        <v>0.7348</v>
      </c>
      <c r="D5" s="41" t="n">
        <v>1</v>
      </c>
      <c r="E5" s="45" t="n">
        <f aca="false">C5*D5</f>
        <v>0.7348</v>
      </c>
      <c r="F5" s="27" t="n">
        <f aca="false">E5*days_yr</f>
        <v>268.3857</v>
      </c>
      <c r="G5" s="3" t="s">
        <v>396</v>
      </c>
    </row>
    <row r="6" customFormat="false" ht="15" hidden="false" customHeight="false" outlineLevel="0" collapsed="false">
      <c r="A6" s="3" t="s">
        <v>397</v>
      </c>
      <c r="B6" s="3" t="s">
        <v>392</v>
      </c>
      <c r="C6" s="46" t="n">
        <v>1.6336</v>
      </c>
      <c r="D6" s="41" t="n">
        <v>2</v>
      </c>
      <c r="E6" s="45" t="n">
        <f aca="false">C6*D6</f>
        <v>3.2672</v>
      </c>
      <c r="F6" s="27" t="n">
        <f aca="false">E6*days_yr</f>
        <v>1193.3448</v>
      </c>
      <c r="G6" s="3" t="s">
        <v>398</v>
      </c>
    </row>
    <row r="7" customFormat="false" ht="15" hidden="false" customHeight="false" outlineLevel="0" collapsed="false">
      <c r="A7" s="3" t="s">
        <v>399</v>
      </c>
      <c r="B7" s="3" t="s">
        <v>400</v>
      </c>
      <c r="C7" s="3"/>
      <c r="D7" s="3"/>
      <c r="E7" s="45" t="n">
        <f aca="false">F7/days_yr</f>
        <v>1.0519612111165</v>
      </c>
      <c r="F7" s="26" t="n">
        <f aca="false">c_warfarin+c_inr</f>
        <v>384.2288323603</v>
      </c>
      <c r="G7" s="3" t="s">
        <v>401</v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5" hidden="false" customHeight="true" outlineLevel="0" collapsed="false">
      <c r="A9" s="47" t="s">
        <v>402</v>
      </c>
      <c r="B9" s="47"/>
      <c r="C9" s="47"/>
      <c r="D9" s="47"/>
      <c r="E9" s="47"/>
      <c r="F9" s="47"/>
      <c r="G9" s="47"/>
    </row>
    <row r="10" customFormat="false" ht="15" hidden="false" customHeight="false" outlineLevel="0" collapsed="false">
      <c r="A10" s="47"/>
      <c r="B10" s="47"/>
      <c r="C10" s="47"/>
      <c r="D10" s="47"/>
      <c r="E10" s="47"/>
      <c r="F10" s="47"/>
      <c r="G10" s="47"/>
    </row>
    <row r="11" customFormat="false" ht="15" hidden="false" customHeight="false" outlineLevel="0" collapsed="false">
      <c r="A11" s="47"/>
      <c r="B11" s="47"/>
      <c r="C11" s="47"/>
      <c r="D11" s="47"/>
      <c r="E11" s="47"/>
      <c r="F11" s="47"/>
      <c r="G11" s="47"/>
    </row>
    <row r="12" customFormat="false" ht="15" hidden="false" customHeight="false" outlineLevel="0" collapsed="false">
      <c r="A12" s="3" t="s">
        <v>403</v>
      </c>
      <c r="B12" s="3"/>
      <c r="C12" s="3"/>
      <c r="D12" s="3"/>
      <c r="E12" s="3"/>
      <c r="F12" s="3"/>
      <c r="G12" s="3"/>
    </row>
  </sheetData>
  <mergeCells count="1">
    <mergeCell ref="A9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404</v>
      </c>
      <c r="B1" s="3"/>
      <c r="C1" s="3"/>
      <c r="D1" s="3"/>
    </row>
    <row r="2" customFormat="false" ht="15" hidden="false" customHeight="false" outlineLevel="0" collapsed="false">
      <c r="A2" s="3"/>
      <c r="B2" s="3"/>
      <c r="C2" s="3"/>
      <c r="D2" s="3"/>
    </row>
    <row r="3" customFormat="false" ht="15" hidden="false" customHeight="false" outlineLevel="0" collapsed="false">
      <c r="A3" s="5" t="s">
        <v>405</v>
      </c>
      <c r="B3" s="5" t="s">
        <v>370</v>
      </c>
      <c r="C3" s="5" t="s">
        <v>30</v>
      </c>
      <c r="D3" s="3"/>
    </row>
    <row r="4" customFormat="false" ht="15" hidden="false" customHeight="false" outlineLevel="0" collapsed="false">
      <c r="A4" s="3" t="s">
        <v>406</v>
      </c>
      <c r="B4" s="48" t="n">
        <v>3100000</v>
      </c>
      <c r="C4" s="3" t="s">
        <v>407</v>
      </c>
      <c r="D4" s="3"/>
    </row>
    <row r="5" customFormat="false" ht="15" hidden="false" customHeight="false" outlineLevel="0" collapsed="false">
      <c r="A5" s="3" t="s">
        <v>408</v>
      </c>
      <c r="B5" s="11" t="n">
        <v>0.059</v>
      </c>
      <c r="C5" s="3" t="s">
        <v>409</v>
      </c>
      <c r="D5" s="3"/>
    </row>
    <row r="6" customFormat="false" ht="15" hidden="false" customHeight="false" outlineLevel="0" collapsed="false">
      <c r="A6" s="3" t="s">
        <v>410</v>
      </c>
      <c r="B6" s="13" t="n">
        <v>0.6</v>
      </c>
      <c r="C6" s="3" t="s">
        <v>411</v>
      </c>
      <c r="D6" s="3"/>
    </row>
    <row r="7" customFormat="false" ht="15" hidden="false" customHeight="false" outlineLevel="0" collapsed="false">
      <c r="A7" s="3" t="s">
        <v>412</v>
      </c>
      <c r="B7" s="13" t="n">
        <v>0.15</v>
      </c>
      <c r="C7" s="3" t="s">
        <v>413</v>
      </c>
      <c r="D7" s="3"/>
    </row>
    <row r="8" customFormat="false" ht="15" hidden="false" customHeight="false" outlineLevel="0" collapsed="false">
      <c r="A8" s="3" t="s">
        <v>414</v>
      </c>
      <c r="B8" s="13" t="n">
        <v>0.25</v>
      </c>
      <c r="C8" s="3" t="s">
        <v>411</v>
      </c>
      <c r="D8" s="3"/>
    </row>
    <row r="9" customFormat="false" ht="15" hidden="false" customHeight="false" outlineLevel="0" collapsed="false">
      <c r="A9" s="3" t="s">
        <v>415</v>
      </c>
      <c r="B9" s="13" t="n">
        <v>0.5</v>
      </c>
      <c r="C9" s="3" t="s">
        <v>411</v>
      </c>
      <c r="D9" s="3"/>
    </row>
    <row r="10" customFormat="false" ht="15" hidden="false" customHeight="false" outlineLevel="0" collapsed="false">
      <c r="A10" s="3" t="s">
        <v>416</v>
      </c>
      <c r="B10" s="13" t="n">
        <v>0.75</v>
      </c>
      <c r="C10" s="3" t="s">
        <v>411</v>
      </c>
      <c r="D10" s="3"/>
    </row>
    <row r="11" customFormat="false" ht="15" hidden="false" customHeight="false" outlineLevel="0" collapsed="false">
      <c r="A11" s="3"/>
      <c r="B11" s="3"/>
      <c r="C11" s="3"/>
      <c r="D11" s="3"/>
    </row>
    <row r="12" customFormat="false" ht="15" hidden="false" customHeight="false" outlineLevel="0" collapsed="false">
      <c r="A12" s="3" t="s">
        <v>417</v>
      </c>
      <c r="B12" s="49" t="n">
        <f aca="false">pop_65*af_prev*share_oac*share_warf</f>
        <v>16461</v>
      </c>
      <c r="C12" s="3"/>
      <c r="D12" s="3"/>
    </row>
    <row r="13" customFormat="false" ht="15" hidden="false" customHeight="false" outlineLevel="0" collapsed="false">
      <c r="A13" s="3" t="s">
        <v>418</v>
      </c>
      <c r="B13" s="36" t="n">
        <f aca="false">c_apixaban-c_warfarin</f>
        <v>243.7262</v>
      </c>
      <c r="C13" s="3" t="s">
        <v>419</v>
      </c>
      <c r="D13" s="3"/>
    </row>
    <row r="14" customFormat="false" ht="15" hidden="false" customHeight="false" outlineLevel="0" collapsed="false">
      <c r="A14" s="3"/>
      <c r="B14" s="3"/>
      <c r="C14" s="3"/>
      <c r="D14" s="3"/>
    </row>
    <row r="15" customFormat="false" ht="102.2" hidden="false" customHeight="false" outlineLevel="0" collapsed="false">
      <c r="A15" s="5" t="s">
        <v>420</v>
      </c>
      <c r="B15" s="5" t="s">
        <v>421</v>
      </c>
      <c r="C15" s="5" t="s">
        <v>422</v>
      </c>
      <c r="D15" s="5" t="s">
        <v>423</v>
      </c>
    </row>
    <row r="16" customFormat="false" ht="15" hidden="false" customHeight="false" outlineLevel="0" collapsed="false">
      <c r="A16" s="3" t="s">
        <v>289</v>
      </c>
      <c r="B16" s="49" t="n">
        <f aca="false">$B$12*uptake_y1</f>
        <v>4115.25</v>
      </c>
      <c r="C16" s="27" t="n">
        <f aca="false">B16*$B$13</f>
        <v>1002994.24455</v>
      </c>
      <c r="D16" s="27" t="n">
        <f aca="false">B16*hs_diff_y1</f>
        <v>-1599025.62736537</v>
      </c>
    </row>
    <row r="17" customFormat="false" ht="15" hidden="false" customHeight="false" outlineLevel="0" collapsed="false">
      <c r="A17" s="3" t="s">
        <v>290</v>
      </c>
      <c r="B17" s="49" t="n">
        <f aca="false">$B$12*uptake_y2</f>
        <v>8230.5</v>
      </c>
      <c r="C17" s="27" t="n">
        <f aca="false">B17*$B$13</f>
        <v>2005988.4891</v>
      </c>
      <c r="D17" s="27" t="n">
        <f aca="false">B17*hs_diff_y2</f>
        <v>-3659910.26956783</v>
      </c>
    </row>
    <row r="18" customFormat="false" ht="15" hidden="false" customHeight="false" outlineLevel="0" collapsed="false">
      <c r="A18" s="3" t="s">
        <v>291</v>
      </c>
      <c r="B18" s="49" t="n">
        <f aca="false">$B$12*uptake_y3</f>
        <v>12345.75</v>
      </c>
      <c r="C18" s="27" t="n">
        <f aca="false">B18*$B$13</f>
        <v>3008982.73365</v>
      </c>
      <c r="D18" s="27" t="n">
        <f aca="false">B18*hs_diff_y3</f>
        <v>-5993195.64096115</v>
      </c>
    </row>
    <row r="19" customFormat="false" ht="15" hidden="false" customHeight="false" outlineLevel="0" collapsed="false">
      <c r="A19" s="4" t="s">
        <v>424</v>
      </c>
      <c r="B19" s="3"/>
      <c r="C19" s="50" t="n">
        <f aca="false">SUM(C16:C18)</f>
        <v>6017965.4673</v>
      </c>
      <c r="D19" s="50" t="n">
        <f aca="false">SUM(D16:D18)</f>
        <v>-11252131.5378944</v>
      </c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true" outlineLevel="0" collapsed="false">
      <c r="A21" s="47" t="s">
        <v>425</v>
      </c>
      <c r="B21" s="47"/>
      <c r="C21" s="47"/>
      <c r="D21" s="47"/>
    </row>
    <row r="22" customFormat="false" ht="15" hidden="false" customHeight="false" outlineLevel="0" collapsed="false">
      <c r="A22" s="47"/>
      <c r="B22" s="47"/>
      <c r="C22" s="47"/>
      <c r="D22" s="47"/>
    </row>
  </sheetData>
  <mergeCells count="1">
    <mergeCell ref="A21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5" t="s">
        <v>426</v>
      </c>
      <c r="B1" s="5" t="s">
        <v>427</v>
      </c>
      <c r="C1" s="5" t="s">
        <v>428</v>
      </c>
      <c r="D1" s="5"/>
      <c r="E1" s="5" t="s">
        <v>429</v>
      </c>
      <c r="F1" s="5"/>
    </row>
    <row r="2" customFormat="false" ht="15" hidden="false" customHeight="false" outlineLevel="0" collapsed="false">
      <c r="A2" s="41" t="n">
        <v>70</v>
      </c>
      <c r="B2" s="22" t="n">
        <v>0.01819</v>
      </c>
      <c r="C2" s="51" t="n">
        <f aca="false">LN(B2)</f>
        <v>-4.00688328645211</v>
      </c>
      <c r="D2" s="3"/>
      <c r="E2" s="3" t="s">
        <v>430</v>
      </c>
      <c r="F2" s="38" t="n">
        <f aca="false">SLOPE(C2:C6,A2:A6)</f>
        <v>0.104633548017094</v>
      </c>
    </row>
    <row r="3" customFormat="false" ht="15" hidden="false" customHeight="false" outlineLevel="0" collapsed="false">
      <c r="A3" s="41" t="n">
        <v>75</v>
      </c>
      <c r="B3" s="22" t="n">
        <v>0.0295</v>
      </c>
      <c r="C3" s="51" t="n">
        <f aca="false">LN(B3)</f>
        <v>-3.52336501563636</v>
      </c>
      <c r="D3" s="3"/>
      <c r="E3" s="3" t="s">
        <v>431</v>
      </c>
      <c r="F3" s="38" t="n">
        <f aca="false">INTERCEPT(C2:C6,A2:A6)</f>
        <v>-11.3576824730669</v>
      </c>
    </row>
    <row r="4" customFormat="false" ht="15" hidden="false" customHeight="false" outlineLevel="0" collapsed="false">
      <c r="A4" s="41" t="n">
        <v>80</v>
      </c>
      <c r="B4" s="22" t="n">
        <v>0.04912</v>
      </c>
      <c r="C4" s="51" t="n">
        <f aca="false">LN(B4)</f>
        <v>-3.01348899514325</v>
      </c>
      <c r="D4" s="3"/>
      <c r="E4" s="3" t="s">
        <v>432</v>
      </c>
      <c r="F4" s="38" t="n">
        <f aca="false">EXP(F3+F2*ref_age)</f>
        <v>0.0177151670318797</v>
      </c>
    </row>
    <row r="5" customFormat="false" ht="15" hidden="false" customHeight="false" outlineLevel="0" collapsed="false">
      <c r="A5" s="41" t="n">
        <v>85</v>
      </c>
      <c r="B5" s="22" t="n">
        <v>0.08399</v>
      </c>
      <c r="C5" s="51" t="n">
        <f aca="false">LN(B5)</f>
        <v>-2.4770575348446</v>
      </c>
      <c r="D5" s="3"/>
      <c r="E5" s="3"/>
      <c r="F5" s="3"/>
    </row>
    <row r="6" customFormat="false" ht="15" hidden="false" customHeight="false" outlineLevel="0" collapsed="false">
      <c r="A6" s="41" t="n">
        <v>90</v>
      </c>
      <c r="B6" s="22" t="n">
        <v>0.14746</v>
      </c>
      <c r="C6" s="51" t="n">
        <f aca="false">LN(B6)</f>
        <v>-1.91419832642063</v>
      </c>
      <c r="D6" s="3"/>
      <c r="E6" s="3" t="s">
        <v>433</v>
      </c>
      <c r="F6" s="3"/>
    </row>
    <row r="7" customFormat="false" ht="15" hidden="false" customHeight="false" outlineLevel="0" collapsed="false">
      <c r="A7" s="3"/>
      <c r="B7" s="3"/>
      <c r="C7" s="3"/>
      <c r="D7" s="3"/>
      <c r="E7" s="3" t="s">
        <v>434</v>
      </c>
      <c r="F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</row>
    <row r="9" customFormat="false" ht="15" hidden="false" customHeight="false" outlineLevel="0" collapsed="false">
      <c r="A9" s="4" t="s">
        <v>426</v>
      </c>
      <c r="B9" s="4" t="s">
        <v>435</v>
      </c>
      <c r="C9" s="4" t="s">
        <v>436</v>
      </c>
      <c r="D9" s="3"/>
      <c r="E9" s="3"/>
      <c r="F9" s="3"/>
    </row>
    <row r="10" customFormat="false" ht="15" hidden="false" customHeight="false" outlineLevel="0" collapsed="false">
      <c r="A10" s="3" t="n">
        <v>70</v>
      </c>
      <c r="B10" s="52" t="n">
        <f aca="false">MIN(EXP(gomp_int+gomp_slope*A10),1)</f>
        <v>0.0177151670318797</v>
      </c>
      <c r="C10" s="52" t="n">
        <f aca="false">MIN(p_nonvasc_death*B10/qx_ref,0.999)</f>
        <v>0.033</v>
      </c>
      <c r="D10" s="3"/>
      <c r="E10" s="3"/>
      <c r="F10" s="3"/>
    </row>
    <row r="11" customFormat="false" ht="15" hidden="false" customHeight="false" outlineLevel="0" collapsed="false">
      <c r="A11" s="3" t="n">
        <v>71</v>
      </c>
      <c r="B11" s="52" t="n">
        <f aca="false">MIN(EXP(gomp_int+gomp_slope*A11),1)</f>
        <v>0.0196692148429292</v>
      </c>
      <c r="C11" s="52" t="n">
        <f aca="false">MIN(p_nonvasc_death*B11/qx_ref,0.999)</f>
        <v>0.0366400208729949</v>
      </c>
      <c r="D11" s="3"/>
      <c r="E11" s="3"/>
      <c r="F11" s="3"/>
    </row>
    <row r="12" customFormat="false" ht="15" hidden="false" customHeight="false" outlineLevel="0" collapsed="false">
      <c r="A12" s="3" t="n">
        <v>72</v>
      </c>
      <c r="B12" s="52" t="n">
        <f aca="false">MIN(EXP(gomp_int+gomp_slope*A12),1)</f>
        <v>0.021838801284859</v>
      </c>
      <c r="C12" s="52" t="n">
        <f aca="false">MIN(p_nonvasc_death*B12/qx_ref,0.999)</f>
        <v>0.0406815493810151</v>
      </c>
      <c r="D12" s="3"/>
      <c r="E12" s="3"/>
      <c r="F12" s="3"/>
    </row>
    <row r="13" customFormat="false" ht="15" hidden="false" customHeight="false" outlineLevel="0" collapsed="false">
      <c r="A13" s="3" t="n">
        <v>73</v>
      </c>
      <c r="B13" s="52" t="n">
        <f aca="false">MIN(EXP(gomp_int+gomp_slope*A13),1)</f>
        <v>0.0242477010581339</v>
      </c>
      <c r="C13" s="52" t="n">
        <f aca="false">MIN(p_nonvasc_death*B13/qx_ref,0.999)</f>
        <v>0.0451688732868535</v>
      </c>
      <c r="D13" s="3"/>
      <c r="E13" s="3"/>
      <c r="F13" s="3"/>
    </row>
    <row r="14" customFormat="false" ht="15" hidden="false" customHeight="false" outlineLevel="0" collapsed="false">
      <c r="A14" s="3" t="n">
        <v>74</v>
      </c>
      <c r="B14" s="52" t="n">
        <f aca="false">MIN(EXP(gomp_int+gomp_slope*A14),1)</f>
        <v>0.0269223112997626</v>
      </c>
      <c r="C14" s="52" t="n">
        <f aca="false">MIN(p_nonvasc_death*B14/qx_ref,0.999)</f>
        <v>0.0501511654557567</v>
      </c>
      <c r="D14" s="3"/>
      <c r="E14" s="3"/>
      <c r="F14" s="3"/>
    </row>
    <row r="15" customFormat="false" ht="15" hidden="false" customHeight="false" outlineLevel="0" collapsed="false">
      <c r="A15" s="3" t="n">
        <v>75</v>
      </c>
      <c r="B15" s="52" t="n">
        <f aca="false">MIN(EXP(gomp_int+gomp_slope*A15),1)</f>
        <v>0.0298919408476536</v>
      </c>
      <c r="C15" s="52" t="n">
        <f aca="false">MIN(p_nonvasc_death*B15/qx_ref,0.999)</f>
        <v>0.0556830227001195</v>
      </c>
      <c r="D15" s="3"/>
      <c r="E15" s="3"/>
      <c r="F15" s="3"/>
    </row>
    <row r="16" customFormat="false" ht="15" hidden="false" customHeight="false" outlineLevel="0" collapsed="false">
      <c r="A16" s="3" t="n">
        <v>76</v>
      </c>
      <c r="B16" s="52" t="n">
        <f aca="false">MIN(EXP(gomp_int+gomp_slope*A16),1)</f>
        <v>0.0331891314118895</v>
      </c>
      <c r="C16" s="52" t="n">
        <f aca="false">MIN(p_nonvasc_death*B16/qx_ref,0.999)</f>
        <v>0.061825064060722</v>
      </c>
      <c r="D16" s="3"/>
      <c r="E16" s="3"/>
      <c r="F16" s="3"/>
    </row>
    <row r="17" customFormat="false" ht="15" hidden="false" customHeight="false" outlineLevel="0" collapsed="false">
      <c r="A17" s="3" t="n">
        <v>77</v>
      </c>
      <c r="B17" s="52" t="n">
        <f aca="false">MIN(EXP(gomp_int+gomp_slope*A17),1)</f>
        <v>0.0368500141723698</v>
      </c>
      <c r="C17" s="52" t="n">
        <f aca="false">MIN(p_nonvasc_death*B17/qx_ref,0.999)</f>
        <v>0.0686445950805788</v>
      </c>
      <c r="D17" s="3"/>
      <c r="E17" s="3"/>
      <c r="F17" s="3"/>
    </row>
    <row r="18" customFormat="false" ht="15" hidden="false" customHeight="false" outlineLevel="0" collapsed="false">
      <c r="A18" s="3" t="n">
        <v>78</v>
      </c>
      <c r="B18" s="52" t="n">
        <f aca="false">MIN(EXP(gomp_int+gomp_slope*A18),1)</f>
        <v>0.0409147057104782</v>
      </c>
      <c r="C18" s="52" t="n">
        <f aca="false">MIN(p_nonvasc_death*B18/qx_ref,0.999)</f>
        <v>0.0762163453506268</v>
      </c>
      <c r="D18" s="3"/>
      <c r="E18" s="3"/>
      <c r="F18" s="3"/>
    </row>
    <row r="19" customFormat="false" ht="15" hidden="false" customHeight="false" outlineLevel="0" collapsed="false">
      <c r="A19" s="3" t="n">
        <v>79</v>
      </c>
      <c r="B19" s="52" t="n">
        <f aca="false">MIN(EXP(gomp_int+gomp_slope*A19),1)</f>
        <v>0.0454277476134656</v>
      </c>
      <c r="C19" s="52" t="n">
        <f aca="false">MIN(p_nonvasc_death*B19/qx_ref,0.999)</f>
        <v>0.0846232874094045</v>
      </c>
      <c r="D19" s="3"/>
      <c r="E19" s="3"/>
      <c r="F19" s="3"/>
    </row>
    <row r="20" customFormat="false" ht="15" hidden="false" customHeight="false" outlineLevel="0" collapsed="false">
      <c r="A20" s="3" t="n">
        <v>80</v>
      </c>
      <c r="B20" s="52" t="n">
        <f aca="false">MIN(EXP(gomp_int+gomp_slope*A20),1)</f>
        <v>0.0504385945688037</v>
      </c>
      <c r="C20" s="52" t="n">
        <f aca="false">MIN(p_nonvasc_death*B20/qx_ref,0.999)</f>
        <v>0.0939575459703644</v>
      </c>
      <c r="D20" s="3"/>
      <c r="E20" s="3"/>
      <c r="F20" s="3"/>
    </row>
    <row r="21" customFormat="false" ht="15" hidden="false" customHeight="false" outlineLevel="0" collapsed="false">
      <c r="A21" s="3" t="n">
        <v>81</v>
      </c>
      <c r="B21" s="52" t="n">
        <f aca="false">MIN(EXP(gomp_int+gomp_slope*A21),1)</f>
        <v>0.0560021562971362</v>
      </c>
      <c r="C21" s="52" t="n">
        <f aca="false">MIN(p_nonvasc_death*B21/qx_ref,0.999)</f>
        <v>0.104321407440289</v>
      </c>
      <c r="D21" s="3"/>
      <c r="E21" s="3"/>
      <c r="F21" s="3"/>
    </row>
    <row r="22" customFormat="false" ht="15" hidden="false" customHeight="false" outlineLevel="0" collapsed="false">
      <c r="A22" s="3" t="n">
        <v>82</v>
      </c>
      <c r="B22" s="52" t="n">
        <f aca="false">MIN(EXP(gomp_int+gomp_slope*A22),1)</f>
        <v>0.0621793992624178</v>
      </c>
      <c r="C22" s="52" t="n">
        <f aca="false">MIN(p_nonvasc_death*B22/qx_ref,0.999)</f>
        <v>0.115828440791284</v>
      </c>
      <c r="D22" s="3"/>
      <c r="E22" s="3"/>
      <c r="F22" s="3"/>
    </row>
    <row r="23" customFormat="false" ht="15" hidden="false" customHeight="false" outlineLevel="0" collapsed="false">
      <c r="A23" s="3" t="n">
        <v>83</v>
      </c>
      <c r="B23" s="52" t="n">
        <f aca="false">MIN(EXP(gomp_int+gomp_slope*A23),1)</f>
        <v>0.069038014752887</v>
      </c>
      <c r="C23" s="52" t="n">
        <f aca="false">MIN(p_nonvasc_death*B23/qx_ref,0.999)</f>
        <v>0.128604742069064</v>
      </c>
      <c r="D23" s="3"/>
      <c r="E23" s="3"/>
      <c r="F23" s="3"/>
    </row>
    <row r="24" customFormat="false" ht="15" hidden="false" customHeight="false" outlineLevel="0" collapsed="false">
      <c r="A24" s="3" t="n">
        <v>84</v>
      </c>
      <c r="B24" s="52" t="n">
        <f aca="false">MIN(EXP(gomp_int+gomp_slope*A24),1)</f>
        <v>0.0766531606538153</v>
      </c>
      <c r="C24" s="52" t="n">
        <f aca="false">MIN(p_nonvasc_death*B24/qx_ref,0.999)</f>
        <v>0.142790316175049</v>
      </c>
      <c r="D24" s="3"/>
      <c r="E24" s="3"/>
      <c r="F24" s="3"/>
    </row>
    <row r="25" customFormat="false" ht="15" hidden="false" customHeight="false" outlineLevel="0" collapsed="false">
      <c r="A25" s="3" t="n">
        <v>85</v>
      </c>
      <c r="B25" s="52" t="n">
        <f aca="false">MIN(EXP(gomp_int+gomp_slope*A25),1)</f>
        <v>0.0851082850405098</v>
      </c>
      <c r="C25" s="52" t="n">
        <f aca="false">MIN(p_nonvasc_death*B25/qx_ref,0.999)</f>
        <v>0.158540611064101</v>
      </c>
      <c r="D25" s="3"/>
      <c r="E25" s="3"/>
      <c r="F25" s="3"/>
    </row>
    <row r="26" customFormat="false" ht="15" hidden="false" customHeight="false" outlineLevel="0" collapsed="false">
      <c r="A26" s="3" t="n">
        <v>86</v>
      </c>
      <c r="B26" s="52" t="n">
        <f aca="false">MIN(EXP(gomp_int+gomp_slope*A26),1)</f>
        <v>0.0944960406166386</v>
      </c>
      <c r="C26" s="52" t="n">
        <f aca="false">MIN(p_nonvasc_death*B26/qx_ref,0.999)</f>
        <v>0.176028221169879</v>
      </c>
      <c r="D26" s="3"/>
      <c r="E26" s="3"/>
      <c r="F26" s="3"/>
    </row>
    <row r="27" customFormat="false" ht="15" hidden="false" customHeight="false" outlineLevel="0" collapsed="false">
      <c r="A27" s="3" t="n">
        <v>87</v>
      </c>
      <c r="B27" s="52" t="n">
        <f aca="false">MIN(EXP(gomp_int+gomp_slope*A27),1)</f>
        <v>0.104919300018455</v>
      </c>
      <c r="C27" s="52" t="n">
        <f aca="false">MIN(p_nonvasc_death*B27/qx_ref,0.999)</f>
        <v>0.195444778724258</v>
      </c>
      <c r="D27" s="3"/>
      <c r="E27" s="3"/>
      <c r="F27" s="3"/>
    </row>
    <row r="28" customFormat="false" ht="15" hidden="false" customHeight="false" outlineLevel="0" collapsed="false">
      <c r="A28" s="3" t="n">
        <v>88</v>
      </c>
      <c r="B28" s="52" t="n">
        <f aca="false">MIN(EXP(gomp_int+gomp_slope*A28),1)</f>
        <v>0.116492283110794</v>
      </c>
      <c r="C28" s="52" t="n">
        <f aca="false">MIN(p_nonvasc_death*B28/qx_ref,0.999)</f>
        <v>0.217003053696202</v>
      </c>
      <c r="D28" s="3"/>
      <c r="E28" s="3"/>
      <c r="F28" s="3"/>
    </row>
    <row r="29" customFormat="false" ht="15" hidden="false" customHeight="false" outlineLevel="0" collapsed="false">
      <c r="A29" s="3" t="n">
        <v>89</v>
      </c>
      <c r="B29" s="52" t="n">
        <f aca="false">MIN(EXP(gomp_int+gomp_slope*A29),1)</f>
        <v>0.129341808627949</v>
      </c>
      <c r="C29" s="52" t="n">
        <f aca="false">MIN(p_nonvasc_death*B29/qx_ref,0.999)</f>
        <v>0.24093928536159</v>
      </c>
      <c r="D29" s="3"/>
      <c r="E29" s="3"/>
      <c r="F29" s="3"/>
    </row>
    <row r="30" customFormat="false" ht="15" hidden="false" customHeight="false" outlineLevel="0" collapsed="false">
      <c r="A30" s="3" t="n">
        <v>90</v>
      </c>
      <c r="B30" s="52" t="n">
        <f aca="false">MIN(EXP(gomp_int+gomp_slope*A30),1)</f>
        <v>0.14360868387512</v>
      </c>
      <c r="C30" s="52" t="n">
        <f aca="false">MIN(p_nonvasc_death*B30/qx_ref,0.999)</f>
        <v>0.267515771053732</v>
      </c>
      <c r="D30" s="3"/>
      <c r="E30" s="3"/>
      <c r="F30" s="3"/>
    </row>
    <row r="31" customFormat="false" ht="15" hidden="false" customHeight="false" outlineLevel="0" collapsed="false">
      <c r="A31" s="3" t="n">
        <v>91</v>
      </c>
      <c r="B31" s="52" t="n">
        <f aca="false">MIN(EXP(gomp_int+gomp_slope*A31),1)</f>
        <v>0.159449247719021</v>
      </c>
      <c r="C31" s="52" t="n">
        <f aca="false">MIN(p_nonvasc_death*B31/qx_ref,0.999)</f>
        <v>0.297023740462546</v>
      </c>
      <c r="D31" s="3"/>
      <c r="E31" s="3"/>
      <c r="F31" s="3"/>
    </row>
    <row r="32" customFormat="false" ht="15" hidden="false" customHeight="false" outlineLevel="0" collapsed="false">
      <c r="A32" s="3" t="n">
        <v>92</v>
      </c>
      <c r="B32" s="52" t="n">
        <f aca="false">MIN(EXP(gomp_int+gomp_slope*A32),1)</f>
        <v>0.177037083776008</v>
      </c>
      <c r="C32" s="52" t="n">
        <f aca="false">MIN(p_nonvasc_death*B32/qx_ref,0.999)</f>
        <v>0.329786546979476</v>
      </c>
      <c r="D32" s="3"/>
      <c r="E32" s="3"/>
      <c r="F32" s="3"/>
    </row>
    <row r="33" customFormat="false" ht="15" hidden="false" customHeight="false" outlineLevel="0" collapsed="false">
      <c r="A33" s="3" t="n">
        <v>93</v>
      </c>
      <c r="B33" s="52" t="n">
        <f aca="false">MIN(EXP(gomp_int+gomp_slope*A33),1)</f>
        <v>0.196564922571123</v>
      </c>
      <c r="C33" s="52" t="n">
        <f aca="false">MIN(p_nonvasc_death*B33/qx_ref,0.999)</f>
        <v>0.366163211059421</v>
      </c>
      <c r="D33" s="3"/>
      <c r="E33" s="3"/>
      <c r="F33" s="3"/>
    </row>
    <row r="34" customFormat="false" ht="15" hidden="false" customHeight="false" outlineLevel="0" collapsed="false">
      <c r="A34" s="3" t="n">
        <v>94</v>
      </c>
      <c r="B34" s="52" t="n">
        <f aca="false">MIN(EXP(gomp_int+gomp_slope*A34),1)</f>
        <v>0.21824675351226</v>
      </c>
      <c r="C34" s="52" t="n">
        <f aca="false">MIN(p_nonvasc_death*B34/qx_ref,0.999)</f>
        <v>0.406552354428485</v>
      </c>
      <c r="D34" s="3"/>
      <c r="E34" s="3"/>
      <c r="F34" s="3"/>
    </row>
    <row r="35" customFormat="false" ht="15" hidden="false" customHeight="false" outlineLevel="0" collapsed="false">
      <c r="A35" s="3" t="n">
        <v>95</v>
      </c>
      <c r="B35" s="52" t="n">
        <f aca="false">MIN(EXP(gomp_int+gomp_slope*A35),1)</f>
        <v>0.242320169822805</v>
      </c>
      <c r="C35" s="52" t="n">
        <f aca="false">MIN(p_nonvasc_death*B35/qx_ref,0.999)</f>
        <v>0.451396568249239</v>
      </c>
      <c r="D35" s="3"/>
      <c r="E35" s="3"/>
      <c r="F35" s="3"/>
    </row>
    <row r="36" customFormat="false" ht="15" hidden="false" customHeight="false" outlineLevel="0" collapsed="false">
      <c r="A36" s="3" t="n">
        <v>96</v>
      </c>
      <c r="B36" s="52" t="n">
        <f aca="false">MIN(EXP(gomp_int+gomp_slope*A36),1)</f>
        <v>0.269048972128946</v>
      </c>
      <c r="C36" s="52" t="n">
        <f aca="false">MIN(p_nonvasc_death*B36/qx_ref,0.999)</f>
        <v>0.501187263110617</v>
      </c>
      <c r="D36" s="3"/>
      <c r="E36" s="3"/>
      <c r="F36" s="3"/>
    </row>
    <row r="37" customFormat="false" ht="15" hidden="false" customHeight="false" outlineLevel="0" collapsed="false">
      <c r="A37" s="3" t="n">
        <v>97</v>
      </c>
      <c r="B37" s="52" t="n">
        <f aca="false">MIN(EXP(gomp_int+gomp_slope*A37),1)</f>
        <v>0.298726059232194</v>
      </c>
      <c r="C37" s="52" t="n">
        <f aca="false">MIN(p_nonvasc_death*B37/qx_ref,0.999)</f>
        <v>0.55647005398946</v>
      </c>
      <c r="D37" s="3"/>
      <c r="E37" s="3"/>
      <c r="F37" s="3"/>
    </row>
    <row r="38" customFormat="false" ht="15" hidden="false" customHeight="false" outlineLevel="0" collapsed="false">
      <c r="A38" s="3" t="n">
        <v>98</v>
      </c>
      <c r="B38" s="52" t="n">
        <f aca="false">MIN(EXP(gomp_int+gomp_slope*A38),1)</f>
        <v>0.3316766377447</v>
      </c>
      <c r="C38" s="52" t="n">
        <f aca="false">MIN(p_nonvasc_death*B38/qx_ref,0.999)</f>
        <v>0.617850739193043</v>
      </c>
      <c r="D38" s="3"/>
      <c r="E38" s="3"/>
      <c r="F38" s="3"/>
    </row>
    <row r="39" customFormat="false" ht="15" hidden="false" customHeight="false" outlineLevel="0" collapsed="false">
      <c r="A39" s="3" t="n">
        <v>99</v>
      </c>
      <c r="B39" s="52" t="n">
        <f aca="false">MIN(EXP(gomp_int+gomp_slope*A39),1)</f>
        <v>0.368261785759108</v>
      </c>
      <c r="C39" s="52" t="n">
        <f aca="false">MIN(p_nonvasc_death*B39/qx_ref,0.999)</f>
        <v>0.68600193880086</v>
      </c>
      <c r="D39" s="3"/>
      <c r="E39" s="3"/>
      <c r="F39" s="3"/>
    </row>
    <row r="40" customFormat="false" ht="15" hidden="false" customHeight="false" outlineLevel="0" collapsed="false">
      <c r="A40" s="3" t="n">
        <v>100</v>
      </c>
      <c r="B40" s="52" t="n">
        <f aca="false">MIN(EXP(gomp_int+gomp_slope*A40),1)</f>
        <v>0.408882409604244</v>
      </c>
      <c r="C40" s="52" t="n">
        <f aca="false">MIN(p_nonvasc_death*B40/qx_ref,0.999)</f>
        <v>0.761670465350861</v>
      </c>
      <c r="D40" s="3"/>
      <c r="E40" s="3"/>
      <c r="F4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3" min="1" style="0" width="12"/>
  </cols>
  <sheetData>
    <row r="1" customFormat="false" ht="17.35" hidden="false" customHeight="false" outlineLevel="0" collapsed="false">
      <c r="A1" s="1" t="s">
        <v>437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</row>
    <row r="2" customFormat="false" ht="15" hidden="false" customHeight="false" outlineLevel="0" collapsed="false">
      <c r="A2" s="3" t="s">
        <v>438</v>
      </c>
      <c r="B2" s="53" t="n">
        <v>1</v>
      </c>
      <c r="C2" s="3"/>
      <c r="D2" s="3" t="s">
        <v>439</v>
      </c>
      <c r="E2" s="3"/>
      <c r="F2" s="3"/>
      <c r="G2" s="3"/>
      <c r="H2" s="36" t="n">
        <f aca="false">IF($B$2=1,c_apixaban,c_warfarin+c_inr)</f>
        <v>298.3362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</row>
    <row r="3" customFormat="false" ht="15" hidden="false" customHeight="false" outlineLevel="0" collapsed="false">
      <c r="A3" s="3" t="s">
        <v>440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</row>
    <row r="5" customFormat="false" ht="60" hidden="false" customHeight="true" outlineLevel="0" collapsed="false">
      <c r="A5" s="5" t="s">
        <v>441</v>
      </c>
      <c r="B5" s="5" t="s">
        <v>426</v>
      </c>
      <c r="C5" s="5" t="s">
        <v>442</v>
      </c>
      <c r="D5" s="5" t="s">
        <v>443</v>
      </c>
      <c r="E5" s="5" t="s">
        <v>444</v>
      </c>
      <c r="F5" s="5" t="s">
        <v>445</v>
      </c>
      <c r="G5" s="5" t="s">
        <v>446</v>
      </c>
      <c r="H5" s="5" t="s">
        <v>447</v>
      </c>
      <c r="I5" s="5" t="s">
        <v>448</v>
      </c>
      <c r="J5" s="5" t="s">
        <v>449</v>
      </c>
      <c r="K5" s="5" t="s">
        <v>450</v>
      </c>
      <c r="L5" s="5" t="s">
        <v>451</v>
      </c>
      <c r="M5" s="5" t="s">
        <v>452</v>
      </c>
      <c r="N5" s="5" t="s">
        <v>453</v>
      </c>
      <c r="O5" s="5" t="s">
        <v>454</v>
      </c>
      <c r="P5" s="5" t="s">
        <v>455</v>
      </c>
      <c r="Q5" s="5" t="s">
        <v>456</v>
      </c>
      <c r="R5" s="5" t="s">
        <v>457</v>
      </c>
      <c r="S5" s="5" t="s">
        <v>458</v>
      </c>
      <c r="T5" s="5" t="s">
        <v>459</v>
      </c>
      <c r="U5" s="5" t="s">
        <v>460</v>
      </c>
      <c r="V5" s="5" t="s">
        <v>461</v>
      </c>
      <c r="W5" s="5" t="s">
        <v>462</v>
      </c>
      <c r="X5" s="5" t="s">
        <v>463</v>
      </c>
      <c r="Y5" s="5" t="s">
        <v>464</v>
      </c>
      <c r="Z5" s="5" t="s">
        <v>465</v>
      </c>
      <c r="AA5" s="5" t="s">
        <v>466</v>
      </c>
      <c r="AB5" s="5" t="s">
        <v>467</v>
      </c>
      <c r="AC5" s="5" t="s">
        <v>468</v>
      </c>
      <c r="AD5" s="5" t="s">
        <v>469</v>
      </c>
      <c r="AE5" s="5" t="s">
        <v>470</v>
      </c>
      <c r="AF5" s="5" t="s">
        <v>471</v>
      </c>
      <c r="AG5" s="5" t="s">
        <v>472</v>
      </c>
      <c r="AH5" s="5" t="s">
        <v>473</v>
      </c>
      <c r="AI5" s="5" t="s">
        <v>474</v>
      </c>
      <c r="AJ5" s="5" t="s">
        <v>475</v>
      </c>
      <c r="AK5" s="5" t="s">
        <v>476</v>
      </c>
      <c r="AL5" s="5" t="s">
        <v>477</v>
      </c>
      <c r="AM5" s="5" t="s">
        <v>478</v>
      </c>
      <c r="AN5" s="5" t="s">
        <v>479</v>
      </c>
      <c r="AO5" s="5" t="s">
        <v>480</v>
      </c>
      <c r="AP5" s="5" t="s">
        <v>481</v>
      </c>
      <c r="AQ5" s="5" t="s">
        <v>482</v>
      </c>
      <c r="AR5" s="5" t="s">
        <v>483</v>
      </c>
      <c r="AS5" s="5" t="s">
        <v>484</v>
      </c>
      <c r="AT5" s="5" t="s">
        <v>485</v>
      </c>
      <c r="AU5" s="5" t="s">
        <v>486</v>
      </c>
      <c r="AV5" s="5" t="s">
        <v>487</v>
      </c>
      <c r="AW5" s="5" t="s">
        <v>488</v>
      </c>
      <c r="AX5" s="5" t="s">
        <v>489</v>
      </c>
      <c r="AY5" s="5" t="s">
        <v>490</v>
      </c>
      <c r="AZ5" s="5" t="s">
        <v>491</v>
      </c>
      <c r="BA5" s="5" t="s">
        <v>492</v>
      </c>
      <c r="BB5" s="5" t="s">
        <v>493</v>
      </c>
      <c r="BC5" s="5" t="s">
        <v>494</v>
      </c>
      <c r="BD5" s="5" t="s">
        <v>495</v>
      </c>
      <c r="BE5" s="5" t="s">
        <v>496</v>
      </c>
      <c r="BF5" s="5" t="s">
        <v>497</v>
      </c>
      <c r="BG5" s="5" t="s">
        <v>498</v>
      </c>
      <c r="BH5" s="5" t="s">
        <v>499</v>
      </c>
      <c r="BI5" s="5" t="s">
        <v>500</v>
      </c>
      <c r="BJ5" s="5" t="s">
        <v>501</v>
      </c>
      <c r="BK5" s="5" t="s">
        <v>502</v>
      </c>
      <c r="BL5" s="5" t="s">
        <v>503</v>
      </c>
      <c r="BM5" s="5" t="s">
        <v>504</v>
      </c>
      <c r="BN5" s="5" t="s">
        <v>505</v>
      </c>
      <c r="BO5" s="5" t="s">
        <v>506</v>
      </c>
      <c r="BP5" s="5" t="s">
        <v>507</v>
      </c>
      <c r="BQ5" s="5" t="s">
        <v>508</v>
      </c>
      <c r="BR5" s="5" t="s">
        <v>509</v>
      </c>
      <c r="BS5" s="5" t="s">
        <v>510</v>
      </c>
      <c r="BT5" s="5" t="s">
        <v>511</v>
      </c>
      <c r="BU5" s="5" t="s">
        <v>512</v>
      </c>
      <c r="BV5" s="5" t="s">
        <v>513</v>
      </c>
      <c r="BW5" s="5" t="s">
        <v>514</v>
      </c>
      <c r="BX5" s="5" t="s">
        <v>515</v>
      </c>
      <c r="BY5" s="5" t="s">
        <v>516</v>
      </c>
      <c r="BZ5" s="5" t="s">
        <v>517</v>
      </c>
      <c r="CA5" s="5" t="s">
        <v>518</v>
      </c>
      <c r="CB5" s="5" t="s">
        <v>519</v>
      </c>
      <c r="CC5" s="5" t="s">
        <v>520</v>
      </c>
      <c r="CD5" s="5" t="s">
        <v>521</v>
      </c>
      <c r="CE5" s="5" t="s">
        <v>522</v>
      </c>
      <c r="CF5" s="5" t="s">
        <v>523</v>
      </c>
      <c r="CG5" s="5" t="s">
        <v>524</v>
      </c>
      <c r="CH5" s="5" t="s">
        <v>525</v>
      </c>
      <c r="CI5" s="5" t="s">
        <v>526</v>
      </c>
      <c r="CJ5" s="5" t="s">
        <v>527</v>
      </c>
      <c r="CK5" s="5" t="s">
        <v>528</v>
      </c>
      <c r="CL5" s="5" t="s">
        <v>529</v>
      </c>
      <c r="CM5" s="5" t="s">
        <v>530</v>
      </c>
      <c r="CN5" s="5" t="s">
        <v>531</v>
      </c>
      <c r="CO5" s="5" t="s">
        <v>532</v>
      </c>
      <c r="CP5" s="5" t="s">
        <v>533</v>
      </c>
      <c r="CQ5" s="5" t="s">
        <v>534</v>
      </c>
      <c r="CR5" s="5" t="s">
        <v>535</v>
      </c>
      <c r="CS5" s="5" t="s">
        <v>536</v>
      </c>
      <c r="CT5" s="5" t="s">
        <v>537</v>
      </c>
      <c r="CU5" s="5" t="s">
        <v>538</v>
      </c>
      <c r="CV5" s="5" t="s">
        <v>539</v>
      </c>
      <c r="CW5" s="5" t="s">
        <v>540</v>
      </c>
      <c r="CX5" s="5" t="s">
        <v>541</v>
      </c>
      <c r="CY5" s="5" t="s">
        <v>542</v>
      </c>
      <c r="CZ5" s="5" t="s">
        <v>543</v>
      </c>
      <c r="DA5" s="5" t="s">
        <v>544</v>
      </c>
      <c r="DB5" s="5" t="s">
        <v>545</v>
      </c>
      <c r="DC5" s="5" t="s">
        <v>546</v>
      </c>
      <c r="DD5" s="5" t="s">
        <v>547</v>
      </c>
      <c r="DE5" s="5" t="s">
        <v>548</v>
      </c>
      <c r="DF5" s="5" t="s">
        <v>549</v>
      </c>
      <c r="DG5" s="5" t="s">
        <v>550</v>
      </c>
      <c r="DH5" s="5" t="s">
        <v>551</v>
      </c>
      <c r="DI5" s="5" t="s">
        <v>552</v>
      </c>
      <c r="DJ5" s="5" t="s">
        <v>553</v>
      </c>
      <c r="DK5" s="5" t="s">
        <v>554</v>
      </c>
      <c r="DL5" s="5" t="s">
        <v>555</v>
      </c>
      <c r="DM5" s="5" t="s">
        <v>556</v>
      </c>
      <c r="DN5" s="5" t="s">
        <v>557</v>
      </c>
      <c r="DO5" s="5" t="s">
        <v>558</v>
      </c>
      <c r="DP5" s="5" t="s">
        <v>559</v>
      </c>
      <c r="DQ5" s="5" t="s">
        <v>274</v>
      </c>
      <c r="DR5" s="5" t="s">
        <v>275</v>
      </c>
      <c r="DS5" s="5" t="s">
        <v>276</v>
      </c>
      <c r="DT5" s="5" t="s">
        <v>268</v>
      </c>
      <c r="DU5" s="5" t="s">
        <v>560</v>
      </c>
      <c r="DV5" s="5" t="s">
        <v>561</v>
      </c>
      <c r="DW5" s="5" t="s">
        <v>562</v>
      </c>
      <c r="DX5" s="5" t="s">
        <v>272</v>
      </c>
      <c r="DY5" s="5" t="s">
        <v>273</v>
      </c>
      <c r="DZ5" s="5" t="s">
        <v>563</v>
      </c>
      <c r="EA5" s="5" t="s">
        <v>564</v>
      </c>
      <c r="EB5" s="5" t="s">
        <v>565</v>
      </c>
      <c r="EC5" s="5" t="s">
        <v>566</v>
      </c>
    </row>
    <row r="6" customFormat="false" ht="15" hidden="false" customHeight="false" outlineLevel="0" collapsed="false">
      <c r="A6" s="8" t="n">
        <v>0</v>
      </c>
      <c r="B6" s="54" t="n">
        <f aca="false">start_age+A6*dt</f>
        <v>70</v>
      </c>
      <c r="C6" s="16" t="n">
        <f aca="false">(1+disc_rate)^-(A6*dt)</f>
        <v>1</v>
      </c>
      <c r="D6" s="55" t="n">
        <f aca="false">IF(A6*dt&gt;=wane_start,(1-wane_decay)^(A6*dt-wane_start),1)</f>
        <v>1</v>
      </c>
      <c r="E6" s="25" t="n">
        <f aca="false">MIN(p_nonvasc_death*MIN(EXP(gomp_int+gomp_slope*INT(B6)),1)/qx_ref,0.999)</f>
        <v>0.033</v>
      </c>
      <c r="F6" s="55" t="n">
        <f aca="false">rr_stroke_per_decade^((B6-ref_age)/10)</f>
        <v>1</v>
      </c>
      <c r="G6" s="56" t="n">
        <v>1</v>
      </c>
      <c r="H6" s="56" t="n">
        <v>0</v>
      </c>
      <c r="I6" s="56" t="n">
        <v>0</v>
      </c>
      <c r="J6" s="56" t="n">
        <v>0</v>
      </c>
      <c r="K6" s="56" t="n">
        <v>0</v>
      </c>
      <c r="L6" s="57" t="n">
        <f aca="false">1-EXP(LN(1-E6)*dt)</f>
        <v>0.00835410477572107</v>
      </c>
      <c r="M6" s="57" t="n">
        <f aca="false">G6*(1-L6)</f>
        <v>0.991645895224279</v>
      </c>
      <c r="N6" s="57" t="n">
        <f aca="false">IF(Apixaban!$B$2=1,EXP(LN(or_apx_stroke)*D6)*(1-EXP(-r_stroke*F6*dt))/(1-(1-EXP(-r_stroke*F6*dt))+EXP(LN(or_apx_stroke)*D6)*(1-EXP(-r_stroke*F6*dt))),(1-EXP(-r_stroke*F6*dt)))</f>
        <v>0.00318182785336734</v>
      </c>
      <c r="O6" s="57" t="n">
        <f aca="false">IF(Apixaban!$B$2=1,EXP(LN(or_apx_ich)*D6)*(1-EXP(-r_ich*dt))/(1-(1-EXP(-r_ich*dt))+EXP(LN(or_apx_ich)*D6)*(1-EXP(-r_ich*dt))),(1-EXP(-r_ich*dt)))</f>
        <v>0.000843513249640701</v>
      </c>
      <c r="P6" s="57" t="n">
        <f aca="false">IF(Apixaban!$B$2=1,EXP(LN(or_apx_mb)*D6)*(1-EXP(-r_mb*dt))/(1-(1-EXP(-r_mb*dt))+EXP(LN(or_apx_mb)*D6)*(1-EXP(-r_mb*dt))),(1-EXP(-r_mb*dt)))</f>
        <v>0.00669446907979895</v>
      </c>
      <c r="Q6" s="57" t="n">
        <f aca="false">IF(Apixaban!$B$2=1,EXP(LN(or_apx_mi)*D6)*(1-EXP(-r_mi*dt))/(1-(1-EXP(-r_mi*dt))+EXP(LN(or_apx_mi)*D6)*(1-EXP(-r_mi*dt))),(1-EXP(-r_mi*dt)))</f>
        <v>0.00132321915530843</v>
      </c>
      <c r="R6" s="57" t="n">
        <f aca="false">(1-EXP(-r_tia*dt))</f>
        <v>0.0020060281549299</v>
      </c>
      <c r="S6" s="57" t="n">
        <f aca="false">(1-EXP(-r_minor*dt))</f>
        <v>0.0437937690785545</v>
      </c>
      <c r="T6" s="57" t="n">
        <f aca="false">M6*N6</f>
        <v>0.00315524653010201</v>
      </c>
      <c r="U6" s="57" t="n">
        <f aca="false">M6*O6</f>
        <v>0.000836466451573493</v>
      </c>
      <c r="V6" s="57" t="n">
        <f aca="false">M6*P6</f>
        <v>0.00663854278368849</v>
      </c>
      <c r="W6" s="57" t="n">
        <f aca="false">M6*Q6</f>
        <v>0.00131216484384374</v>
      </c>
      <c r="X6" s="57" t="n">
        <f aca="false">M6*R6</f>
        <v>0.00198926958554056</v>
      </c>
      <c r="Y6" s="57" t="n">
        <f aca="false">M6*S6</f>
        <v>0.0434279113431485</v>
      </c>
      <c r="Z6" s="57" t="n">
        <f aca="false">T6*f_stroke_fatal</f>
        <v>0.000747793427634175</v>
      </c>
      <c r="AA6" s="57" t="n">
        <f aca="false">T6*(1-f_stroke_fatal)*f_stroke_major</f>
        <v>0.000801681883121787</v>
      </c>
      <c r="AB6" s="57" t="n">
        <f aca="false">T6*(1-f_stroke_fatal)*(1-f_stroke_major)</f>
        <v>0.00160577121934604</v>
      </c>
      <c r="AC6" s="57" t="n">
        <f aca="false">U6*(1-f_bleed_fatal)</f>
        <v>0.00076620326964132</v>
      </c>
      <c r="AD6" s="57" t="n">
        <f aca="false">V6*(1-f_bleed_fatal)</f>
        <v>0.00608090518985865</v>
      </c>
      <c r="AE6" s="57" t="n">
        <f aca="false">W6*f_mi_fatal</f>
        <v>0.000158771946105093</v>
      </c>
      <c r="AF6" s="57" t="n">
        <f aca="false">W6-AE6</f>
        <v>0.00115339289773865</v>
      </c>
      <c r="AG6" s="57" t="n">
        <f aca="false">M6-T6-U6-V6-AE6</f>
        <v>0.98085686751281</v>
      </c>
      <c r="AH6" s="19" t="n">
        <f aca="false">Z6*c_stroke_fatal+AA6*c_stroke_major+AB6*c_stroke_minor+U6*c_ich+V6*c_major_bleed+AE6*c_mi_fatal+AF6*c_mi_nonfatal+X6*c_tia+Y6*c_minor_bleed</f>
        <v>212.938779652307</v>
      </c>
      <c r="AI6" s="57" t="n">
        <f aca="false">dt*(AF6*dec_mi+AD6*dec_major_bleed+Y6*dec_minor_bleed+X6*dec_tia)</f>
        <v>0.000368268751113984</v>
      </c>
      <c r="AJ6" s="57" t="n">
        <f aca="false">G6*L6+Z6+U6-AC6+V6-AD6+AE6</f>
        <v>0.00988857092522234</v>
      </c>
      <c r="AK6" s="57" t="n">
        <f aca="false">1-EXP(LN(1-E6)*hr_death_prior_stroke*dt)</f>
        <v>0.0191101906321427</v>
      </c>
      <c r="AL6" s="57" t="n">
        <f aca="false">H6*(1-AK6)</f>
        <v>0</v>
      </c>
      <c r="AM6" s="57" t="n">
        <f aca="false">(1-EXP(-r_stroke*F6*rr_stroke_prior*rr_asa_stroke*dt))</f>
        <v>0.0142685053851033</v>
      </c>
      <c r="AN6" s="57" t="n">
        <f aca="false">(1-EXP(-r_ich*rr_asa_ich*dt))</f>
        <v>0.00102357767802375</v>
      </c>
      <c r="AO6" s="57" t="n">
        <f aca="false">(1-EXP(-r_mb*rr_asa_mb*dt))</f>
        <v>0.00951809672747972</v>
      </c>
      <c r="AP6" s="57" t="n">
        <f aca="false">(1-EXP(-r_mi*rr_asa_mi*dt))</f>
        <v>0.00213413516393479</v>
      </c>
      <c r="AQ6" s="57" t="n">
        <f aca="false">(1-EXP(-r_tia*rr_asa_tia*dt))</f>
        <v>0.00312764565589152</v>
      </c>
      <c r="AR6" s="57" t="n">
        <f aca="false">(1-EXP(-r_minor*rr_asa_minor*dt))</f>
        <v>0.0278181950466747</v>
      </c>
      <c r="AS6" s="57" t="n">
        <f aca="false">AL6*AM6</f>
        <v>0</v>
      </c>
      <c r="AT6" s="57" t="n">
        <f aca="false">AL6*AN6</f>
        <v>0</v>
      </c>
      <c r="AU6" s="57" t="n">
        <f aca="false">AL6*AO6</f>
        <v>0</v>
      </c>
      <c r="AV6" s="57" t="n">
        <f aca="false">AL6*AP6</f>
        <v>0</v>
      </c>
      <c r="AW6" s="57" t="n">
        <f aca="false">AL6*AQ6</f>
        <v>0</v>
      </c>
      <c r="AX6" s="57" t="n">
        <f aca="false">AL6*AR6</f>
        <v>0</v>
      </c>
      <c r="AY6" s="57" t="n">
        <f aca="false">AS6*f_stroke_fatal_recur</f>
        <v>0</v>
      </c>
      <c r="AZ6" s="57" t="n">
        <f aca="false">AS6*(1-f_stroke_fatal_recur)*f_stroke_major</f>
        <v>0</v>
      </c>
      <c r="BA6" s="57" t="n">
        <f aca="false">AS6*(1-f_stroke_fatal_recur)*(1-f_stroke_major)</f>
        <v>0</v>
      </c>
      <c r="BB6" s="57" t="n">
        <f aca="false">AT6*(1-f_bleed_fatal)</f>
        <v>0</v>
      </c>
      <c r="BC6" s="57" t="n">
        <f aca="false">AU6*(1-f_bleed_fatal)</f>
        <v>0</v>
      </c>
      <c r="BD6" s="57" t="n">
        <f aca="false">AV6*f_mi_fatal</f>
        <v>0</v>
      </c>
      <c r="BE6" s="57" t="n">
        <f aca="false">AV6-BD6</f>
        <v>0</v>
      </c>
      <c r="BF6" s="57" t="n">
        <f aca="false">AL6-AS6-AT6-AU6-BD6</f>
        <v>0</v>
      </c>
      <c r="BG6" s="19" t="n">
        <f aca="false">AY6*c_stroke_fatal+AZ6*c_stroke_major+BA6*c_stroke_minor+AT6*c_ich+AU6*c_major_bleed+BD6*c_mi_fatal+BE6*c_mi_nonfatal+AW6*c_tia+AX6*c_minor_bleed</f>
        <v>0</v>
      </c>
      <c r="BH6" s="57" t="n">
        <f aca="false">dt*(BE6*dec_mi+BC6*dec_major_bleed+AX6*dec_minor_bleed+AW6*dec_tia)</f>
        <v>0</v>
      </c>
      <c r="BI6" s="57" t="n">
        <f aca="false">H6*AK6+AY6+AT6-BB6+AU6-BC6+BD6</f>
        <v>0</v>
      </c>
      <c r="BJ6" s="57" t="n">
        <f aca="false">1-EXP(LN(1-E6)*hr_death_prior_stroke*dt)</f>
        <v>0.0191101906321427</v>
      </c>
      <c r="BK6" s="57" t="n">
        <f aca="false">I6*(1-BJ6)</f>
        <v>0</v>
      </c>
      <c r="BL6" s="57" t="n">
        <f aca="false">(1-EXP(-r_stroke*F6*rr_stroke_prior*rr_asa_stroke*dt))</f>
        <v>0.0142685053851033</v>
      </c>
      <c r="BM6" s="57" t="n">
        <f aca="false">(1-EXP(-r_ich*rr_asa_ich*dt))</f>
        <v>0.00102357767802375</v>
      </c>
      <c r="BN6" s="57" t="n">
        <f aca="false">(1-EXP(-r_mb*rr_asa_mb*dt))</f>
        <v>0.00951809672747972</v>
      </c>
      <c r="BO6" s="57" t="n">
        <f aca="false">(1-EXP(-r_mi*rr_asa_mi*dt))</f>
        <v>0.00213413516393479</v>
      </c>
      <c r="BP6" s="57" t="n">
        <f aca="false">(1-EXP(-r_tia*rr_asa_tia*dt))</f>
        <v>0.00312764565589152</v>
      </c>
      <c r="BQ6" s="57" t="n">
        <f aca="false">(1-EXP(-r_minor*rr_asa_minor*dt))</f>
        <v>0.0278181950466747</v>
      </c>
      <c r="BR6" s="57" t="n">
        <f aca="false">BK6*BL6</f>
        <v>0</v>
      </c>
      <c r="BS6" s="57" t="n">
        <f aca="false">BK6*BM6</f>
        <v>0</v>
      </c>
      <c r="BT6" s="57" t="n">
        <f aca="false">BK6*BN6</f>
        <v>0</v>
      </c>
      <c r="BU6" s="57" t="n">
        <f aca="false">BK6*BO6</f>
        <v>0</v>
      </c>
      <c r="BV6" s="57" t="n">
        <f aca="false">BK6*BP6</f>
        <v>0</v>
      </c>
      <c r="BW6" s="57" t="n">
        <f aca="false">BK6*BQ6</f>
        <v>0</v>
      </c>
      <c r="BX6" s="57" t="n">
        <f aca="false">BR6*f_stroke_fatal_recur</f>
        <v>0</v>
      </c>
      <c r="BY6" s="57" t="n">
        <f aca="false">BR6*(1-f_stroke_fatal_recur)*f_stroke_major</f>
        <v>0</v>
      </c>
      <c r="BZ6" s="57" t="n">
        <f aca="false">BR6*(1-f_stroke_fatal_recur)*(1-f_stroke_major)</f>
        <v>0</v>
      </c>
      <c r="CA6" s="57" t="n">
        <f aca="false">BS6*(1-f_bleed_fatal)</f>
        <v>0</v>
      </c>
      <c r="CB6" s="57" t="n">
        <f aca="false">BT6*(1-f_bleed_fatal)</f>
        <v>0</v>
      </c>
      <c r="CC6" s="57" t="n">
        <f aca="false">BU6*f_mi_fatal</f>
        <v>0</v>
      </c>
      <c r="CD6" s="57" t="n">
        <f aca="false">BU6-CC6</f>
        <v>0</v>
      </c>
      <c r="CE6" s="57" t="n">
        <f aca="false">BK6-BR6-BS6-BT6-CC6</f>
        <v>0</v>
      </c>
      <c r="CF6" s="19" t="n">
        <f aca="false">BX6*c_stroke_fatal+BY6*c_stroke_major+BZ6*c_stroke_minor+BS6*c_ich+BT6*c_major_bleed+CC6*c_mi_fatal+CD6*c_mi_nonfatal+BV6*c_tia+BW6*c_minor_bleed</f>
        <v>0</v>
      </c>
      <c r="CG6" s="57" t="n">
        <f aca="false">dt*(CD6*dec_mi+CB6*dec_major_bleed+BW6*dec_minor_bleed+BV6*dec_tia)</f>
        <v>0</v>
      </c>
      <c r="CH6" s="57" t="n">
        <f aca="false">I6*BJ6+BX6+BS6-CA6+BT6-CB6+CC6</f>
        <v>0</v>
      </c>
      <c r="CI6" s="57" t="n">
        <f aca="false">1-EXP(LN(1-E6)*dt)</f>
        <v>0.00835410477572107</v>
      </c>
      <c r="CJ6" s="57" t="n">
        <f aca="false">J6*(1-CI6)</f>
        <v>0</v>
      </c>
      <c r="CK6" s="57" t="n">
        <f aca="false">(1-EXP(-r_stroke*F6*rr_asa_stroke*dt))</f>
        <v>0.00651110994172399</v>
      </c>
      <c r="CL6" s="57" t="n">
        <f aca="false">(1-EXP(-r_ich*rr_asa_ich*dt))</f>
        <v>0.00102357767802375</v>
      </c>
      <c r="CM6" s="57" t="n">
        <f aca="false">(1-EXP(-r_mb*rr_asa_mb*dt))</f>
        <v>0.00951809672747972</v>
      </c>
      <c r="CN6" s="57" t="n">
        <f aca="false">(1-EXP(-r_mi*rr_asa_mi*dt))</f>
        <v>0.00213413516393479</v>
      </c>
      <c r="CO6" s="57" t="n">
        <f aca="false">(1-EXP(-r_tia*rr_asa_tia*dt))</f>
        <v>0.00312764565589152</v>
      </c>
      <c r="CP6" s="57" t="n">
        <f aca="false">(1-EXP(-r_minor*rr_asa_minor*dt))</f>
        <v>0.0278181950466747</v>
      </c>
      <c r="CQ6" s="57" t="n">
        <f aca="false">CJ6*CK6</f>
        <v>0</v>
      </c>
      <c r="CR6" s="57" t="n">
        <f aca="false">CJ6*CL6</f>
        <v>0</v>
      </c>
      <c r="CS6" s="57" t="n">
        <f aca="false">CJ6*CM6</f>
        <v>0</v>
      </c>
      <c r="CT6" s="57" t="n">
        <f aca="false">CJ6*CN6</f>
        <v>0</v>
      </c>
      <c r="CU6" s="57" t="n">
        <f aca="false">CJ6*CO6</f>
        <v>0</v>
      </c>
      <c r="CV6" s="57" t="n">
        <f aca="false">CJ6*CP6</f>
        <v>0</v>
      </c>
      <c r="CW6" s="57" t="n">
        <f aca="false">CQ6*f_stroke_fatal</f>
        <v>0</v>
      </c>
      <c r="CX6" s="57" t="n">
        <f aca="false">CQ6*(1-f_stroke_fatal)*f_stroke_major</f>
        <v>0</v>
      </c>
      <c r="CY6" s="57" t="n">
        <f aca="false">CQ6*(1-f_stroke_fatal)*(1-f_stroke_major)</f>
        <v>0</v>
      </c>
      <c r="CZ6" s="57" t="n">
        <f aca="false">CR6*(1-f_bleed_fatal)</f>
        <v>0</v>
      </c>
      <c r="DA6" s="57" t="n">
        <f aca="false">CS6*(1-f_bleed_fatal)</f>
        <v>0</v>
      </c>
      <c r="DB6" s="57" t="n">
        <f aca="false">CT6*f_mi_fatal</f>
        <v>0</v>
      </c>
      <c r="DC6" s="57" t="n">
        <f aca="false">CT6-DB6</f>
        <v>0</v>
      </c>
      <c r="DD6" s="57" t="n">
        <f aca="false">CJ6-CQ6-CR6-CS6-DB6</f>
        <v>0</v>
      </c>
      <c r="DE6" s="19" t="n">
        <f aca="false">CW6*c_stroke_fatal+CX6*c_stroke_major+CY6*c_stroke_minor+CR6*c_ich+CS6*c_major_bleed+DB6*c_mi_fatal+DC6*c_mi_nonfatal+CU6*c_tia+CV6*c_minor_bleed</f>
        <v>0</v>
      </c>
      <c r="DF6" s="57" t="n">
        <f aca="false">dt*(DC6*dec_mi+DA6*dec_major_bleed+CV6*dec_minor_bleed+CU6*dec_tia)</f>
        <v>0</v>
      </c>
      <c r="DG6" s="57" t="n">
        <f aca="false">J6*CI6+CW6+CR6-CZ6+CS6-DA6+DB6</f>
        <v>0</v>
      </c>
      <c r="DH6" s="57" t="n">
        <f aca="false">AG6</f>
        <v>0.98085686751281</v>
      </c>
      <c r="DI6" s="57" t="n">
        <f aca="false">AB6+AC6+BF6+BA6+BB6+BC6+CY6+CZ6</f>
        <v>0.00237197448898736</v>
      </c>
      <c r="DJ6" s="57" t="n">
        <f aca="false">AA6+AZ6+BY6+CX6+CE6+BZ6+CA6+CB6</f>
        <v>0.000801681883121787</v>
      </c>
      <c r="DK6" s="57" t="n">
        <f aca="false">AD6+DD6+DA6</f>
        <v>0.00608090518985865</v>
      </c>
      <c r="DL6" s="57" t="n">
        <f aca="false">K6+AJ6+BI6+CH6+DG6</f>
        <v>0.00988857092522234</v>
      </c>
      <c r="DM6" s="58" t="n">
        <f aca="false">SUM(DH6:DL6)</f>
        <v>1</v>
      </c>
      <c r="DN6" s="19" t="n">
        <f aca="false">dt*(G6*Apixaban!$H$2+(H6+I6+J6)*c_aspirin)</f>
        <v>74.58405</v>
      </c>
      <c r="DO6" s="19" t="n">
        <f aca="false">dt*(H6*c_lt_minor_stroke+I6*c_lt_major_stroke)</f>
        <v>0</v>
      </c>
      <c r="DP6" s="19" t="n">
        <f aca="false">AH6+BG6+CF6+DE6</f>
        <v>212.938779652307</v>
      </c>
      <c r="DQ6" s="19" t="n">
        <f aca="false">DN6+DO6+DP6</f>
        <v>287.522829652307</v>
      </c>
      <c r="DR6" s="57" t="n">
        <f aca="false">dt*(G6*(u_af-dec_per_year_over_70*MAX(B6-ref_age,0))+H6*(u_minor_stroke-dec_per_year_over_70*MAX(B6-ref_age,0))+I6*(u_major_stroke-dec_per_year_over_70*MAX(B6-ref_age,0))+J6*(u_af-dec_per_year_over_70*MAX(B6-ref_age,0)))-AI6-BH6-CG6-DF6</f>
        <v>0.202131731248886</v>
      </c>
      <c r="DS6" s="57" t="n">
        <f aca="false">dt*(G6+H6+I6+J6)</f>
        <v>0.25</v>
      </c>
      <c r="DT6" s="19" t="n">
        <f aca="false">DQ6*C6</f>
        <v>287.522829652307</v>
      </c>
      <c r="DU6" s="19" t="n">
        <f aca="false">DN6*C6</f>
        <v>74.58405</v>
      </c>
      <c r="DV6" s="19" t="n">
        <f aca="false">DP6*C6</f>
        <v>212.938779652307</v>
      </c>
      <c r="DW6" s="19" t="n">
        <f aca="false">DO6*C6</f>
        <v>0</v>
      </c>
      <c r="DX6" s="57" t="n">
        <f aca="false">DR6*C6</f>
        <v>0.202131731248886</v>
      </c>
      <c r="DY6" s="57" t="n">
        <f aca="false">DS6*C6</f>
        <v>0.25</v>
      </c>
      <c r="DZ6" s="57" t="n">
        <f aca="false">T6+AS6+BR6+CQ6</f>
        <v>0.00315524653010201</v>
      </c>
      <c r="EA6" s="57" t="n">
        <f aca="false">U6+AT6+BS6+CR6</f>
        <v>0.000836466451573493</v>
      </c>
      <c r="EB6" s="57" t="n">
        <f aca="false">V6+AU6+BT6+CS6</f>
        <v>0.00663854278368849</v>
      </c>
      <c r="EC6" s="57" t="n">
        <f aca="false">G6*dt*C6</f>
        <v>0.25</v>
      </c>
    </row>
    <row r="7" customFormat="false" ht="15" hidden="false" customHeight="false" outlineLevel="0" collapsed="false">
      <c r="A7" s="8" t="n">
        <v>1</v>
      </c>
      <c r="B7" s="54" t="n">
        <f aca="false">start_age+A7*dt</f>
        <v>70.25</v>
      </c>
      <c r="C7" s="16" t="n">
        <f aca="false">(1+disc_rate)^-(A7*dt)</f>
        <v>0.996284765501777</v>
      </c>
      <c r="D7" s="55" t="n">
        <f aca="false">IF(A7*dt&gt;=wane_start,(1-wane_decay)^(A7*dt-wane_start),1)</f>
        <v>1</v>
      </c>
      <c r="E7" s="25" t="n">
        <f aca="false">MIN(p_nonvasc_death*MIN(EXP(gomp_int+gomp_slope*INT(B7)),1)/qx_ref,0.999)</f>
        <v>0.033</v>
      </c>
      <c r="F7" s="55" t="n">
        <f aca="false">rr_stroke_per_decade^((B7-ref_age)/10)</f>
        <v>1.01018817734591</v>
      </c>
      <c r="G7" s="57" t="n">
        <f aca="false">DH6</f>
        <v>0.98085686751281</v>
      </c>
      <c r="H7" s="57" t="n">
        <f aca="false">DI6</f>
        <v>0.00237197448898736</v>
      </c>
      <c r="I7" s="57" t="n">
        <f aca="false">DJ6</f>
        <v>0.000801681883121787</v>
      </c>
      <c r="J7" s="57" t="n">
        <f aca="false">DK6</f>
        <v>0.00608090518985865</v>
      </c>
      <c r="K7" s="57" t="n">
        <f aca="false">DL6</f>
        <v>0.00988857092522234</v>
      </c>
      <c r="L7" s="57" t="n">
        <f aca="false">1-EXP(LN(1-E7)*dt)</f>
        <v>0.00835410477572107</v>
      </c>
      <c r="M7" s="57" t="n">
        <f aca="false">G7*(1-L7)</f>
        <v>0.972662686471622</v>
      </c>
      <c r="N7" s="57" t="n">
        <f aca="false">IF(Apixaban!$B$2=1,EXP(LN(or_apx_stroke)*D7)*(1-EXP(-r_stroke*F7*dt))/(1-(1-EXP(-r_stroke*F7*dt))+EXP(LN(or_apx_stroke)*D7)*(1-EXP(-r_stroke*F7*dt))),(1-EXP(-r_stroke*F7*dt)))</f>
        <v>0.0032142065419266</v>
      </c>
      <c r="O7" s="57" t="n">
        <f aca="false">IF(Apixaban!$B$2=1,EXP(LN(or_apx_ich)*D7)*(1-EXP(-r_ich*dt))/(1-(1-EXP(-r_ich*dt))+EXP(LN(or_apx_ich)*D7)*(1-EXP(-r_ich*dt))),(1-EXP(-r_ich*dt)))</f>
        <v>0.000843513249640701</v>
      </c>
      <c r="P7" s="57" t="n">
        <f aca="false">IF(Apixaban!$B$2=1,EXP(LN(or_apx_mb)*D7)*(1-EXP(-r_mb*dt))/(1-(1-EXP(-r_mb*dt))+EXP(LN(or_apx_mb)*D7)*(1-EXP(-r_mb*dt))),(1-EXP(-r_mb*dt)))</f>
        <v>0.00669446907979895</v>
      </c>
      <c r="Q7" s="57" t="n">
        <f aca="false">IF(Apixaban!$B$2=1,EXP(LN(or_apx_mi)*D7)*(1-EXP(-r_mi*dt))/(1-(1-EXP(-r_mi*dt))+EXP(LN(or_apx_mi)*D7)*(1-EXP(-r_mi*dt))),(1-EXP(-r_mi*dt)))</f>
        <v>0.00132321915530843</v>
      </c>
      <c r="R7" s="57" t="n">
        <f aca="false">(1-EXP(-r_tia*dt))</f>
        <v>0.0020060281549299</v>
      </c>
      <c r="S7" s="57" t="n">
        <f aca="false">(1-EXP(-r_minor*dt))</f>
        <v>0.0437937690785545</v>
      </c>
      <c r="T7" s="57" t="n">
        <f aca="false">M7*N7</f>
        <v>0.00312633876994499</v>
      </c>
      <c r="U7" s="57" t="n">
        <f aca="false">M7*O7</f>
        <v>0.000820453863469932</v>
      </c>
      <c r="V7" s="57" t="n">
        <f aca="false">M7*P7</f>
        <v>0.00651146027965846</v>
      </c>
      <c r="W7" s="57" t="n">
        <f aca="false">M7*Q7</f>
        <v>0.00128704589839301</v>
      </c>
      <c r="X7" s="57" t="n">
        <f aca="false">M7*R7</f>
        <v>0.00195118873431182</v>
      </c>
      <c r="Y7" s="57" t="n">
        <f aca="false">M7*S7</f>
        <v>0.0425965650826647</v>
      </c>
      <c r="Z7" s="57" t="n">
        <f aca="false">T7*f_stroke_fatal</f>
        <v>0.000740942288476963</v>
      </c>
      <c r="AA7" s="57" t="n">
        <f aca="false">T7*(1-f_stroke_fatal)*f_stroke_major</f>
        <v>0.000794337028328854</v>
      </c>
      <c r="AB7" s="57" t="n">
        <f aca="false">T7*(1-f_stroke_fatal)*(1-f_stroke_major)</f>
        <v>0.00159105945313918</v>
      </c>
      <c r="AC7" s="57" t="n">
        <f aca="false">U7*(1-f_bleed_fatal)</f>
        <v>0.000751535738938458</v>
      </c>
      <c r="AD7" s="57" t="n">
        <f aca="false">V7*(1-f_bleed_fatal)</f>
        <v>0.00596449761616715</v>
      </c>
      <c r="AE7" s="57" t="n">
        <f aca="false">W7*f_mi_fatal</f>
        <v>0.000155732553705554</v>
      </c>
      <c r="AF7" s="57" t="n">
        <f aca="false">W7-AE7</f>
        <v>0.00113131334468745</v>
      </c>
      <c r="AG7" s="57" t="n">
        <f aca="false">M7-T7-U7-V7-AE7</f>
        <v>0.962048701004843</v>
      </c>
      <c r="AH7" s="19" t="n">
        <f aca="false">Z7*c_stroke_fatal+AA7*c_stroke_major+AB7*c_stroke_minor+U7*c_ich+V7*c_major_bleed+AE7*c_mi_fatal+AF7*c_mi_nonfatal+X7*c_tia+Y7*c_minor_bleed</f>
        <v>210.026076152671</v>
      </c>
      <c r="AI7" s="57" t="n">
        <f aca="false">dt*(AF7*dec_mi+AD7*dec_major_bleed+Y7*dec_minor_bleed+X7*dec_tia)</f>
        <v>0.000361218933620517</v>
      </c>
      <c r="AJ7" s="57" t="n">
        <f aca="false">G7*L7+Z7+U7-AC7+V7-AD7+AE7</f>
        <v>0.00970673667139287</v>
      </c>
      <c r="AK7" s="57" t="n">
        <f aca="false">1-EXP(LN(1-E7)*hr_death_prior_stroke*dt)</f>
        <v>0.0191101906321427</v>
      </c>
      <c r="AL7" s="57" t="n">
        <f aca="false">H7*(1-AK7)</f>
        <v>0.00232664560432823</v>
      </c>
      <c r="AM7" s="57" t="n">
        <f aca="false">(1-EXP(-r_stroke*F7*rr_stroke_prior*rr_asa_stroke*dt))</f>
        <v>0.0144128228079825</v>
      </c>
      <c r="AN7" s="57" t="n">
        <f aca="false">(1-EXP(-r_ich*rr_asa_ich*dt))</f>
        <v>0.00102357767802375</v>
      </c>
      <c r="AO7" s="57" t="n">
        <f aca="false">(1-EXP(-r_mb*rr_asa_mb*dt))</f>
        <v>0.00951809672747972</v>
      </c>
      <c r="AP7" s="57" t="n">
        <f aca="false">(1-EXP(-r_mi*rr_asa_mi*dt))</f>
        <v>0.00213413516393479</v>
      </c>
      <c r="AQ7" s="57" t="n">
        <f aca="false">(1-EXP(-r_tia*rr_asa_tia*dt))</f>
        <v>0.00312764565589152</v>
      </c>
      <c r="AR7" s="57" t="n">
        <f aca="false">(1-EXP(-r_minor*rr_asa_minor*dt))</f>
        <v>0.0278181950466747</v>
      </c>
      <c r="AS7" s="57" t="n">
        <f aca="false">AL7*AM7</f>
        <v>3.35335308321542E-005</v>
      </c>
      <c r="AT7" s="57" t="n">
        <f aca="false">AL7*AN7</f>
        <v>2.38150250526245E-006</v>
      </c>
      <c r="AU7" s="57" t="n">
        <f aca="false">AL7*AO7</f>
        <v>2.21452379125616E-005</v>
      </c>
      <c r="AV7" s="57" t="n">
        <f aca="false">AL7*AP7</f>
        <v>4.9653761982112E-006</v>
      </c>
      <c r="AW7" s="57" t="n">
        <f aca="false">AL7*AQ7</f>
        <v>7.2769230171763E-006</v>
      </c>
      <c r="AX7" s="57" t="n">
        <f aca="false">AL7*AR7</f>
        <v>6.47230812256912E-005</v>
      </c>
      <c r="AY7" s="57" t="n">
        <f aca="false">AS7*f_stroke_fatal_recur</f>
        <v>1.24774914873363E-005</v>
      </c>
      <c r="AZ7" s="57" t="n">
        <f aca="false">AS7*(1-f_stroke_fatal_recur)*f_stroke_major</f>
        <v>7.01166110182438E-006</v>
      </c>
      <c r="BA7" s="57" t="n">
        <f aca="false">AS7*(1-f_stroke_fatal_recur)*(1-f_stroke_major)</f>
        <v>1.40443782429936E-005</v>
      </c>
      <c r="BB7" s="57" t="n">
        <f aca="false">AT7*(1-f_bleed_fatal)</f>
        <v>2.1814562948204E-006</v>
      </c>
      <c r="BC7" s="57" t="n">
        <f aca="false">AU7*(1-f_bleed_fatal)</f>
        <v>2.02850379279065E-005</v>
      </c>
      <c r="BD7" s="57" t="n">
        <f aca="false">AV7*f_mi_fatal</f>
        <v>6.00810519983555E-007</v>
      </c>
      <c r="BE7" s="57" t="n">
        <f aca="false">AV7-BD7</f>
        <v>4.36456567822764E-006</v>
      </c>
      <c r="BF7" s="57" t="n">
        <f aca="false">AL7-AS7-AT7-AU7-BD7</f>
        <v>0.00226798452255827</v>
      </c>
      <c r="BG7" s="19" t="n">
        <f aca="false">AY7*c_stroke_fatal+AZ7*c_stroke_major+BA7*c_stroke_minor+AT7*c_ich+AU7*c_major_bleed+BD7*c_mi_fatal+BE7*c_mi_nonfatal+AW7*c_tia+AX7*c_minor_bleed</f>
        <v>1.46951997950541</v>
      </c>
      <c r="BH7" s="57" t="n">
        <f aca="false">dt*(BE7*dec_mi+BC7*dec_major_bleed+AX7*dec_minor_bleed+AW7*dec_tia)</f>
        <v>1.00067933146225E-006</v>
      </c>
      <c r="BI7" s="57" t="n">
        <f aca="false">H7*AK7+AY7+AT7-BB7+AU7-BC7+BD7</f>
        <v>6.04674328615448E-005</v>
      </c>
      <c r="BJ7" s="57" t="n">
        <f aca="false">1-EXP(LN(1-E7)*hr_death_prior_stroke*dt)</f>
        <v>0.0191101906321427</v>
      </c>
      <c r="BK7" s="57" t="n">
        <f aca="false">I7*(1-BJ7)</f>
        <v>0.000786361589508995</v>
      </c>
      <c r="BL7" s="57" t="n">
        <f aca="false">(1-EXP(-r_stroke*F7*rr_stroke_prior*rr_asa_stroke*dt))</f>
        <v>0.0144128228079825</v>
      </c>
      <c r="BM7" s="57" t="n">
        <f aca="false">(1-EXP(-r_ich*rr_asa_ich*dt))</f>
        <v>0.00102357767802375</v>
      </c>
      <c r="BN7" s="57" t="n">
        <f aca="false">(1-EXP(-r_mb*rr_asa_mb*dt))</f>
        <v>0.00951809672747972</v>
      </c>
      <c r="BO7" s="57" t="n">
        <f aca="false">(1-EXP(-r_mi*rr_asa_mi*dt))</f>
        <v>0.00213413516393479</v>
      </c>
      <c r="BP7" s="57" t="n">
        <f aca="false">(1-EXP(-r_tia*rr_asa_tia*dt))</f>
        <v>0.00312764565589152</v>
      </c>
      <c r="BQ7" s="57" t="n">
        <f aca="false">(1-EXP(-r_minor*rr_asa_minor*dt))</f>
        <v>0.0278181950466747</v>
      </c>
      <c r="BR7" s="57" t="n">
        <f aca="false">BK7*BL7</f>
        <v>1.13336902525966E-005</v>
      </c>
      <c r="BS7" s="57" t="n">
        <f aca="false">BK7*BM7</f>
        <v>8.04902169876679E-007</v>
      </c>
      <c r="BT7" s="57" t="n">
        <f aca="false">BK7*BN7</f>
        <v>7.48466567172131E-006</v>
      </c>
      <c r="BU7" s="57" t="n">
        <f aca="false">BK7*BO7</f>
        <v>1.6782019197388E-006</v>
      </c>
      <c r="BV7" s="57" t="n">
        <f aca="false">BK7*BP7</f>
        <v>2.45946040938776E-006</v>
      </c>
      <c r="BW7" s="57" t="n">
        <f aca="false">BK7*BQ7</f>
        <v>2.18751600741744E-005</v>
      </c>
      <c r="BX7" s="57" t="n">
        <f aca="false">BR7*f_stroke_fatal_recur</f>
        <v>4.21715280608868E-006</v>
      </c>
      <c r="BY7" s="57" t="n">
        <f aca="false">BR7*(1-f_stroke_fatal_recur)*f_stroke_major</f>
        <v>2.36980696968715E-006</v>
      </c>
      <c r="BZ7" s="57" t="n">
        <f aca="false">BR7*(1-f_stroke_fatal_recur)*(1-f_stroke_major)</f>
        <v>4.7467304768208E-006</v>
      </c>
      <c r="CA7" s="57" t="n">
        <f aca="false">BS7*(1-f_bleed_fatal)</f>
        <v>7.37290387607038E-007</v>
      </c>
      <c r="CB7" s="57" t="n">
        <f aca="false">BT7*(1-f_bleed_fatal)</f>
        <v>6.85595375529672E-006</v>
      </c>
      <c r="CC7" s="57" t="n">
        <f aca="false">BU7*f_mi_fatal</f>
        <v>2.03062432288395E-007</v>
      </c>
      <c r="CD7" s="57" t="n">
        <f aca="false">BU7-CC7</f>
        <v>1.47513948745041E-006</v>
      </c>
      <c r="CE7" s="57" t="n">
        <f aca="false">BK7-BR7-BS7-BT7-CC7</f>
        <v>0.000766535268982512</v>
      </c>
      <c r="CF7" s="19" t="n">
        <f aca="false">BX7*c_stroke_fatal+BY7*c_stroke_major+BZ7*c_stroke_minor+BS7*c_ich+BT7*c_major_bleed+CC7*c_mi_fatal+CD7*c_mi_nonfatal+BV7*c_tia+BW7*c_minor_bleed</f>
        <v>0.496669567874624</v>
      </c>
      <c r="CG7" s="57" t="n">
        <f aca="false">dt*(CD7*dec_mi+CB7*dec_major_bleed+BW7*dec_minor_bleed+BV7*dec_tia)</f>
        <v>3.38210421137451E-007</v>
      </c>
      <c r="CH7" s="57" t="n">
        <f aca="false">I7*BJ7+BX7+BS7-CA7+BT7-CB7+CC7</f>
        <v>2.04368325498638E-005</v>
      </c>
      <c r="CI7" s="57" t="n">
        <f aca="false">1-EXP(LN(1-E7)*dt)</f>
        <v>0.00835410477572107</v>
      </c>
      <c r="CJ7" s="57" t="n">
        <f aca="false">J7*(1-CI7)</f>
        <v>0.00603010467077135</v>
      </c>
      <c r="CK7" s="57" t="n">
        <f aca="false">(1-EXP(-r_stroke*F7*rr_asa_stroke*dt))</f>
        <v>0.00657722765247137</v>
      </c>
      <c r="CL7" s="57" t="n">
        <f aca="false">(1-EXP(-r_ich*rr_asa_ich*dt))</f>
        <v>0.00102357767802375</v>
      </c>
      <c r="CM7" s="57" t="n">
        <f aca="false">(1-EXP(-r_mb*rr_asa_mb*dt))</f>
        <v>0.00951809672747972</v>
      </c>
      <c r="CN7" s="57" t="n">
        <f aca="false">(1-EXP(-r_mi*rr_asa_mi*dt))</f>
        <v>0.00213413516393479</v>
      </c>
      <c r="CO7" s="57" t="n">
        <f aca="false">(1-EXP(-r_tia*rr_asa_tia*dt))</f>
        <v>0.00312764565589152</v>
      </c>
      <c r="CP7" s="57" t="n">
        <f aca="false">(1-EXP(-r_minor*rr_asa_minor*dt))</f>
        <v>0.0278181950466747</v>
      </c>
      <c r="CQ7" s="57" t="n">
        <f aca="false">CJ7*CK7</f>
        <v>3.96613711878941E-005</v>
      </c>
      <c r="CR7" s="57" t="n">
        <f aca="false">CJ7*CL7</f>
        <v>6.17228053714828E-006</v>
      </c>
      <c r="CS7" s="57" t="n">
        <f aca="false">CJ7*CM7</f>
        <v>5.73951195332289E-005</v>
      </c>
      <c r="CT7" s="57" t="n">
        <f aca="false">CJ7*CN7</f>
        <v>1.28690584201006E-005</v>
      </c>
      <c r="CU7" s="57" t="n">
        <f aca="false">CJ7*CO7</f>
        <v>1.88600306781092E-005</v>
      </c>
      <c r="CV7" s="57" t="n">
        <f aca="false">CJ7*CP7</f>
        <v>0.000167746627883382</v>
      </c>
      <c r="CW7" s="57" t="n">
        <f aca="false">CQ7*f_stroke_fatal</f>
        <v>9.3997449715309E-006</v>
      </c>
      <c r="CX7" s="57" t="n">
        <f aca="false">CQ7*(1-f_stroke_fatal)*f_stroke_major</f>
        <v>1.00771215300489E-005</v>
      </c>
      <c r="CY7" s="57" t="n">
        <f aca="false">CQ7*(1-f_stroke_fatal)*(1-f_stroke_major)</f>
        <v>2.01845046863143E-005</v>
      </c>
      <c r="CZ7" s="57" t="n">
        <f aca="false">CR7*(1-f_bleed_fatal)</f>
        <v>5.65380897202783E-006</v>
      </c>
      <c r="DA7" s="57" t="n">
        <f aca="false">CS7*(1-f_bleed_fatal)</f>
        <v>5.25739294924377E-005</v>
      </c>
      <c r="DB7" s="57" t="n">
        <f aca="false">CT7*f_mi_fatal</f>
        <v>1.55715606883217E-006</v>
      </c>
      <c r="DC7" s="57" t="n">
        <f aca="false">CT7-DB7</f>
        <v>1.13119023512684E-005</v>
      </c>
      <c r="DD7" s="57" t="n">
        <f aca="false">CJ7-CQ7-CR7-CS7-DB7</f>
        <v>0.00592531874344424</v>
      </c>
      <c r="DE7" s="19" t="n">
        <f aca="false">CW7*c_stroke_fatal+CX7*c_stroke_major+CY7*c_stroke_minor+CR7*c_ich+CS7*c_major_bleed+DB7*c_mi_fatal+DC7*c_mi_nonfatal+CU7*c_tia+CV7*c_minor_bleed</f>
        <v>2.27739707841092</v>
      </c>
      <c r="DF7" s="57" t="n">
        <f aca="false">dt*(DC7*dec_mi+DA7*dec_major_bleed+CV7*dec_minor_bleed+CU7*dec_tia)</f>
        <v>2.59351965738551E-006</v>
      </c>
      <c r="DG7" s="57" t="n">
        <f aca="false">J7*CI7+CW7+CR7-CZ7+CS7-DA7+DB7</f>
        <v>6.709708173358E-005</v>
      </c>
      <c r="DH7" s="57" t="n">
        <f aca="false">AG7</f>
        <v>0.962048701004843</v>
      </c>
      <c r="DI7" s="57" t="n">
        <f aca="false">AB7+AC7+BF7+BA7+BB7+BC7+CY7+CZ7</f>
        <v>0.00467292890075997</v>
      </c>
      <c r="DJ7" s="57" t="n">
        <f aca="false">AA7+AZ7+BY7+CX7+CE7+BZ7+CA7+CB7</f>
        <v>0.00159267086153265</v>
      </c>
      <c r="DK7" s="57" t="n">
        <f aca="false">AD7+DD7+DA7</f>
        <v>0.0119423902891038</v>
      </c>
      <c r="DL7" s="57" t="n">
        <f aca="false">K7+AJ7+BI7+CH7+DG7</f>
        <v>0.0197433089437602</v>
      </c>
      <c r="DM7" s="58" t="n">
        <f aca="false">SUM(DH7:DL7)</f>
        <v>1</v>
      </c>
      <c r="DN7" s="19" t="n">
        <f aca="false">dt*(G7*Apixaban!$H$2+(H7+I7+J7)*c_aspirin)</f>
        <v>73.2466021702636</v>
      </c>
      <c r="DO7" s="19" t="n">
        <f aca="false">dt*(H7*c_lt_minor_stroke+I7*c_lt_major_stroke)</f>
        <v>11.6461425962114</v>
      </c>
      <c r="DP7" s="19" t="n">
        <f aca="false">AH7+BG7+CF7+DE7</f>
        <v>214.269662778462</v>
      </c>
      <c r="DQ7" s="19" t="n">
        <f aca="false">DN7+DO7+DP7</f>
        <v>299.162407544937</v>
      </c>
      <c r="DR7" s="57" t="n">
        <f aca="false">dt*(G7*(u_af-dec_per_year_over_70*MAX(B7-ref_age,0))+H7*(u_minor_stroke-dec_per_year_over_70*MAX(B7-ref_age,0))+I7*(u_major_stroke-dec_per_year_over_70*MAX(B7-ref_age,0))+J7*(u_af-dec_per_year_over_70*MAX(B7-ref_age,0)))-AI7-BH7-CG7-DF7</f>
        <v>0.199983206924875</v>
      </c>
      <c r="DS7" s="57" t="n">
        <f aca="false">dt*(G7+H7+I7+J7)</f>
        <v>0.247527857268694</v>
      </c>
      <c r="DT7" s="19" t="n">
        <f aca="false">DQ7*C7</f>
        <v>298.050949047855</v>
      </c>
      <c r="DU7" s="19" t="n">
        <f aca="false">DN7*C7</f>
        <v>72.974473867003</v>
      </c>
      <c r="DV7" s="19" t="n">
        <f aca="false">DP7*C7</f>
        <v>213.473600735385</v>
      </c>
      <c r="DW7" s="19" t="n">
        <f aca="false">DO7*C7</f>
        <v>11.6028744454668</v>
      </c>
      <c r="DX7" s="57" t="n">
        <f aca="false">DR7*C7</f>
        <v>0.199240222415442</v>
      </c>
      <c r="DY7" s="57" t="n">
        <f aca="false">DS7*C7</f>
        <v>0.246608233234099</v>
      </c>
      <c r="DZ7" s="57" t="n">
        <f aca="false">T7+AS7+BR7+CQ7</f>
        <v>0.00321086736221764</v>
      </c>
      <c r="EA7" s="57" t="n">
        <f aca="false">U7+AT7+BS7+CR7</f>
        <v>0.000829812548682219</v>
      </c>
      <c r="EB7" s="57" t="n">
        <f aca="false">V7+AU7+BT7+CS7</f>
        <v>0.00659848530277597</v>
      </c>
      <c r="EC7" s="57" t="n">
        <f aca="false">G7*dt*C7</f>
        <v>0.244303188560202</v>
      </c>
    </row>
    <row r="8" customFormat="false" ht="15" hidden="false" customHeight="false" outlineLevel="0" collapsed="false">
      <c r="A8" s="8" t="n">
        <v>2</v>
      </c>
      <c r="B8" s="54" t="n">
        <f aca="false">start_age+A8*dt</f>
        <v>70.5</v>
      </c>
      <c r="C8" s="16" t="n">
        <f aca="false">(1+disc_rate)^-(A8*dt)</f>
        <v>0.99258333397093</v>
      </c>
      <c r="D8" s="55" t="n">
        <f aca="false">IF(A8*dt&gt;=wane_start,(1-wane_decay)^(A8*dt-wane_start),1)</f>
        <v>1</v>
      </c>
      <c r="E8" s="25" t="n">
        <f aca="false">MIN(p_nonvasc_death*MIN(EXP(gomp_int+gomp_slope*INT(B8)),1)/qx_ref,0.999)</f>
        <v>0.033</v>
      </c>
      <c r="F8" s="55" t="n">
        <f aca="false">rr_stroke_per_decade^((B8-ref_age)/10)</f>
        <v>1.02048015364945</v>
      </c>
      <c r="G8" s="57" t="n">
        <f aca="false">DH7</f>
        <v>0.962048701004843</v>
      </c>
      <c r="H8" s="57" t="n">
        <f aca="false">DI7</f>
        <v>0.00467292890075997</v>
      </c>
      <c r="I8" s="57" t="n">
        <f aca="false">DJ7</f>
        <v>0.00159267086153265</v>
      </c>
      <c r="J8" s="57" t="n">
        <f aca="false">DK7</f>
        <v>0.0119423902891038</v>
      </c>
      <c r="K8" s="57" t="n">
        <f aca="false">DL7</f>
        <v>0.0197433089437602</v>
      </c>
      <c r="L8" s="57" t="n">
        <f aca="false">1-EXP(LN(1-E8)*dt)</f>
        <v>0.00835410477572107</v>
      </c>
      <c r="M8" s="57" t="n">
        <f aca="false">G8*(1-L8)</f>
        <v>0.954011645357302</v>
      </c>
      <c r="N8" s="57" t="n">
        <f aca="false">IF(Apixaban!$B$2=1,EXP(LN(or_apx_stroke)*D8)*(1-EXP(-r_stroke*F8*dt))/(1-(1-EXP(-r_stroke*F8*dt))+EXP(LN(or_apx_stroke)*D8)*(1-EXP(-r_stroke*F8*dt))),(1-EXP(-r_stroke*F8*dt)))</f>
        <v>0.00324691432515288</v>
      </c>
      <c r="O8" s="57" t="n">
        <f aca="false">IF(Apixaban!$B$2=1,EXP(LN(or_apx_ich)*D8)*(1-EXP(-r_ich*dt))/(1-(1-EXP(-r_ich*dt))+EXP(LN(or_apx_ich)*D8)*(1-EXP(-r_ich*dt))),(1-EXP(-r_ich*dt)))</f>
        <v>0.000843513249640701</v>
      </c>
      <c r="P8" s="57" t="n">
        <f aca="false">IF(Apixaban!$B$2=1,EXP(LN(or_apx_mb)*D8)*(1-EXP(-r_mb*dt))/(1-(1-EXP(-r_mb*dt))+EXP(LN(or_apx_mb)*D8)*(1-EXP(-r_mb*dt))),(1-EXP(-r_mb*dt)))</f>
        <v>0.00669446907979895</v>
      </c>
      <c r="Q8" s="57" t="n">
        <f aca="false">IF(Apixaban!$B$2=1,EXP(LN(or_apx_mi)*D8)*(1-EXP(-r_mi*dt))/(1-(1-EXP(-r_mi*dt))+EXP(LN(or_apx_mi)*D8)*(1-EXP(-r_mi*dt))),(1-EXP(-r_mi*dt)))</f>
        <v>0.00132321915530843</v>
      </c>
      <c r="R8" s="57" t="n">
        <f aca="false">(1-EXP(-r_tia*dt))</f>
        <v>0.0020060281549299</v>
      </c>
      <c r="S8" s="57" t="n">
        <f aca="false">(1-EXP(-r_minor*dt))</f>
        <v>0.0437937690785545</v>
      </c>
      <c r="T8" s="57" t="n">
        <f aca="false">M8*N8</f>
        <v>0.0030975940776733</v>
      </c>
      <c r="U8" s="57" t="n">
        <f aca="false">M8*O8</f>
        <v>0.00080472146317041</v>
      </c>
      <c r="V8" s="57" t="n">
        <f aca="false">M8*P8</f>
        <v>0.00638660146161258</v>
      </c>
      <c r="W8" s="57" t="n">
        <f aca="false">M8*Q8</f>
        <v>0.00126236648352409</v>
      </c>
      <c r="X8" s="57" t="n">
        <f aca="false">M8*R8</f>
        <v>0.00191377422071774</v>
      </c>
      <c r="Y8" s="57" t="n">
        <f aca="false">M8*S8</f>
        <v>0.0417797656950295</v>
      </c>
      <c r="Z8" s="57" t="n">
        <f aca="false">T8*f_stroke_fatal</f>
        <v>0.000734129796408571</v>
      </c>
      <c r="AA8" s="57" t="n">
        <f aca="false">T8*(1-f_stroke_fatal)*f_stroke_major</f>
        <v>0.000787033605661154</v>
      </c>
      <c r="AB8" s="57" t="n">
        <f aca="false">T8*(1-f_stroke_fatal)*(1-f_stroke_major)</f>
        <v>0.00157643067560357</v>
      </c>
      <c r="AC8" s="57" t="n">
        <f aca="false">U8*(1-f_bleed_fatal)</f>
        <v>0.000737124860264095</v>
      </c>
      <c r="AD8" s="57" t="n">
        <f aca="false">V8*(1-f_bleed_fatal)</f>
        <v>0.00585012693883713</v>
      </c>
      <c r="AE8" s="57" t="n">
        <f aca="false">W8*f_mi_fatal</f>
        <v>0.000152746344506415</v>
      </c>
      <c r="AF8" s="57" t="n">
        <f aca="false">W8-AE8</f>
        <v>0.00110962013901768</v>
      </c>
      <c r="AG8" s="57" t="n">
        <f aca="false">M8-T8-U8-V8-AE8</f>
        <v>0.94356998201034</v>
      </c>
      <c r="AH8" s="19" t="n">
        <f aca="false">Z8*c_stroke_fatal+AA8*c_stroke_major+AB8*c_stroke_minor+U8*c_ich+V8*c_major_bleed+AE8*c_mi_fatal+AF8*c_mi_nonfatal+X8*c_tia+Y8*c_minor_bleed</f>
        <v>207.15167491187</v>
      </c>
      <c r="AI8" s="57" t="n">
        <f aca="false">dt*(AF8*dec_mi+AD8*dec_major_bleed+Y8*dec_minor_bleed+X8*dec_tia)</f>
        <v>0.000354292473629884</v>
      </c>
      <c r="AJ8" s="57" t="n">
        <f aca="false">G8*L8+Z8+U8-AC8+V8-AD8+AE8</f>
        <v>0.00952800291413758</v>
      </c>
      <c r="AK8" s="57" t="n">
        <f aca="false">1-EXP(LN(1-E8)*hr_death_prior_stroke*dt)</f>
        <v>0.0191101906321427</v>
      </c>
      <c r="AL8" s="57" t="n">
        <f aca="false">H8*(1-AK8)</f>
        <v>0.004583628338656</v>
      </c>
      <c r="AM8" s="57" t="n">
        <f aca="false">(1-EXP(-r_stroke*F8*rr_stroke_prior*rr_asa_stroke*dt))</f>
        <v>0.0145585891093775</v>
      </c>
      <c r="AN8" s="57" t="n">
        <f aca="false">(1-EXP(-r_ich*rr_asa_ich*dt))</f>
        <v>0.00102357767802375</v>
      </c>
      <c r="AO8" s="57" t="n">
        <f aca="false">(1-EXP(-r_mb*rr_asa_mb*dt))</f>
        <v>0.00951809672747972</v>
      </c>
      <c r="AP8" s="57" t="n">
        <f aca="false">(1-EXP(-r_mi*rr_asa_mi*dt))</f>
        <v>0.00213413516393479</v>
      </c>
      <c r="AQ8" s="57" t="n">
        <f aca="false">(1-EXP(-r_tia*rr_asa_tia*dt))</f>
        <v>0.00312764565589152</v>
      </c>
      <c r="AR8" s="57" t="n">
        <f aca="false">(1-EXP(-r_minor*rr_asa_minor*dt))</f>
        <v>0.0278181950466747</v>
      </c>
      <c r="AS8" s="57" t="n">
        <f aca="false">AL8*AM8</f>
        <v>6.67311616125911E-005</v>
      </c>
      <c r="AT8" s="57" t="n">
        <f aca="false">AL8*AN8</f>
        <v>4.69169965180535E-006</v>
      </c>
      <c r="AU8" s="57" t="n">
        <f aca="false">AL8*AO8</f>
        <v>4.36274178901449E-005</v>
      </c>
      <c r="AV8" s="57" t="n">
        <f aca="false">AL8*AP8</f>
        <v>9.78208241593377E-006</v>
      </c>
      <c r="AW8" s="57" t="n">
        <f aca="false">AL8*AQ8</f>
        <v>1.43359652616187E-005</v>
      </c>
      <c r="AX8" s="57" t="n">
        <f aca="false">AL8*AR8</f>
        <v>0.000127508267146198</v>
      </c>
      <c r="AY8" s="57" t="n">
        <f aca="false">AS8*f_stroke_fatal_recur</f>
        <v>2.4829997924429E-005</v>
      </c>
      <c r="AZ8" s="57" t="n">
        <f aca="false">AS8*(1-f_stroke_fatal_recur)*f_stroke_major</f>
        <v>1.3953087508158E-005</v>
      </c>
      <c r="BA8" s="57" t="n">
        <f aca="false">AS8*(1-f_stroke_fatal_recur)*(1-f_stroke_major)</f>
        <v>2.79480761800041E-005</v>
      </c>
      <c r="BB8" s="57" t="n">
        <f aca="false">AT8*(1-f_bleed_fatal)</f>
        <v>4.2975968810537E-006</v>
      </c>
      <c r="BC8" s="57" t="n">
        <f aca="false">AU8*(1-f_bleed_fatal)</f>
        <v>3.99627147873728E-005</v>
      </c>
      <c r="BD8" s="57" t="n">
        <f aca="false">AV8*f_mi_fatal</f>
        <v>1.18363197232799E-006</v>
      </c>
      <c r="BE8" s="57" t="n">
        <f aca="false">AV8-BD8</f>
        <v>8.59845044360579E-006</v>
      </c>
      <c r="BF8" s="57" t="n">
        <f aca="false">AL8-AS8-AT8-AU8-BD8</f>
        <v>0.00446739442752913</v>
      </c>
      <c r="BG8" s="19" t="n">
        <f aca="false">AY8*c_stroke_fatal+AZ8*c_stroke_major+BA8*c_stroke_minor+AT8*c_ich+AU8*c_major_bleed+BD8*c_mi_fatal+BE8*c_mi_nonfatal+AW8*c_tia+AX8*c_minor_bleed</f>
        <v>2.91807762699117</v>
      </c>
      <c r="BH8" s="57" t="n">
        <f aca="false">dt*(BE8*dec_mi+BC8*dec_major_bleed+AX8*dec_minor_bleed+AW8*dec_tia)</f>
        <v>1.97139699018408E-006</v>
      </c>
      <c r="BI8" s="57" t="n">
        <f aca="false">H8*AK8+AY8+AT8-BB8+AU8-BC8+BD8</f>
        <v>0.000119372997874253</v>
      </c>
      <c r="BJ8" s="57" t="n">
        <f aca="false">1-EXP(LN(1-E8)*hr_death_prior_stroke*dt)</f>
        <v>0.0191101906321427</v>
      </c>
      <c r="BK8" s="57" t="n">
        <f aca="false">I8*(1-BJ8)</f>
        <v>0.0015622346177545</v>
      </c>
      <c r="BL8" s="57" t="n">
        <f aca="false">(1-EXP(-r_stroke*F8*rr_stroke_prior*rr_asa_stroke*dt))</f>
        <v>0.0145585891093775</v>
      </c>
      <c r="BM8" s="57" t="n">
        <f aca="false">(1-EXP(-r_ich*rr_asa_ich*dt))</f>
        <v>0.00102357767802375</v>
      </c>
      <c r="BN8" s="57" t="n">
        <f aca="false">(1-EXP(-r_mb*rr_asa_mb*dt))</f>
        <v>0.00951809672747972</v>
      </c>
      <c r="BO8" s="57" t="n">
        <f aca="false">(1-EXP(-r_mi*rr_asa_mi*dt))</f>
        <v>0.00213413516393479</v>
      </c>
      <c r="BP8" s="57" t="n">
        <f aca="false">(1-EXP(-r_tia*rr_asa_tia*dt))</f>
        <v>0.00312764565589152</v>
      </c>
      <c r="BQ8" s="57" t="n">
        <f aca="false">(1-EXP(-r_minor*rr_asa_minor*dt))</f>
        <v>0.0278181950466747</v>
      </c>
      <c r="BR8" s="57" t="n">
        <f aca="false">BK8*BL8</f>
        <v>2.27439318923332E-005</v>
      </c>
      <c r="BS8" s="57" t="n">
        <f aca="false">BK8*BM8</f>
        <v>1.59906848256947E-006</v>
      </c>
      <c r="BT8" s="57" t="n">
        <f aca="false">BK8*BN8</f>
        <v>1.48695002028047E-005</v>
      </c>
      <c r="BU8" s="57" t="n">
        <f aca="false">BK8*BO8</f>
        <v>3.33401983206611E-006</v>
      </c>
      <c r="BV8" s="57" t="n">
        <f aca="false">BK8*BP8</f>
        <v>4.88611631570322E-006</v>
      </c>
      <c r="BW8" s="57" t="n">
        <f aca="false">BK8*BQ8</f>
        <v>4.34585473053621E-005</v>
      </c>
      <c r="BX8" s="57" t="n">
        <f aca="false">BR8*f_stroke_fatal_recur</f>
        <v>8.46278961781825E-006</v>
      </c>
      <c r="BY8" s="57" t="n">
        <f aca="false">BR8*(1-f_stroke_fatal_recur)*f_stroke_major</f>
        <v>4.75562037741347E-006</v>
      </c>
      <c r="BZ8" s="57" t="n">
        <f aca="false">BR8*(1-f_stroke_fatal_recur)*(1-f_stroke_major)</f>
        <v>9.52552189710145E-006</v>
      </c>
      <c r="CA8" s="57" t="n">
        <f aca="false">BS8*(1-f_bleed_fatal)</f>
        <v>1.46474673003363E-006</v>
      </c>
      <c r="CB8" s="57" t="n">
        <f aca="false">BT8*(1-f_bleed_fatal)</f>
        <v>1.36204621857691E-005</v>
      </c>
      <c r="CC8" s="57" t="n">
        <f aca="false">BU8*f_mi_fatal</f>
        <v>4.0341639968E-007</v>
      </c>
      <c r="CD8" s="57" t="n">
        <f aca="false">BU8-CC8</f>
        <v>2.93060343238611E-006</v>
      </c>
      <c r="CE8" s="57" t="n">
        <f aca="false">BK8-BR8-BS8-BT8-CC8</f>
        <v>0.00152261870077712</v>
      </c>
      <c r="CF8" s="19" t="n">
        <f aca="false">BX8*c_stroke_fatal+BY8*c_stroke_major+BZ8*c_stroke_minor+BS8*c_ich+BT8*c_major_bleed+CC8*c_mi_fatal+CD8*c_mi_nonfatal+BV8*c_tia+BW8*c_minor_bleed</f>
        <v>0.994566214658935</v>
      </c>
      <c r="CG8" s="57" t="n">
        <f aca="false">dt*(CD8*dec_mi+CB8*dec_major_bleed+BW8*dec_minor_bleed+BV8*dec_tia)</f>
        <v>6.71909761406539E-007</v>
      </c>
      <c r="CH8" s="57" t="n">
        <f aca="false">I8*BJ8+BX8+BS8-CA8+BT8-CB8+CC8</f>
        <v>4.06858095652176E-005</v>
      </c>
      <c r="CI8" s="57" t="n">
        <f aca="false">1-EXP(LN(1-E8)*dt)</f>
        <v>0.00835410477572107</v>
      </c>
      <c r="CJ8" s="57" t="n">
        <f aca="false">J8*(1-CI8)</f>
        <v>0.0118426223093561</v>
      </c>
      <c r="CK8" s="57" t="n">
        <f aca="false">(1-EXP(-r_stroke*F8*rr_asa_stroke*dt))</f>
        <v>0.00664401451450725</v>
      </c>
      <c r="CL8" s="57" t="n">
        <f aca="false">(1-EXP(-r_ich*rr_asa_ich*dt))</f>
        <v>0.00102357767802375</v>
      </c>
      <c r="CM8" s="57" t="n">
        <f aca="false">(1-EXP(-r_mb*rr_asa_mb*dt))</f>
        <v>0.00951809672747972</v>
      </c>
      <c r="CN8" s="57" t="n">
        <f aca="false">(1-EXP(-r_mi*rr_asa_mi*dt))</f>
        <v>0.00213413516393479</v>
      </c>
      <c r="CO8" s="57" t="n">
        <f aca="false">(1-EXP(-r_tia*rr_asa_tia*dt))</f>
        <v>0.00312764565589152</v>
      </c>
      <c r="CP8" s="57" t="n">
        <f aca="false">(1-EXP(-r_minor*rr_asa_minor*dt))</f>
        <v>0.0278181950466747</v>
      </c>
      <c r="CQ8" s="57" t="n">
        <f aca="false">CJ8*CK8</f>
        <v>7.86825545131893E-005</v>
      </c>
      <c r="CR8" s="57" t="n">
        <f aca="false">CJ8*CL8</f>
        <v>1.21218438451229E-005</v>
      </c>
      <c r="CS8" s="57" t="n">
        <f aca="false">CJ8*CM8</f>
        <v>0.000112719224647461</v>
      </c>
      <c r="CT8" s="57" t="n">
        <f aca="false">CJ8*CN8</f>
        <v>2.52737567035955E-005</v>
      </c>
      <c r="CU8" s="57" t="n">
        <f aca="false">CJ8*CO8</f>
        <v>3.70395262202216E-005</v>
      </c>
      <c r="CV8" s="57" t="n">
        <f aca="false">CJ8*CP8</f>
        <v>0.000329440377265769</v>
      </c>
      <c r="CW8" s="57" t="n">
        <f aca="false">CQ8*f_stroke_fatal</f>
        <v>1.86477654196259E-005</v>
      </c>
      <c r="CX8" s="57" t="n">
        <f aca="false">CQ8*(1-f_stroke_fatal)*f_stroke_major</f>
        <v>1.99915847681566E-005</v>
      </c>
      <c r="CY8" s="57" t="n">
        <f aca="false">CQ8*(1-f_stroke_fatal)*(1-f_stroke_major)</f>
        <v>4.00432043254068E-005</v>
      </c>
      <c r="CZ8" s="57" t="n">
        <f aca="false">CR8*(1-f_bleed_fatal)</f>
        <v>1.11036089621326E-005</v>
      </c>
      <c r="DA8" s="57" t="n">
        <f aca="false">CS8*(1-f_bleed_fatal)</f>
        <v>0.000103250809777074</v>
      </c>
      <c r="DB8" s="57" t="n">
        <f aca="false">CT8*f_mi_fatal</f>
        <v>3.05812456113506E-006</v>
      </c>
      <c r="DC8" s="57" t="n">
        <f aca="false">CT8-DB8</f>
        <v>2.22156321424604E-005</v>
      </c>
      <c r="DD8" s="57" t="n">
        <f aca="false">CJ8-CQ8-CR8-CS8-DB8</f>
        <v>0.0116360405617892</v>
      </c>
      <c r="DE8" s="19" t="n">
        <f aca="false">CW8*c_stroke_fatal+CX8*c_stroke_major+CY8*c_stroke_minor+CR8*c_ich+CS8*c_major_bleed+DB8*c_mi_fatal+DC8*c_mi_nonfatal+CU8*c_tia+CV8*c_minor_bleed</f>
        <v>4.50184084176902</v>
      </c>
      <c r="DF8" s="57" t="n">
        <f aca="false">dt*(DC8*dec_mi+DA8*dec_major_bleed+CV8*dec_minor_bleed+CU8*dec_tia)</f>
        <v>5.09345615560905E-006</v>
      </c>
      <c r="DG8" s="57" t="n">
        <f aca="false">J8*CI8+CW8+CR8-CZ8+CS8-DA8+DB8</f>
        <v>0.000131960519481865</v>
      </c>
      <c r="DH8" s="57" t="n">
        <f aca="false">AG8</f>
        <v>0.94356998201034</v>
      </c>
      <c r="DI8" s="57" t="n">
        <f aca="false">AB8+AC8+BF8+BA8+BB8+BC8+CY8+CZ8</f>
        <v>0.00690430516453276</v>
      </c>
      <c r="DJ8" s="57" t="n">
        <f aca="false">AA8+AZ8+BY8+CX8+CE8+BZ8+CA8+CB8</f>
        <v>0.0023729633299049</v>
      </c>
      <c r="DK8" s="57" t="n">
        <f aca="false">AD8+DD8+DA8</f>
        <v>0.0175894183104034</v>
      </c>
      <c r="DL8" s="57" t="n">
        <f aca="false">K8+AJ8+BI8+CH8+DG8</f>
        <v>0.0295633311848191</v>
      </c>
      <c r="DM8" s="58" t="n">
        <f aca="false">SUM(DH8:DL8)</f>
        <v>1</v>
      </c>
      <c r="DN8" s="19" t="n">
        <f aca="false">dt*(G8*Apixaban!$H$2+(H8+I8+J8)*c_aspirin)</f>
        <v>71.9311984010819</v>
      </c>
      <c r="DO8" s="19" t="n">
        <f aca="false">dt*(H8*c_lt_minor_stroke+I8*c_lt_major_stroke)</f>
        <v>23.03048358616</v>
      </c>
      <c r="DP8" s="19" t="n">
        <f aca="false">AH8+BG8+CF8+DE8</f>
        <v>215.566159595289</v>
      </c>
      <c r="DQ8" s="19" t="n">
        <f aca="false">DN8+DO8+DP8</f>
        <v>310.527841582531</v>
      </c>
      <c r="DR8" s="57" t="n">
        <f aca="false">dt*(G8*(u_af-dec_per_year_over_70*MAX(B8-ref_age,0))+H8*(u_minor_stroke-dec_per_year_over_70*MAX(B8-ref_age,0))+I8*(u_major_stroke-dec_per_year_over_70*MAX(B8-ref_age,0))+J8*(u_af-dec_per_year_over_70*MAX(B8-ref_age,0)))-AI8-BH8-CG8-DF8</f>
        <v>0.197844237196465</v>
      </c>
      <c r="DS8" s="57" t="n">
        <f aca="false">dt*(G8+H8+I8+J8)</f>
        <v>0.24506417276406</v>
      </c>
      <c r="DT8" s="19" t="n">
        <f aca="false">DQ8*C8</f>
        <v>308.224760288786</v>
      </c>
      <c r="DU8" s="19" t="n">
        <f aca="false">DN8*C8</f>
        <v>71.3977087254703</v>
      </c>
      <c r="DV8" s="19" t="n">
        <f aca="false">DP8*C8</f>
        <v>213.967377382402</v>
      </c>
      <c r="DW8" s="19" t="n">
        <f aca="false">DO8*C8</f>
        <v>22.8596741809135</v>
      </c>
      <c r="DX8" s="57" t="n">
        <f aca="false">DR8*C8</f>
        <v>0.196376892563403</v>
      </c>
      <c r="DY8" s="57" t="n">
        <f aca="false">DS8*C8</f>
        <v>0.243246613638979</v>
      </c>
      <c r="DZ8" s="57" t="n">
        <f aca="false">T8+AS8+BR8+CQ8</f>
        <v>0.00326575172569141</v>
      </c>
      <c r="EA8" s="57" t="n">
        <f aca="false">U8+AT8+BS8+CR8</f>
        <v>0.000823134075149908</v>
      </c>
      <c r="EB8" s="57" t="n">
        <f aca="false">V8+AU8+BT8+CS8</f>
        <v>0.00655781760435299</v>
      </c>
      <c r="EC8" s="57" t="n">
        <f aca="false">G8*dt*C8</f>
        <v>0.238728376771448</v>
      </c>
    </row>
    <row r="9" customFormat="false" ht="15" hidden="false" customHeight="false" outlineLevel="0" collapsed="false">
      <c r="A9" s="8" t="n">
        <v>3</v>
      </c>
      <c r="B9" s="54" t="n">
        <f aca="false">start_age+A9*dt</f>
        <v>70.75</v>
      </c>
      <c r="C9" s="16" t="n">
        <f aca="false">(1+disc_rate)^-(A9*dt)</f>
        <v>0.9888956541262</v>
      </c>
      <c r="D9" s="55" t="n">
        <f aca="false">IF(A9*dt&gt;=wane_start,(1-wane_decay)^(A9*dt-wane_start),1)</f>
        <v>1</v>
      </c>
      <c r="E9" s="25" t="n">
        <f aca="false">MIN(p_nonvasc_death*MIN(EXP(gomp_int+gomp_slope*INT(B9)),1)/qx_ref,0.999)</f>
        <v>0.033</v>
      </c>
      <c r="F9" s="55" t="n">
        <f aca="false">rr_stroke_per_decade^((B9-ref_age)/10)</f>
        <v>1.03087698643282</v>
      </c>
      <c r="G9" s="57" t="n">
        <f aca="false">DH8</f>
        <v>0.94356998201034</v>
      </c>
      <c r="H9" s="57" t="n">
        <f aca="false">DI8</f>
        <v>0.00690430516453276</v>
      </c>
      <c r="I9" s="57" t="n">
        <f aca="false">DJ8</f>
        <v>0.0023729633299049</v>
      </c>
      <c r="J9" s="57" t="n">
        <f aca="false">DK8</f>
        <v>0.0175894183104034</v>
      </c>
      <c r="K9" s="57" t="n">
        <f aca="false">DL8</f>
        <v>0.0295633311848191</v>
      </c>
      <c r="L9" s="57" t="n">
        <f aca="false">1-EXP(LN(1-E9)*dt)</f>
        <v>0.00835410477572107</v>
      </c>
      <c r="M9" s="57" t="n">
        <f aca="false">G9*(1-L9)</f>
        <v>0.9356872995174</v>
      </c>
      <c r="N9" s="57" t="n">
        <f aca="false">IF(Apixaban!$B$2=1,EXP(LN(or_apx_stroke)*D9)*(1-EXP(-r_stroke*F9*dt))/(1-(1-EXP(-r_stroke*F9*dt))+EXP(LN(or_apx_stroke)*D9)*(1-EXP(-r_stroke*F9*dt))),(1-EXP(-r_stroke*F9*dt)))</f>
        <v>0.00327995453984138</v>
      </c>
      <c r="O9" s="57" t="n">
        <f aca="false">IF(Apixaban!$B$2=1,EXP(LN(or_apx_ich)*D9)*(1-EXP(-r_ich*dt))/(1-(1-EXP(-r_ich*dt))+EXP(LN(or_apx_ich)*D9)*(1-EXP(-r_ich*dt))),(1-EXP(-r_ich*dt)))</f>
        <v>0.000843513249640701</v>
      </c>
      <c r="P9" s="57" t="n">
        <f aca="false">IF(Apixaban!$B$2=1,EXP(LN(or_apx_mb)*D9)*(1-EXP(-r_mb*dt))/(1-(1-EXP(-r_mb*dt))+EXP(LN(or_apx_mb)*D9)*(1-EXP(-r_mb*dt))),(1-EXP(-r_mb*dt)))</f>
        <v>0.00669446907979895</v>
      </c>
      <c r="Q9" s="57" t="n">
        <f aca="false">IF(Apixaban!$B$2=1,EXP(LN(or_apx_mi)*D9)*(1-EXP(-r_mi*dt))/(1-(1-EXP(-r_mi*dt))+EXP(LN(or_apx_mi)*D9)*(1-EXP(-r_mi*dt))),(1-EXP(-r_mi*dt)))</f>
        <v>0.00132321915530843</v>
      </c>
      <c r="R9" s="57" t="n">
        <f aca="false">(1-EXP(-r_tia*dt))</f>
        <v>0.0020060281549299</v>
      </c>
      <c r="S9" s="57" t="n">
        <f aca="false">(1-EXP(-r_minor*dt))</f>
        <v>0.0437937690785545</v>
      </c>
      <c r="T9" s="57" t="n">
        <f aca="false">M9*N9</f>
        <v>0.00306901180592402</v>
      </c>
      <c r="U9" s="57" t="n">
        <f aca="false">M9*O9</f>
        <v>0.000789264634663454</v>
      </c>
      <c r="V9" s="57" t="n">
        <f aca="false">M9*P9</f>
        <v>0.00626392969497982</v>
      </c>
      <c r="W9" s="57" t="n">
        <f aca="false">M9*Q9</f>
        <v>0.00123811935810024</v>
      </c>
      <c r="X9" s="57" t="n">
        <f aca="false">M9*R9</f>
        <v>0.00187701506704223</v>
      </c>
      <c r="Y9" s="57" t="n">
        <f aca="false">M9*S9</f>
        <v>0.0409772735248013</v>
      </c>
      <c r="Z9" s="57" t="n">
        <f aca="false">T9*f_stroke_fatal</f>
        <v>0.000727355798003992</v>
      </c>
      <c r="AA9" s="57" t="n">
        <f aca="false">T9*(1-f_stroke_fatal)*f_stroke_major</f>
        <v>0.000779771450637368</v>
      </c>
      <c r="AB9" s="57" t="n">
        <f aca="false">T9*(1-f_stroke_fatal)*(1-f_stroke_major)</f>
        <v>0.00156188455728266</v>
      </c>
      <c r="AC9" s="57" t="n">
        <f aca="false">U9*(1-f_bleed_fatal)</f>
        <v>0.000722966405351724</v>
      </c>
      <c r="AD9" s="57" t="n">
        <f aca="false">V9*(1-f_bleed_fatal)</f>
        <v>0.00573775960060151</v>
      </c>
      <c r="AE9" s="57" t="n">
        <f aca="false">W9*f_mi_fatal</f>
        <v>0.000149812442330129</v>
      </c>
      <c r="AF9" s="57" t="n">
        <f aca="false">W9-AE9</f>
        <v>0.00108830691577011</v>
      </c>
      <c r="AG9" s="57" t="n">
        <f aca="false">M9-T9-U9-V9-AE9</f>
        <v>0.925415280939503</v>
      </c>
      <c r="AH9" s="19" t="n">
        <f aca="false">Z9*c_stroke_fatal+AA9*c_stroke_major+AB9*c_stroke_minor+U9*c_ich+V9*c_major_bleed+AE9*c_mi_fatal+AF9*c_mi_nonfatal+X9*c_tia+Y9*c_minor_bleed</f>
        <v>204.315020252594</v>
      </c>
      <c r="AI9" s="57" t="n">
        <f aca="false">dt*(AF9*dec_mi+AD9*dec_major_bleed+Y9*dec_minor_bleed+X9*dec_tia)</f>
        <v>0.000347487338863592</v>
      </c>
      <c r="AJ9" s="57" t="n">
        <f aca="false">G9*L9+Z9+U9-AC9+V9-AD9+AE9</f>
        <v>0.00935231905696378</v>
      </c>
      <c r="AK9" s="57" t="n">
        <f aca="false">1-EXP(LN(1-E9)*hr_death_prior_stroke*dt)</f>
        <v>0.0191101906321427</v>
      </c>
      <c r="AL9" s="57" t="n">
        <f aca="false">H9*(1-AK9)</f>
        <v>0.00677236257665606</v>
      </c>
      <c r="AM9" s="57" t="n">
        <f aca="false">(1-EXP(-r_stroke*F9*rr_stroke_prior*rr_asa_stroke*dt))</f>
        <v>0.014705818614597</v>
      </c>
      <c r="AN9" s="57" t="n">
        <f aca="false">(1-EXP(-r_ich*rr_asa_ich*dt))</f>
        <v>0.00102357767802375</v>
      </c>
      <c r="AO9" s="57" t="n">
        <f aca="false">(1-EXP(-r_mb*rr_asa_mb*dt))</f>
        <v>0.00951809672747972</v>
      </c>
      <c r="AP9" s="57" t="n">
        <f aca="false">(1-EXP(-r_mi*rr_asa_mi*dt))</f>
        <v>0.00213413516393479</v>
      </c>
      <c r="AQ9" s="57" t="n">
        <f aca="false">(1-EXP(-r_tia*rr_asa_tia*dt))</f>
        <v>0.00312764565589152</v>
      </c>
      <c r="AR9" s="57" t="n">
        <f aca="false">(1-EXP(-r_minor*rr_asa_minor*dt))</f>
        <v>0.0278181950466747</v>
      </c>
      <c r="AS9" s="57" t="n">
        <f aca="false">AL9*AM9</f>
        <v>9.95931356445885E-005</v>
      </c>
      <c r="AT9" s="57" t="n">
        <f aca="false">AL9*AN9</f>
        <v>6.93203916094852E-006</v>
      </c>
      <c r="AU9" s="57" t="n">
        <f aca="false">AL9*AO9</f>
        <v>6.44600020781761E-005</v>
      </c>
      <c r="AV9" s="57" t="n">
        <f aca="false">AL9*AP9</f>
        <v>1.44531371177577E-005</v>
      </c>
      <c r="AW9" s="57" t="n">
        <f aca="false">AL9*AQ9</f>
        <v>2.11815503930006E-005</v>
      </c>
      <c r="AX9" s="57" t="n">
        <f aca="false">AL9*AR9</f>
        <v>0.000188394903084219</v>
      </c>
      <c r="AY9" s="57" t="n">
        <f aca="false">AS9*f_stroke_fatal_recur</f>
        <v>3.70576098419949E-005</v>
      </c>
      <c r="AZ9" s="57" t="n">
        <f aca="false">AS9*(1-f_stroke_fatal_recur)*f_stroke_major</f>
        <v>2.08243300922637E-005</v>
      </c>
      <c r="BA9" s="57" t="n">
        <f aca="false">AS9*(1-f_stroke_fatal_recur)*(1-f_stroke_major)</f>
        <v>4.17111957103299E-005</v>
      </c>
      <c r="BB9" s="57" t="n">
        <f aca="false">AT9*(1-f_bleed_fatal)</f>
        <v>6.34974787142884E-006</v>
      </c>
      <c r="BC9" s="57" t="n">
        <f aca="false">AU9*(1-f_bleed_fatal)</f>
        <v>5.90453619036093E-005</v>
      </c>
      <c r="BD9" s="57" t="n">
        <f aca="false">AV9*f_mi_fatal</f>
        <v>1.74882959124868E-006</v>
      </c>
      <c r="BE9" s="57" t="n">
        <f aca="false">AV9-BD9</f>
        <v>1.2704307526509E-005</v>
      </c>
      <c r="BF9" s="57" t="n">
        <f aca="false">AL9-AS9-AT9-AU9-BD9</f>
        <v>0.00659962857018109</v>
      </c>
      <c r="BG9" s="19" t="n">
        <f aca="false">AY9*c_stroke_fatal+AZ9*c_stroke_major+BA9*c_stroke_minor+AT9*c_ich+AU9*c_major_bleed+BD9*c_mi_fatal+BE9*c_mi_nonfatal+AW9*c_tia+AX9*c_minor_bleed</f>
        <v>4.34587178851406</v>
      </c>
      <c r="BH9" s="57" t="n">
        <f aca="false">dt*(BE9*dec_mi+BC9*dec_major_bleed+AX9*dec_minor_bleed+AW9*dec_tia)</f>
        <v>2.9127612916299E-006</v>
      </c>
      <c r="BI9" s="57" t="n">
        <f aca="false">H9*AK9+AY9+AT9-BB9+AU9-BC9+BD9</f>
        <v>0.000176745958774039</v>
      </c>
      <c r="BJ9" s="57" t="n">
        <f aca="false">1-EXP(LN(1-E9)*hr_death_prior_stroke*dt)</f>
        <v>0.0191101906321427</v>
      </c>
      <c r="BK9" s="57" t="n">
        <f aca="false">I9*(1-BJ9)</f>
        <v>0.00232761554830733</v>
      </c>
      <c r="BL9" s="57" t="n">
        <f aca="false">(1-EXP(-r_stroke*F9*rr_stroke_prior*rr_asa_stroke*dt))</f>
        <v>0.014705818614597</v>
      </c>
      <c r="BM9" s="57" t="n">
        <f aca="false">(1-EXP(-r_ich*rr_asa_ich*dt))</f>
        <v>0.00102357767802375</v>
      </c>
      <c r="BN9" s="57" t="n">
        <f aca="false">(1-EXP(-r_mb*rr_asa_mb*dt))</f>
        <v>0.00951809672747972</v>
      </c>
      <c r="BO9" s="57" t="n">
        <f aca="false">(1-EXP(-r_mi*rr_asa_mi*dt))</f>
        <v>0.00213413516393479</v>
      </c>
      <c r="BP9" s="57" t="n">
        <f aca="false">(1-EXP(-r_tia*rr_asa_tia*dt))</f>
        <v>0.00312764565589152</v>
      </c>
      <c r="BQ9" s="57" t="n">
        <f aca="false">(1-EXP(-r_minor*rr_asa_minor*dt))</f>
        <v>0.0278181950466747</v>
      </c>
      <c r="BR9" s="57" t="n">
        <f aca="false">BK9*BL9</f>
        <v>3.42294920579233E-005</v>
      </c>
      <c r="BS9" s="57" t="n">
        <f aca="false">BK9*BM9</f>
        <v>2.38249531826839E-006</v>
      </c>
      <c r="BT9" s="57" t="n">
        <f aca="false">BK9*BN9</f>
        <v>2.2154469933175E-005</v>
      </c>
      <c r="BU9" s="57" t="n">
        <f aca="false">BK9*BO9</f>
        <v>4.96744618976404E-006</v>
      </c>
      <c r="BV9" s="57" t="n">
        <f aca="false">BK9*BP9</f>
        <v>7.27995665824899E-006</v>
      </c>
      <c r="BW9" s="57" t="n">
        <f aca="false">BK9*BQ9</f>
        <v>6.47500633164861E-005</v>
      </c>
      <c r="BX9" s="57" t="n">
        <f aca="false">BR9*f_stroke_fatal_recur</f>
        <v>1.27364516998327E-005</v>
      </c>
      <c r="BY9" s="57" t="n">
        <f aca="false">BR9*(1-f_stroke_fatal_recur)*f_stroke_major</f>
        <v>7.15718243924418E-006</v>
      </c>
      <c r="BZ9" s="57" t="n">
        <f aca="false">BR9*(1-f_stroke_fatal_recur)*(1-f_stroke_major)</f>
        <v>1.43358579188465E-005</v>
      </c>
      <c r="CA9" s="57" t="n">
        <f aca="false">BS9*(1-f_bleed_fatal)</f>
        <v>2.18236571153385E-006</v>
      </c>
      <c r="CB9" s="57" t="n">
        <f aca="false">BT9*(1-f_bleed_fatal)</f>
        <v>2.02934944587883E-005</v>
      </c>
      <c r="CC9" s="57" t="n">
        <f aca="false">BU9*f_mi_fatal</f>
        <v>6.01060988961449E-007</v>
      </c>
      <c r="CD9" s="57" t="n">
        <f aca="false">BU9-CC9</f>
        <v>4.36638520080259E-006</v>
      </c>
      <c r="CE9" s="57" t="n">
        <f aca="false">BK9-BR9-BS9-BT9-CC9</f>
        <v>0.00226824803000901</v>
      </c>
      <c r="CF9" s="19" t="n">
        <f aca="false">BX9*c_stroke_fatal+BY9*c_stroke_major+BZ9*c_stroke_minor+BS9*c_ich+BT9*c_major_bleed+CC9*c_mi_fatal+CD9*c_mi_nonfatal+BV9*c_tia+BW9*c_minor_bleed</f>
        <v>1.49364695575561</v>
      </c>
      <c r="CG9" s="57" t="n">
        <f aca="false">dt*(CD9*dec_mi+CB9*dec_major_bleed+BW9*dec_minor_bleed+BV9*dec_tia)</f>
        <v>1.0010964998057E-006</v>
      </c>
      <c r="CH9" s="57" t="n">
        <f aca="false">I9*BJ9+BX9+BS9-CA9+BT9-CB9+CC9</f>
        <v>6.07463993674822E-005</v>
      </c>
      <c r="CI9" s="57" t="n">
        <f aca="false">1-EXP(LN(1-E9)*dt)</f>
        <v>0.00835410477572107</v>
      </c>
      <c r="CJ9" s="57" t="n">
        <f aca="false">J9*(1-CI9)</f>
        <v>0.0174424744668943</v>
      </c>
      <c r="CK9" s="57" t="n">
        <f aca="false">(1-EXP(-r_stroke*F9*rr_asa_stroke*dt))</f>
        <v>0.00671147725407151</v>
      </c>
      <c r="CL9" s="57" t="n">
        <f aca="false">(1-EXP(-r_ich*rr_asa_ich*dt))</f>
        <v>0.00102357767802375</v>
      </c>
      <c r="CM9" s="57" t="n">
        <f aca="false">(1-EXP(-r_mb*rr_asa_mb*dt))</f>
        <v>0.00951809672747972</v>
      </c>
      <c r="CN9" s="57" t="n">
        <f aca="false">(1-EXP(-r_mi*rr_asa_mi*dt))</f>
        <v>0.00213413516393479</v>
      </c>
      <c r="CO9" s="57" t="n">
        <f aca="false">(1-EXP(-r_tia*rr_asa_tia*dt))</f>
        <v>0.00312764565589152</v>
      </c>
      <c r="CP9" s="57" t="n">
        <f aca="false">(1-EXP(-r_minor*rr_asa_minor*dt))</f>
        <v>0.0278181950466747</v>
      </c>
      <c r="CQ9" s="57" t="n">
        <f aca="false">CJ9*CK9</f>
        <v>0.000117064770639284</v>
      </c>
      <c r="CR9" s="57" t="n">
        <f aca="false">CJ9*CL9</f>
        <v>1.78537275138121E-005</v>
      </c>
      <c r="CS9" s="57" t="n">
        <f aca="false">CJ9*CM9</f>
        <v>0.000166019159142495</v>
      </c>
      <c r="CT9" s="57" t="n">
        <f aca="false">CJ9*CN9</f>
        <v>3.72245981058339E-005</v>
      </c>
      <c r="CU9" s="57" t="n">
        <f aca="false">CJ9*CO9</f>
        <v>5.45538794943807E-005</v>
      </c>
      <c r="CV9" s="57" t="n">
        <f aca="false">CJ9*CP9</f>
        <v>0.000485218156816709</v>
      </c>
      <c r="CW9" s="57" t="n">
        <f aca="false">CQ9*f_stroke_fatal</f>
        <v>2.77443506415103E-005</v>
      </c>
      <c r="CX9" s="57" t="n">
        <f aca="false">CQ9*(1-f_stroke_fatal)*f_stroke_major</f>
        <v>2.97436998592587E-005</v>
      </c>
      <c r="CY9" s="57" t="n">
        <f aca="false">CQ9*(1-f_stroke_fatal)*(1-f_stroke_major)</f>
        <v>5.95767201385151E-005</v>
      </c>
      <c r="CZ9" s="57" t="n">
        <f aca="false">CR9*(1-f_bleed_fatal)</f>
        <v>1.63540144026519E-005</v>
      </c>
      <c r="DA9" s="57" t="n">
        <f aca="false">CS9*(1-f_bleed_fatal)</f>
        <v>0.000152073549774526</v>
      </c>
      <c r="DB9" s="57" t="n">
        <f aca="false">CT9*f_mi_fatal</f>
        <v>4.5041763708059E-006</v>
      </c>
      <c r="DC9" s="57" t="n">
        <f aca="false">CT9-DB9</f>
        <v>3.2720421735028E-005</v>
      </c>
      <c r="DD9" s="57" t="n">
        <f aca="false">CJ9-CQ9-CR9-CS9-DB9</f>
        <v>0.0171370326332279</v>
      </c>
      <c r="DE9" s="19" t="n">
        <f aca="false">CW9*c_stroke_fatal+CX9*c_stroke_major+CY9*c_stroke_minor+CR9*c_ich+CS9*c_major_bleed+DB9*c_mi_fatal+DC9*c_mi_nonfatal+CU9*c_tia+CV9*c_minor_bleed</f>
        <v>6.67403911818728</v>
      </c>
      <c r="DF9" s="57" t="n">
        <f aca="false">dt*(DC9*dec_mi+DA9*dec_major_bleed+CV9*dec_minor_bleed+CU9*dec_tia)</f>
        <v>7.50192623066832E-006</v>
      </c>
      <c r="DG9" s="57" t="n">
        <f aca="false">J9*CI9+CW9+CR9-CZ9+CS9-DA9+DB9</f>
        <v>0.000194637693000543</v>
      </c>
      <c r="DH9" s="57" t="n">
        <f aca="false">AG9</f>
        <v>0.925415280939503</v>
      </c>
      <c r="DI9" s="57" t="n">
        <f aca="false">AB9+AC9+BF9+BA9+BB9+BC9+CY9+CZ9</f>
        <v>0.00906751657284201</v>
      </c>
      <c r="DJ9" s="57" t="n">
        <f aca="false">AA9+AZ9+BY9+CX9+CE9+BZ9+CA9+CB9</f>
        <v>0.00314255641112631</v>
      </c>
      <c r="DK9" s="57" t="n">
        <f aca="false">AD9+DD9+DA9</f>
        <v>0.0230268657836039</v>
      </c>
      <c r="DL9" s="57" t="n">
        <f aca="false">K9+AJ9+BI9+CH9+DG9</f>
        <v>0.039347780292925</v>
      </c>
      <c r="DM9" s="58" t="n">
        <f aca="false">SUM(DH9:DL9)</f>
        <v>1</v>
      </c>
      <c r="DN9" s="19" t="n">
        <f aca="false">dt*(G9*Apixaban!$H$2+(H9+I9+J9)*c_aspirin)</f>
        <v>70.6374895799735</v>
      </c>
      <c r="DO9" s="19" t="n">
        <f aca="false">dt*(H9*c_lt_minor_stroke+I9*c_lt_major_stroke)</f>
        <v>34.1568974609446</v>
      </c>
      <c r="DP9" s="19" t="n">
        <f aca="false">AH9+BG9+CF9+DE9</f>
        <v>216.828578115051</v>
      </c>
      <c r="DQ9" s="19" t="n">
        <f aca="false">DN9+DO9+DP9</f>
        <v>321.622965155969</v>
      </c>
      <c r="DR9" s="57" t="n">
        <f aca="false">dt*(G9*(u_af-dec_per_year_over_70*MAX(B9-ref_age,0))+H9*(u_minor_stroke-dec_per_year_over_70*MAX(B9-ref_age,0))+I9*(u_major_stroke-dec_per_year_over_70*MAX(B9-ref_age,0))+J9*(u_af-dec_per_year_over_70*MAX(B9-ref_age,0)))-AI9-BH9-CG9-DF9</f>
        <v>0.195714977067429</v>
      </c>
      <c r="DS9" s="57" t="n">
        <f aca="false">dt*(G9+H9+I9+J9)</f>
        <v>0.242609167203795</v>
      </c>
      <c r="DT9" s="19" t="n">
        <f aca="false">DQ9*C9</f>
        <v>318.05155250992</v>
      </c>
      <c r="DU9" s="19" t="n">
        <f aca="false">DN9*C9</f>
        <v>69.8531064640206</v>
      </c>
      <c r="DV9" s="19" t="n">
        <f aca="false">DP9*C9</f>
        <v>214.420838588337</v>
      </c>
      <c r="DW9" s="19" t="n">
        <f aca="false">DO9*C9</f>
        <v>33.7776074575623</v>
      </c>
      <c r="DX9" s="57" t="n">
        <f aca="false">DR9*C9</f>
        <v>0.19354169026939</v>
      </c>
      <c r="DY9" s="57" t="n">
        <f aca="false">DS9*C9</f>
        <v>0.23991515109901</v>
      </c>
      <c r="DZ9" s="57" t="n">
        <f aca="false">T9+AS9+BR9+CQ9</f>
        <v>0.00331989920426581</v>
      </c>
      <c r="EA9" s="57" t="n">
        <f aca="false">U9+AT9+BS9+CR9</f>
        <v>0.000816432896656483</v>
      </c>
      <c r="EB9" s="57" t="n">
        <f aca="false">V9+AU9+BT9+CS9</f>
        <v>0.00651656332613366</v>
      </c>
      <c r="EC9" s="57" t="n">
        <f aca="false">G9*dt*C9</f>
        <v>0.23327306364349</v>
      </c>
    </row>
    <row r="10" customFormat="false" ht="15" hidden="false" customHeight="false" outlineLevel="0" collapsed="false">
      <c r="A10" s="8" t="n">
        <v>4</v>
      </c>
      <c r="B10" s="54" t="n">
        <f aca="false">start_age+A10*dt</f>
        <v>71</v>
      </c>
      <c r="C10" s="16" t="n">
        <f aca="false">(1+disc_rate)^-(A10*dt)</f>
        <v>0.985221674876847</v>
      </c>
      <c r="D10" s="55" t="n">
        <f aca="false">IF(A10*dt&gt;=wane_start,(1-wane_decay)^(A10*dt-wane_start),1)</f>
        <v>1</v>
      </c>
      <c r="E10" s="25" t="n">
        <f aca="false">MIN(p_nonvasc_death*MIN(EXP(gomp_int+gomp_slope*INT(B10)),1)/qx_ref,0.999)</f>
        <v>0.0366400208729949</v>
      </c>
      <c r="F10" s="55" t="n">
        <f aca="false">rr_stroke_per_decade^((B10-ref_age)/10)</f>
        <v>1.04137974399241</v>
      </c>
      <c r="G10" s="57" t="n">
        <f aca="false">DH9</f>
        <v>0.925415280939503</v>
      </c>
      <c r="H10" s="57" t="n">
        <f aca="false">DI9</f>
        <v>0.00906751657284201</v>
      </c>
      <c r="I10" s="57" t="n">
        <f aca="false">DJ9</f>
        <v>0.00314255641112631</v>
      </c>
      <c r="J10" s="57" t="n">
        <f aca="false">DK9</f>
        <v>0.0230268657836039</v>
      </c>
      <c r="K10" s="57" t="n">
        <f aca="false">DL9</f>
        <v>0.039347780292925</v>
      </c>
      <c r="L10" s="57" t="n">
        <f aca="false">1-EXP(LN(1-E10)*dt)</f>
        <v>0.00928862345915527</v>
      </c>
      <c r="M10" s="57" t="n">
        <f aca="false">G10*(1-L10)</f>
        <v>0.916819446851507</v>
      </c>
      <c r="N10" s="57" t="n">
        <f aca="false">IF(Apixaban!$B$2=1,EXP(LN(or_apx_stroke)*D10)*(1-EXP(-r_stroke*F10*dt))/(1-(1-EXP(-r_stroke*F10*dt))+EXP(LN(or_apx_stroke)*D10)*(1-EXP(-r_stroke*F10*dt))),(1-EXP(-r_stroke*F10*dt)))</f>
        <v>0.00331333055645387</v>
      </c>
      <c r="O10" s="57" t="n">
        <f aca="false">IF(Apixaban!$B$2=1,EXP(LN(or_apx_ich)*D10)*(1-EXP(-r_ich*dt))/(1-(1-EXP(-r_ich*dt))+EXP(LN(or_apx_ich)*D10)*(1-EXP(-r_ich*dt))),(1-EXP(-r_ich*dt)))</f>
        <v>0.000843513249640701</v>
      </c>
      <c r="P10" s="57" t="n">
        <f aca="false">IF(Apixaban!$B$2=1,EXP(LN(or_apx_mb)*D10)*(1-EXP(-r_mb*dt))/(1-(1-EXP(-r_mb*dt))+EXP(LN(or_apx_mb)*D10)*(1-EXP(-r_mb*dt))),(1-EXP(-r_mb*dt)))</f>
        <v>0.00669446907979895</v>
      </c>
      <c r="Q10" s="57" t="n">
        <f aca="false">IF(Apixaban!$B$2=1,EXP(LN(or_apx_mi)*D10)*(1-EXP(-r_mi*dt))/(1-(1-EXP(-r_mi*dt))+EXP(LN(or_apx_mi)*D10)*(1-EXP(-r_mi*dt))),(1-EXP(-r_mi*dt)))</f>
        <v>0.00132321915530843</v>
      </c>
      <c r="R10" s="57" t="n">
        <f aca="false">(1-EXP(-r_tia*dt))</f>
        <v>0.0020060281549299</v>
      </c>
      <c r="S10" s="57" t="n">
        <f aca="false">(1-EXP(-r_minor*dt))</f>
        <v>0.0437937690785545</v>
      </c>
      <c r="T10" s="57" t="n">
        <f aca="false">M10*N10</f>
        <v>0.00303772588800424</v>
      </c>
      <c r="U10" s="57" t="n">
        <f aca="false">M10*O10</f>
        <v>0.000773349350947505</v>
      </c>
      <c r="V10" s="57" t="n">
        <f aca="false">M10*P10</f>
        <v>0.00613761943870579</v>
      </c>
      <c r="W10" s="57" t="n">
        <f aca="false">M10*Q10</f>
        <v>0.00121315305403319</v>
      </c>
      <c r="X10" s="57" t="n">
        <f aca="false">M10*R10</f>
        <v>0.00183916562337138</v>
      </c>
      <c r="Y10" s="57" t="n">
        <f aca="false">M10*S10</f>
        <v>0.040150979142143</v>
      </c>
      <c r="Z10" s="57" t="n">
        <f aca="false">T10*f_stroke_fatal</f>
        <v>0.000719941035457004</v>
      </c>
      <c r="AA10" s="57" t="n">
        <f aca="false">T10*(1-f_stroke_fatal)*f_stroke_major</f>
        <v>0.000771822355898229</v>
      </c>
      <c r="AB10" s="57" t="n">
        <f aca="false">T10*(1-f_stroke_fatal)*(1-f_stroke_major)</f>
        <v>0.001545962496649</v>
      </c>
      <c r="AC10" s="57" t="n">
        <f aca="false">U10*(1-f_bleed_fatal)</f>
        <v>0.000708388005467914</v>
      </c>
      <c r="AD10" s="57" t="n">
        <f aca="false">V10*(1-f_bleed_fatal)</f>
        <v>0.00562205940585451</v>
      </c>
      <c r="AE10" s="57" t="n">
        <f aca="false">W10*f_mi_fatal</f>
        <v>0.000146791519538016</v>
      </c>
      <c r="AF10" s="57" t="n">
        <f aca="false">W10-AE10</f>
        <v>0.00106636153449518</v>
      </c>
      <c r="AG10" s="57" t="n">
        <f aca="false">M10-T10-U10-V10-AE10</f>
        <v>0.906723960654312</v>
      </c>
      <c r="AH10" s="19" t="n">
        <f aca="false">Z10*c_stroke_fatal+AA10*c_stroke_major+AB10*c_stroke_minor+U10*c_ich+V10*c_major_bleed+AE10*c_mi_fatal+AF10*c_mi_nonfatal+X10*c_tia+Y10*c_minor_bleed</f>
        <v>201.325658802389</v>
      </c>
      <c r="AI10" s="57" t="n">
        <f aca="false">dt*(AF10*dec_mi+AD10*dec_major_bleed+Y10*dec_minor_bleed+X10*dec_tia)</f>
        <v>0.000340480361301405</v>
      </c>
      <c r="AJ10" s="57" t="n">
        <f aca="false">G10*L10+Z10+U10-AC10+V10-AD10+AE10</f>
        <v>0.0100430880213213</v>
      </c>
      <c r="AK10" s="57" t="n">
        <f aca="false">1-EXP(LN(1-E10)*hr_death_prior_stroke*dt)</f>
        <v>0.0212349675660142</v>
      </c>
      <c r="AL10" s="57" t="n">
        <f aca="false">H10*(1-AK10)</f>
        <v>0.00887496815251341</v>
      </c>
      <c r="AM10" s="57" t="n">
        <f aca="false">(1-EXP(-r_stroke*F10*rr_stroke_prior*rr_asa_stroke*dt))</f>
        <v>0.0148545257860664</v>
      </c>
      <c r="AN10" s="57" t="n">
        <f aca="false">(1-EXP(-r_ich*rr_asa_ich*dt))</f>
        <v>0.00102357767802375</v>
      </c>
      <c r="AO10" s="57" t="n">
        <f aca="false">(1-EXP(-r_mb*rr_asa_mb*dt))</f>
        <v>0.00951809672747972</v>
      </c>
      <c r="AP10" s="57" t="n">
        <f aca="false">(1-EXP(-r_mi*rr_asa_mi*dt))</f>
        <v>0.00213413516393479</v>
      </c>
      <c r="AQ10" s="57" t="n">
        <f aca="false">(1-EXP(-r_tia*rr_asa_tia*dt))</f>
        <v>0.00312764565589152</v>
      </c>
      <c r="AR10" s="57" t="n">
        <f aca="false">(1-EXP(-r_minor*rr_asa_minor*dt))</f>
        <v>0.0278181950466747</v>
      </c>
      <c r="AS10" s="57" t="n">
        <f aca="false">AL10*AM10</f>
        <v>0.000131833443272028</v>
      </c>
      <c r="AT10" s="57" t="n">
        <f aca="false">AL10*AN10</f>
        <v>9.08421929408438E-006</v>
      </c>
      <c r="AU10" s="57" t="n">
        <f aca="false">AL10*AO10</f>
        <v>8.44728053289247E-005</v>
      </c>
      <c r="AV10" s="57" t="n">
        <f aca="false">AL10*AP10</f>
        <v>1.89403816130803E-005</v>
      </c>
      <c r="AW10" s="57" t="n">
        <f aca="false">AL10*AQ10</f>
        <v>2.77577555883842E-005</v>
      </c>
      <c r="AX10" s="57" t="n">
        <f aca="false">AL10*AR10</f>
        <v>0.000246885595099644</v>
      </c>
      <c r="AY10" s="57" t="n">
        <f aca="false">AS10*f_stroke_fatal_recur</f>
        <v>4.90539059070891E-005</v>
      </c>
      <c r="AZ10" s="57" t="n">
        <f aca="false">AS10*(1-f_stroke_fatal_recur)*f_stroke_major</f>
        <v>2.75655859425248E-005</v>
      </c>
      <c r="BA10" s="57" t="n">
        <f aca="false">AS10*(1-f_stroke_fatal_recur)*(1-f_stroke_major)</f>
        <v>5.52139514224146E-005</v>
      </c>
      <c r="BB10" s="57" t="n">
        <f aca="false">AT10*(1-f_bleed_fatal)</f>
        <v>8.32114487338129E-006</v>
      </c>
      <c r="BC10" s="57" t="n">
        <f aca="false">AU10*(1-f_bleed_fatal)</f>
        <v>7.7377089681295E-005</v>
      </c>
      <c r="BD10" s="57" t="n">
        <f aca="false">AV10*f_mi_fatal</f>
        <v>2.29178617518271E-006</v>
      </c>
      <c r="BE10" s="57" t="n">
        <f aca="false">AV10-BD10</f>
        <v>1.66485954378976E-005</v>
      </c>
      <c r="BF10" s="57" t="n">
        <f aca="false">AL10-AS10-AT10-AU10-BD10</f>
        <v>0.00864728589844319</v>
      </c>
      <c r="BG10" s="19" t="n">
        <f aca="false">AY10*c_stroke_fatal+AZ10*c_stroke_major+BA10*c_stroke_minor+AT10*c_ich+AU10*c_major_bleed+BD10*c_mi_fatal+BE10*c_mi_nonfatal+AW10*c_tia+AX10*c_minor_bleed</f>
        <v>5.74063329443963</v>
      </c>
      <c r="BH10" s="57" t="n">
        <f aca="false">dt*(BE10*dec_mi+BC10*dec_major_bleed+AX10*dec_minor_bleed+AW10*dec_tia)</f>
        <v>3.81708206057882E-006</v>
      </c>
      <c r="BI10" s="57" t="n">
        <f aca="false">H10*AK10+AY10+AT10-BB10+AU10-BC10+BD10</f>
        <v>0.000251752902479201</v>
      </c>
      <c r="BJ10" s="57" t="n">
        <f aca="false">1-EXP(LN(1-E10)*hr_death_prior_stroke*dt)</f>
        <v>0.0212349675660142</v>
      </c>
      <c r="BK10" s="57" t="n">
        <f aca="false">I10*(1-BJ10)</f>
        <v>0.00307582432766167</v>
      </c>
      <c r="BL10" s="57" t="n">
        <f aca="false">(1-EXP(-r_stroke*F10*rr_stroke_prior*rr_asa_stroke*dt))</f>
        <v>0.0148545257860664</v>
      </c>
      <c r="BM10" s="57" t="n">
        <f aca="false">(1-EXP(-r_ich*rr_asa_ich*dt))</f>
        <v>0.00102357767802375</v>
      </c>
      <c r="BN10" s="57" t="n">
        <f aca="false">(1-EXP(-r_mb*rr_asa_mb*dt))</f>
        <v>0.00951809672747972</v>
      </c>
      <c r="BO10" s="57" t="n">
        <f aca="false">(1-EXP(-r_mi*rr_asa_mi*dt))</f>
        <v>0.00213413516393479</v>
      </c>
      <c r="BP10" s="57" t="n">
        <f aca="false">(1-EXP(-r_tia*rr_asa_tia*dt))</f>
        <v>0.00312764565589152</v>
      </c>
      <c r="BQ10" s="57" t="n">
        <f aca="false">(1-EXP(-r_minor*rr_asa_minor*dt))</f>
        <v>0.0278181950466747</v>
      </c>
      <c r="BR10" s="57" t="n">
        <f aca="false">BK10*BL10</f>
        <v>4.56899117886606E-005</v>
      </c>
      <c r="BS10" s="57" t="n">
        <f aca="false">BK10*BM10</f>
        <v>3.14834512331689E-006</v>
      </c>
      <c r="BT10" s="57" t="n">
        <f aca="false">BK10*BN10</f>
        <v>2.92759934674191E-005</v>
      </c>
      <c r="BU10" s="57" t="n">
        <f aca="false">BK10*BO10</f>
        <v>6.56422485574887E-006</v>
      </c>
      <c r="BV10" s="57" t="n">
        <f aca="false">BK10*BP10</f>
        <v>9.62008859669649E-006</v>
      </c>
      <c r="BW10" s="57" t="n">
        <f aca="false">BK10*BQ10</f>
        <v>8.55638810761995E-005</v>
      </c>
      <c r="BX10" s="57" t="n">
        <f aca="false">BR10*f_stroke_fatal_recur</f>
        <v>1.70007592774427E-005</v>
      </c>
      <c r="BY10" s="57" t="n">
        <f aca="false">BR10*(1-f_stroke_fatal_recur)*f_stroke_major</f>
        <v>9.55348778623556E-006</v>
      </c>
      <c r="BZ10" s="57" t="n">
        <f aca="false">BR10*(1-f_stroke_fatal_recur)*(1-f_stroke_major)</f>
        <v>1.91356647249823E-005</v>
      </c>
      <c r="CA10" s="57" t="n">
        <f aca="false">BS10*(1-f_bleed_fatal)</f>
        <v>2.88388413295827E-006</v>
      </c>
      <c r="CB10" s="57" t="n">
        <f aca="false">BT10*(1-f_bleed_fatal)</f>
        <v>2.68168100161559E-005</v>
      </c>
      <c r="CC10" s="57" t="n">
        <f aca="false">BU10*f_mi_fatal</f>
        <v>7.94271207545613E-007</v>
      </c>
      <c r="CD10" s="57" t="n">
        <f aca="false">BU10-CC10</f>
        <v>5.76995364820325E-006</v>
      </c>
      <c r="CE10" s="57" t="n">
        <f aca="false">BK10-BR10-BS10-BT10-CC10</f>
        <v>0.00299691580607473</v>
      </c>
      <c r="CF10" s="19" t="n">
        <f aca="false">BX10*c_stroke_fatal+BY10*c_stroke_major+BZ10*c_stroke_minor+BS10*c_ich+BT10*c_major_bleed+CC10*c_mi_fatal+CD10*c_mi_nonfatal+BV10*c_tia+BW10*c_minor_bleed</f>
        <v>1.98954849637646</v>
      </c>
      <c r="CG10" s="57" t="n">
        <f aca="false">dt*(CD10*dec_mi+CB10*dec_major_bleed+BW10*dec_minor_bleed+BV10*dec_tia)</f>
        <v>1.32289757674052E-006</v>
      </c>
      <c r="CH10" s="57" t="n">
        <f aca="false">I10*BJ10+BX10+BS10-CA10+BT10-CB10+CC10</f>
        <v>8.72507583912473E-005</v>
      </c>
      <c r="CI10" s="57" t="n">
        <f aca="false">1-EXP(LN(1-E10)*dt)</f>
        <v>0.00928862345915527</v>
      </c>
      <c r="CJ10" s="57" t="n">
        <f aca="false">J10*(1-CI10)</f>
        <v>0.0228129778978955</v>
      </c>
      <c r="CK10" s="57" t="n">
        <f aca="false">(1-EXP(-r_stroke*F10*rr_asa_stroke*dt))</f>
        <v>0.00677962266407395</v>
      </c>
      <c r="CL10" s="57" t="n">
        <f aca="false">(1-EXP(-r_ich*rr_asa_ich*dt))</f>
        <v>0.00102357767802375</v>
      </c>
      <c r="CM10" s="57" t="n">
        <f aca="false">(1-EXP(-r_mb*rr_asa_mb*dt))</f>
        <v>0.00951809672747972</v>
      </c>
      <c r="CN10" s="57" t="n">
        <f aca="false">(1-EXP(-r_mi*rr_asa_mi*dt))</f>
        <v>0.00213413516393479</v>
      </c>
      <c r="CO10" s="57" t="n">
        <f aca="false">(1-EXP(-r_tia*rr_asa_tia*dt))</f>
        <v>0.00312764565589152</v>
      </c>
      <c r="CP10" s="57" t="n">
        <f aca="false">(1-EXP(-r_minor*rr_asa_minor*dt))</f>
        <v>0.0278181950466747</v>
      </c>
      <c r="CQ10" s="57" t="n">
        <f aca="false">CJ10*CK10</f>
        <v>0.000154663381991591</v>
      </c>
      <c r="CR10" s="57" t="n">
        <f aca="false">CJ10*CL10</f>
        <v>2.3350854945535E-005</v>
      </c>
      <c r="CS10" s="57" t="n">
        <f aca="false">CJ10*CM10</f>
        <v>0.000217136130274027</v>
      </c>
      <c r="CT10" s="57" t="n">
        <f aca="false">CJ10*CN10</f>
        <v>4.86859783259661E-005</v>
      </c>
      <c r="CU10" s="57" t="n">
        <f aca="false">CJ10*CO10</f>
        <v>7.13509112203022E-005</v>
      </c>
      <c r="CV10" s="57" t="n">
        <f aca="false">CJ10*CP10</f>
        <v>0.000634615868759137</v>
      </c>
      <c r="CW10" s="57" t="n">
        <f aca="false">CQ10*f_stroke_fatal</f>
        <v>3.6655221532007E-005</v>
      </c>
      <c r="CX10" s="57" t="n">
        <f aca="false">CQ10*(1-f_stroke_fatal)*f_stroke_major</f>
        <v>3.92967174330414E-005</v>
      </c>
      <c r="CY10" s="57" t="n">
        <f aca="false">CQ10*(1-f_stroke_fatal)*(1-f_stroke_major)</f>
        <v>7.87114430265423E-005</v>
      </c>
      <c r="CZ10" s="57" t="n">
        <f aca="false">CR10*(1-f_bleed_fatal)</f>
        <v>2.138938313011E-005</v>
      </c>
      <c r="DA10" s="57" t="n">
        <f aca="false">CS10*(1-f_bleed_fatal)</f>
        <v>0.000198896695331008</v>
      </c>
      <c r="DB10" s="57" t="n">
        <f aca="false">CT10*f_mi_fatal</f>
        <v>5.8910033774419E-006</v>
      </c>
      <c r="DC10" s="57" t="n">
        <f aca="false">CT10-DB10</f>
        <v>4.27949749485242E-005</v>
      </c>
      <c r="DD10" s="57" t="n">
        <f aca="false">CJ10-CQ10-CR10-CS10-DB10</f>
        <v>0.0224119365273069</v>
      </c>
      <c r="DE10" s="19" t="n">
        <f aca="false">CW10*c_stroke_fatal+CX10*c_stroke_major+CY10*c_stroke_minor+CR10*c_ich+CS10*c_major_bleed+DB10*c_mi_fatal+DC10*c_mi_nonfatal+CU10*c_tia+CV10*c_minor_bleed</f>
        <v>8.78640135521578</v>
      </c>
      <c r="DF10" s="57" t="n">
        <f aca="false">dt*(DC10*dec_mi+DA10*dec_major_bleed+CV10*dec_minor_bleed+CU10*dec_tia)</f>
        <v>9.81175449714456E-006</v>
      </c>
      <c r="DG10" s="57" t="n">
        <f aca="false">J10*CI10+CW10+CR10-CZ10+CS10-DA10+DB10</f>
        <v>0.000276635017376295</v>
      </c>
      <c r="DH10" s="57" t="n">
        <f aca="false">AG10</f>
        <v>0.906723960654312</v>
      </c>
      <c r="DI10" s="57" t="n">
        <f aca="false">AB10+AC10+BF10+BA10+BB10+BC10+CY10+CZ10</f>
        <v>0.0111426494126939</v>
      </c>
      <c r="DJ10" s="57" t="n">
        <f aca="false">AA10+AZ10+BY10+CX10+CE10+BZ10+CA10+CB10</f>
        <v>0.00389399031200886</v>
      </c>
      <c r="DK10" s="57" t="n">
        <f aca="false">AD10+DD10+DA10</f>
        <v>0.0282328926284925</v>
      </c>
      <c r="DL10" s="57" t="n">
        <f aca="false">K10+AJ10+BI10+CH10+DG10</f>
        <v>0.050006506992493</v>
      </c>
      <c r="DM10" s="58" t="n">
        <f aca="false">SUM(DH10:DL10)</f>
        <v>1</v>
      </c>
      <c r="DN10" s="19" t="n">
        <f aca="false">dt*(G10*Apixaban!$H$2+(H10+I10+J10)*c_aspirin)</f>
        <v>69.3651321067274</v>
      </c>
      <c r="DO10" s="19" t="n">
        <f aca="false">dt*(H10*c_lt_minor_stroke+I10*c_lt_major_stroke)</f>
        <v>45.0291860511526</v>
      </c>
      <c r="DP10" s="19" t="n">
        <f aca="false">AH10+BG10+CF10+DE10</f>
        <v>217.842241948421</v>
      </c>
      <c r="DQ10" s="19" t="n">
        <f aca="false">DN10+DO10+DP10</f>
        <v>332.236560106301</v>
      </c>
      <c r="DR10" s="57" t="n">
        <f aca="false">dt*(G10*(u_af-dec_per_year_over_70*MAX(B10-ref_age,0))+H10*(u_minor_stroke-dec_per_year_over_70*MAX(B10-ref_age,0))+I10*(u_major_stroke-dec_per_year_over_70*MAX(B10-ref_age,0))+J10*(u_af-dec_per_year_over_70*MAX(B10-ref_age,0)))-AI10-BH10-CG10-DF10</f>
        <v>0.193595918253057</v>
      </c>
      <c r="DS10" s="57" t="n">
        <f aca="false">dt*(G10+H10+I10+J10)</f>
        <v>0.240163054926769</v>
      </c>
      <c r="DT10" s="19" t="n">
        <f aca="false">DQ10*C10</f>
        <v>327.326660203252</v>
      </c>
      <c r="DU10" s="19" t="n">
        <f aca="false">DN10*C10</f>
        <v>68.3400316322438</v>
      </c>
      <c r="DV10" s="19" t="n">
        <f aca="false">DP10*C10</f>
        <v>214.622898471351</v>
      </c>
      <c r="DW10" s="19" t="n">
        <f aca="false">DO10*C10</f>
        <v>44.3637300996578</v>
      </c>
      <c r="DX10" s="57" t="n">
        <f aca="false">DR10*C10</f>
        <v>0.190734894830599</v>
      </c>
      <c r="DY10" s="57" t="n">
        <f aca="false">DS10*C10</f>
        <v>0.236613847218491</v>
      </c>
      <c r="DZ10" s="57" t="n">
        <f aca="false">T10+AS10+BR10+CQ10</f>
        <v>0.00336991262505652</v>
      </c>
      <c r="EA10" s="57" t="n">
        <f aca="false">U10+AT10+BS10+CR10</f>
        <v>0.000808932770310441</v>
      </c>
      <c r="EB10" s="57" t="n">
        <f aca="false">V10+AU10+BT10+CS10</f>
        <v>0.00646850436777616</v>
      </c>
      <c r="EC10" s="57" t="n">
        <f aca="false">G10*dt*C10</f>
        <v>0.227934798260961</v>
      </c>
    </row>
    <row r="11" customFormat="false" ht="15" hidden="false" customHeight="false" outlineLevel="0" collapsed="false">
      <c r="A11" s="8" t="n">
        <v>5</v>
      </c>
      <c r="B11" s="54" t="n">
        <f aca="false">start_age+A11*dt</f>
        <v>71.25</v>
      </c>
      <c r="C11" s="16" t="n">
        <f aca="false">(1+disc_rate)^-(A11*dt)</f>
        <v>0.981561345321948</v>
      </c>
      <c r="D11" s="55" t="n">
        <f aca="false">IF(A11*dt&gt;=wane_start,(1-wane_decay)^(A11*dt-wane_start),1)</f>
        <v>1</v>
      </c>
      <c r="E11" s="25" t="n">
        <f aca="false">MIN(p_nonvasc_death*MIN(EXP(gomp_int+gomp_slope*INT(B11)),1)/qx_ref,0.999)</f>
        <v>0.0366400208729949</v>
      </c>
      <c r="F11" s="55" t="n">
        <f aca="false">rr_stroke_per_decade^((B11-ref_age)/10)</f>
        <v>1.05198950550864</v>
      </c>
      <c r="G11" s="57" t="n">
        <f aca="false">DH10</f>
        <v>0.906723960654312</v>
      </c>
      <c r="H11" s="57" t="n">
        <f aca="false">DI10</f>
        <v>0.0111426494126939</v>
      </c>
      <c r="I11" s="57" t="n">
        <f aca="false">DJ10</f>
        <v>0.00389399031200886</v>
      </c>
      <c r="J11" s="57" t="n">
        <f aca="false">DK10</f>
        <v>0.0282328926284925</v>
      </c>
      <c r="K11" s="57" t="n">
        <f aca="false">DL10</f>
        <v>0.050006506992493</v>
      </c>
      <c r="L11" s="57" t="n">
        <f aca="false">1-EXP(LN(1-E11)*dt)</f>
        <v>0.00928862345915527</v>
      </c>
      <c r="M11" s="57" t="n">
        <f aca="false">G11*(1-L11)</f>
        <v>0.8983017432024</v>
      </c>
      <c r="N11" s="57" t="n">
        <f aca="false">IF(Apixaban!$B$2=1,EXP(LN(or_apx_stroke)*D11)*(1-EXP(-r_stroke*F11*dt))/(1-(1-EXP(-r_stroke*F11*dt))+EXP(LN(or_apx_stroke)*D11)*(1-EXP(-r_stroke*F11*dt))),(1-EXP(-r_stroke*F11*dt)))</f>
        <v>0.00334704577945484</v>
      </c>
      <c r="O11" s="57" t="n">
        <f aca="false">IF(Apixaban!$B$2=1,EXP(LN(or_apx_ich)*D11)*(1-EXP(-r_ich*dt))/(1-(1-EXP(-r_ich*dt))+EXP(LN(or_apx_ich)*D11)*(1-EXP(-r_ich*dt))),(1-EXP(-r_ich*dt)))</f>
        <v>0.000843513249640701</v>
      </c>
      <c r="P11" s="57" t="n">
        <f aca="false">IF(Apixaban!$B$2=1,EXP(LN(or_apx_mb)*D11)*(1-EXP(-r_mb*dt))/(1-(1-EXP(-r_mb*dt))+EXP(LN(or_apx_mb)*D11)*(1-EXP(-r_mb*dt))),(1-EXP(-r_mb*dt)))</f>
        <v>0.00669446907979895</v>
      </c>
      <c r="Q11" s="57" t="n">
        <f aca="false">IF(Apixaban!$B$2=1,EXP(LN(or_apx_mi)*D11)*(1-EXP(-r_mi*dt))/(1-(1-EXP(-r_mi*dt))+EXP(LN(or_apx_mi)*D11)*(1-EXP(-r_mi*dt))),(1-EXP(-r_mi*dt)))</f>
        <v>0.00132321915530843</v>
      </c>
      <c r="R11" s="57" t="n">
        <f aca="false">(1-EXP(-r_tia*dt))</f>
        <v>0.0020060281549299</v>
      </c>
      <c r="S11" s="57" t="n">
        <f aca="false">(1-EXP(-r_minor*dt))</f>
        <v>0.0437937690785545</v>
      </c>
      <c r="T11" s="57" t="n">
        <f aca="false">M11*N11</f>
        <v>0.00300665705826251</v>
      </c>
      <c r="U11" s="57" t="n">
        <f aca="false">M11*O11</f>
        <v>0.000757729422566562</v>
      </c>
      <c r="V11" s="57" t="n">
        <f aca="false">M11*P11</f>
        <v>0.00601365324419796</v>
      </c>
      <c r="W11" s="57" t="n">
        <f aca="false">M11*Q11</f>
        <v>0.00118865007385237</v>
      </c>
      <c r="X11" s="57" t="n">
        <f aca="false">M11*R11</f>
        <v>0.00180201858848662</v>
      </c>
      <c r="Y11" s="57" t="n">
        <f aca="false">M11*S11</f>
        <v>0.0393400191046688</v>
      </c>
      <c r="Z11" s="57" t="n">
        <f aca="false">T11*f_stroke_fatal</f>
        <v>0.000712577722808216</v>
      </c>
      <c r="AA11" s="57" t="n">
        <f aca="false">T11*(1-f_stroke_fatal)*f_stroke_major</f>
        <v>0.000763928418706281</v>
      </c>
      <c r="AB11" s="57" t="n">
        <f aca="false">T11*(1-f_stroke_fatal)*(1-f_stroke_major)</f>
        <v>0.00153015091674802</v>
      </c>
      <c r="AC11" s="57" t="n">
        <f aca="false">U11*(1-f_bleed_fatal)</f>
        <v>0.000694080151070971</v>
      </c>
      <c r="AD11" s="57" t="n">
        <f aca="false">V11*(1-f_bleed_fatal)</f>
        <v>0.00550850637168533</v>
      </c>
      <c r="AE11" s="57" t="n">
        <f aca="false">W11*f_mi_fatal</f>
        <v>0.000143826658936137</v>
      </c>
      <c r="AF11" s="57" t="n">
        <f aca="false">W11-AE11</f>
        <v>0.00104482341491623</v>
      </c>
      <c r="AG11" s="57" t="n">
        <f aca="false">M11-T11-U11-V11-AE11</f>
        <v>0.888379876818436</v>
      </c>
      <c r="AH11" s="19" t="n">
        <f aca="false">Z11*c_stroke_fatal+AA11*c_stroke_major+AB11*c_stroke_minor+U11*c_ich+V11*c_major_bleed+AE11*c_mi_fatal+AF11*c_mi_nonfatal+X11*c_tia+Y11*c_minor_bleed</f>
        <v>198.378342813571</v>
      </c>
      <c r="AI11" s="57" t="n">
        <f aca="false">dt*(AF11*dec_mi+AD11*dec_major_bleed+Y11*dec_minor_bleed+X11*dec_tia)</f>
        <v>0.000333603419008599</v>
      </c>
      <c r="AJ11" s="57" t="n">
        <f aca="false">G11*L11+Z11+U11-AC11+V11-AD11+AE11</f>
        <v>0.00984741797766438</v>
      </c>
      <c r="AK11" s="57" t="n">
        <f aca="false">1-EXP(LN(1-E11)*hr_death_prior_stroke*dt)</f>
        <v>0.0212349675660142</v>
      </c>
      <c r="AL11" s="57" t="n">
        <f aca="false">H11*(1-AK11)</f>
        <v>0.0109060356138158</v>
      </c>
      <c r="AM11" s="57" t="n">
        <f aca="false">(1-EXP(-r_stroke*F11*rr_stroke_prior*rr_asa_stroke*dt))</f>
        <v>0.0150047252245464</v>
      </c>
      <c r="AN11" s="57" t="n">
        <f aca="false">(1-EXP(-r_ich*rr_asa_ich*dt))</f>
        <v>0.00102357767802375</v>
      </c>
      <c r="AO11" s="57" t="n">
        <f aca="false">(1-EXP(-r_mb*rr_asa_mb*dt))</f>
        <v>0.00951809672747972</v>
      </c>
      <c r="AP11" s="57" t="n">
        <f aca="false">(1-EXP(-r_mi*rr_asa_mi*dt))</f>
        <v>0.00213413516393479</v>
      </c>
      <c r="AQ11" s="57" t="n">
        <f aca="false">(1-EXP(-r_tia*rr_asa_tia*dt))</f>
        <v>0.00312764565589152</v>
      </c>
      <c r="AR11" s="57" t="n">
        <f aca="false">(1-EXP(-r_minor*rr_asa_minor*dt))</f>
        <v>0.0278181950466747</v>
      </c>
      <c r="AS11" s="57" t="n">
        <f aca="false">AL11*AM11</f>
        <v>0.000163642067674424</v>
      </c>
      <c r="AT11" s="57" t="n">
        <f aca="false">AL11*AN11</f>
        <v>1.11631746100339E-005</v>
      </c>
      <c r="AU11" s="57" t="n">
        <f aca="false">AL11*AO11</f>
        <v>0.000103804701885638</v>
      </c>
      <c r="AV11" s="57" t="n">
        <f aca="false">AL11*AP11</f>
        <v>2.32749541025695E-005</v>
      </c>
      <c r="AW11" s="57" t="n">
        <f aca="false">AL11*AQ11</f>
        <v>3.41102149105493E-005</v>
      </c>
      <c r="AX11" s="57" t="n">
        <f aca="false">AL11*AR11</f>
        <v>0.00030338622589111</v>
      </c>
      <c r="AY11" s="57" t="n">
        <f aca="false">AS11*f_stroke_fatal_recur</f>
        <v>6.08895769609765E-005</v>
      </c>
      <c r="AZ11" s="57" t="n">
        <f aca="false">AS11*(1-f_stroke_fatal_recur)*f_stroke_major</f>
        <v>3.42165794075781E-005</v>
      </c>
      <c r="BA11" s="57" t="n">
        <f aca="false">AS11*(1-f_stroke_fatal_recur)*(1-f_stroke_major)</f>
        <v>6.85359113058696E-005</v>
      </c>
      <c r="BB11" s="57" t="n">
        <f aca="false">AT11*(1-f_bleed_fatal)</f>
        <v>1.0225467942791E-005</v>
      </c>
      <c r="BC11" s="57" t="n">
        <f aca="false">AU11*(1-f_bleed_fatal)</f>
        <v>9.50851069272442E-005</v>
      </c>
      <c r="BD11" s="57" t="n">
        <f aca="false">AV11*f_mi_fatal</f>
        <v>2.81626944641091E-006</v>
      </c>
      <c r="BE11" s="57" t="n">
        <f aca="false">AV11-BD11</f>
        <v>2.04586846561586E-005</v>
      </c>
      <c r="BF11" s="57" t="n">
        <f aca="false">AL11-AS11-AT11-AU11-BD11</f>
        <v>0.0106246094001993</v>
      </c>
      <c r="BG11" s="19" t="n">
        <f aca="false">AY11*c_stroke_fatal+AZ11*c_stroke_major+BA11*c_stroke_minor+AT11*c_ich+AU11*c_major_bleed+BD11*c_mi_fatal+BE11*c_mi_nonfatal+AW11*c_tia+AX11*c_minor_bleed</f>
        <v>7.11087739936097</v>
      </c>
      <c r="BH11" s="57" t="n">
        <f aca="false">dt*(BE11*dec_mi+BC11*dec_major_bleed+AX11*dec_minor_bleed+AW11*dec_tia)</f>
        <v>4.69063462292433E-006</v>
      </c>
      <c r="BI11" s="57" t="n">
        <f aca="false">H11*AK11+AY11+AT11-BB11+AU11-BC11+BD11</f>
        <v>0.000309976946911045</v>
      </c>
      <c r="BJ11" s="57" t="n">
        <f aca="false">1-EXP(LN(1-E11)*hr_death_prior_stroke*dt)</f>
        <v>0.0212349675660142</v>
      </c>
      <c r="BK11" s="57" t="n">
        <f aca="false">I11*(1-BJ11)</f>
        <v>0.00381130155403098</v>
      </c>
      <c r="BL11" s="57" t="n">
        <f aca="false">(1-EXP(-r_stroke*F11*rr_stroke_prior*rr_asa_stroke*dt))</f>
        <v>0.0150047252245464</v>
      </c>
      <c r="BM11" s="57" t="n">
        <f aca="false">(1-EXP(-r_ich*rr_asa_ich*dt))</f>
        <v>0.00102357767802375</v>
      </c>
      <c r="BN11" s="57" t="n">
        <f aca="false">(1-EXP(-r_mb*rr_asa_mb*dt))</f>
        <v>0.00951809672747972</v>
      </c>
      <c r="BO11" s="57" t="n">
        <f aca="false">(1-EXP(-r_mi*rr_asa_mi*dt))</f>
        <v>0.00213413516393479</v>
      </c>
      <c r="BP11" s="57" t="n">
        <f aca="false">(1-EXP(-r_tia*rr_asa_tia*dt))</f>
        <v>0.00312764565589152</v>
      </c>
      <c r="BQ11" s="57" t="n">
        <f aca="false">(1-EXP(-r_minor*rr_asa_minor*dt))</f>
        <v>0.0278181950466747</v>
      </c>
      <c r="BR11" s="57" t="n">
        <f aca="false">BK11*BL11</f>
        <v>5.71875325661216E-005</v>
      </c>
      <c r="BS11" s="57" t="n">
        <f aca="false">BK11*BM11</f>
        <v>3.90116319492332E-006</v>
      </c>
      <c r="BT11" s="57" t="n">
        <f aca="false">BK11*BN11</f>
        <v>3.62763368488606E-005</v>
      </c>
      <c r="BU11" s="57" t="n">
        <f aca="false">BK11*BO11</f>
        <v>8.13383266681683E-006</v>
      </c>
      <c r="BV11" s="57" t="n">
        <f aca="false">BK11*BP11</f>
        <v>1.19204007487576E-005</v>
      </c>
      <c r="BW11" s="57" t="n">
        <f aca="false">BK11*BQ11</f>
        <v>0.000106023530011728</v>
      </c>
      <c r="BX11" s="57" t="n">
        <f aca="false">BR11*f_stroke_fatal_recur</f>
        <v>2.12789089925282E-005</v>
      </c>
      <c r="BY11" s="57" t="n">
        <f aca="false">BR11*(1-f_stroke_fatal_recur)*f_stroke_major</f>
        <v>1.19575716500066E-005</v>
      </c>
      <c r="BZ11" s="57" t="n">
        <f aca="false">BR11*(1-f_stroke_fatal_recur)*(1-f_stroke_major)</f>
        <v>2.39510519235868E-005</v>
      </c>
      <c r="CA11" s="57" t="n">
        <f aca="false">BS11*(1-f_bleed_fatal)</f>
        <v>3.57346548654976E-006</v>
      </c>
      <c r="CB11" s="57" t="n">
        <f aca="false">BT11*(1-f_bleed_fatal)</f>
        <v>3.32291245535563E-005</v>
      </c>
      <c r="CC11" s="57" t="n">
        <f aca="false">BU11*f_mi_fatal</f>
        <v>9.84193752684836E-007</v>
      </c>
      <c r="CD11" s="57" t="n">
        <f aca="false">BU11-CC11</f>
        <v>7.14963891413199E-006</v>
      </c>
      <c r="CE11" s="57" t="n">
        <f aca="false">BK11-BR11-BS11-BT11-CC11</f>
        <v>0.00371295232766839</v>
      </c>
      <c r="CF11" s="19" t="n">
        <f aca="false">BX11*c_stroke_fatal+BY11*c_stroke_major+BZ11*c_stroke_minor+BS11*c_ich+BT11*c_major_bleed+CC11*c_mi_fatal+CD11*c_mi_nonfatal+BV11*c_tia+BW11*c_minor_bleed</f>
        <v>2.48501830017643</v>
      </c>
      <c r="CG11" s="57" t="n">
        <f aca="false">dt*(CD11*dec_mi+CB11*dec_major_bleed+BW11*dec_minor_bleed+BV11*dec_tia)</f>
        <v>1.63922287261704E-006</v>
      </c>
      <c r="CH11" s="57" t="n">
        <f aca="false">I11*BJ11+BX11+BS11-CA11+BT11-CB11+CC11</f>
        <v>0.000108326770726772</v>
      </c>
      <c r="CI11" s="57" t="n">
        <f aca="false">1-EXP(LN(1-E11)*dt)</f>
        <v>0.00928862345915527</v>
      </c>
      <c r="CJ11" s="57" t="n">
        <f aca="false">J11*(1-CI11)</f>
        <v>0.0279706479197036</v>
      </c>
      <c r="CK11" s="57" t="n">
        <f aca="false">(1-EXP(-r_stroke*F11*rr_asa_stroke*dt))</f>
        <v>0.00684845760473585</v>
      </c>
      <c r="CL11" s="57" t="n">
        <f aca="false">(1-EXP(-r_ich*rr_asa_ich*dt))</f>
        <v>0.00102357767802375</v>
      </c>
      <c r="CM11" s="57" t="n">
        <f aca="false">(1-EXP(-r_mb*rr_asa_mb*dt))</f>
        <v>0.00951809672747972</v>
      </c>
      <c r="CN11" s="57" t="n">
        <f aca="false">(1-EXP(-r_mi*rr_asa_mi*dt))</f>
        <v>0.00213413516393479</v>
      </c>
      <c r="CO11" s="57" t="n">
        <f aca="false">(1-EXP(-r_tia*rr_asa_tia*dt))</f>
        <v>0.00312764565589152</v>
      </c>
      <c r="CP11" s="57" t="n">
        <f aca="false">(1-EXP(-r_minor*rr_asa_minor*dt))</f>
        <v>0.0278181950466747</v>
      </c>
      <c r="CQ11" s="57" t="n">
        <f aca="false">CJ11*CK11</f>
        <v>0.000191555796455083</v>
      </c>
      <c r="CR11" s="57" t="n">
        <f aca="false">CJ11*CL11</f>
        <v>2.863013085047E-005</v>
      </c>
      <c r="CS11" s="57" t="n">
        <f aca="false">CJ11*CM11</f>
        <v>0.000266227332430019</v>
      </c>
      <c r="CT11" s="57" t="n">
        <f aca="false">CJ11*CN11</f>
        <v>5.96931432834791E-005</v>
      </c>
      <c r="CU11" s="57" t="n">
        <f aca="false">CJ11*CO11</f>
        <v>8.74822754585323E-005</v>
      </c>
      <c r="CV11" s="57" t="n">
        <f aca="false">CJ11*CP11</f>
        <v>0.000778092939412182</v>
      </c>
      <c r="CW11" s="57" t="n">
        <f aca="false">CQ11*f_stroke_fatal</f>
        <v>4.53987237598547E-005</v>
      </c>
      <c r="CX11" s="57" t="n">
        <f aca="false">CQ11*(1-f_stroke_fatal)*f_stroke_major</f>
        <v>4.86703052075111E-005</v>
      </c>
      <c r="CY11" s="57" t="n">
        <f aca="false">CQ11*(1-f_stroke_fatal)*(1-f_stroke_major)</f>
        <v>9.74867674877174E-005</v>
      </c>
      <c r="CZ11" s="57" t="n">
        <f aca="false">CR11*(1-f_bleed_fatal)</f>
        <v>2.62251998590305E-005</v>
      </c>
      <c r="DA11" s="57" t="n">
        <f aca="false">CS11*(1-f_bleed_fatal)</f>
        <v>0.000243864236505897</v>
      </c>
      <c r="DB11" s="57" t="n">
        <f aca="false">CT11*f_mi_fatal</f>
        <v>7.22287033730096E-006</v>
      </c>
      <c r="DC11" s="57" t="n">
        <f aca="false">CT11-DB11</f>
        <v>5.24702729461781E-005</v>
      </c>
      <c r="DD11" s="57" t="n">
        <f aca="false">CJ11-CQ11-CR11-CS11-DB11</f>
        <v>0.0274770117896308</v>
      </c>
      <c r="DE11" s="19" t="n">
        <f aca="false">CW11*c_stroke_fatal+CX11*c_stroke_major+CY11*c_stroke_minor+CR11*c_ich+CS11*c_major_bleed+DB11*c_mi_fatal+DC11*c_mi_nonfatal+CU11*c_tia+CV11*c_minor_bleed</f>
        <v>10.84401151464</v>
      </c>
      <c r="DF11" s="57" t="n">
        <f aca="false">dt*(DC11*dec_mi+DA11*dec_major_bleed+CV11*dec_minor_bleed+CU11*dec_tia)</f>
        <v>1.20300441153505E-005</v>
      </c>
      <c r="DG11" s="57" t="n">
        <f aca="false">J11*CI11+CW11+CR11-CZ11+CS11-DA11+DB11</f>
        <v>0.000339634329801544</v>
      </c>
      <c r="DH11" s="57" t="n">
        <f aca="false">AG11</f>
        <v>0.888379876818436</v>
      </c>
      <c r="DI11" s="57" t="n">
        <f aca="false">AB11+AC11+BF11+BA11+BB11+BC11+CY11+CZ11</f>
        <v>0.013146398921541</v>
      </c>
      <c r="DJ11" s="57" t="n">
        <f aca="false">AA11+AZ11+BY11+CX11+CE11+BZ11+CA11+CB11</f>
        <v>0.00463247884460346</v>
      </c>
      <c r="DK11" s="57" t="n">
        <f aca="false">AD11+DD11+DA11</f>
        <v>0.033229382397822</v>
      </c>
      <c r="DL11" s="57" t="n">
        <f aca="false">K11+AJ11+BI11+CH11+DG11</f>
        <v>0.0606118630175968</v>
      </c>
      <c r="DM11" s="58" t="n">
        <f aca="false">SUM(DH11:DL11)</f>
        <v>1</v>
      </c>
      <c r="DN11" s="19" t="n">
        <f aca="false">dt*(G11*Apixaban!$H$2+(H11+I11+J11)*c_aspirin)</f>
        <v>68.0494558534064</v>
      </c>
      <c r="DO11" s="19" t="n">
        <f aca="false">dt*(H11*c_lt_minor_stroke+I11*c_lt_major_stroke)</f>
        <v>55.5448135526818</v>
      </c>
      <c r="DP11" s="19" t="n">
        <f aca="false">AH11+BG11+CF11+DE11</f>
        <v>218.818250027748</v>
      </c>
      <c r="DQ11" s="19" t="n">
        <f aca="false">DN11+DO11+DP11</f>
        <v>342.412519433836</v>
      </c>
      <c r="DR11" s="57" t="n">
        <f aca="false">dt*(G11*(u_af-dec_per_year_over_70*MAX(B11-ref_age,0))+H11*(u_minor_stroke-dec_per_year_over_70*MAX(B11-ref_age,0))+I11*(u_major_stroke-dec_per_year_over_70*MAX(B11-ref_age,0))+J11*(u_af-dec_per_year_over_70*MAX(B11-ref_age,0)))-AI11-BH11-CG11-DF11</f>
        <v>0.191303738368168</v>
      </c>
      <c r="DS11" s="57" t="n">
        <f aca="false">dt*(G11+H11+I11+J11)</f>
        <v>0.237498373251877</v>
      </c>
      <c r="DT11" s="19" t="n">
        <f aca="false">DQ11*C11</f>
        <v>336.098893230554</v>
      </c>
      <c r="DU11" s="19" t="n">
        <f aca="false">DN11*C11</f>
        <v>66.7947154358961</v>
      </c>
      <c r="DV11" s="19" t="n">
        <f aca="false">DP11*C11</f>
        <v>214.78353587823</v>
      </c>
      <c r="DW11" s="19" t="n">
        <f aca="false">DO11*C11</f>
        <v>54.5206419164271</v>
      </c>
      <c r="DX11" s="57" t="n">
        <f aca="false">DR11*C11</f>
        <v>0.187776354797777</v>
      </c>
      <c r="DY11" s="57" t="n">
        <f aca="false">DS11*C11</f>
        <v>0.233119222760886</v>
      </c>
      <c r="DZ11" s="57" t="n">
        <f aca="false">T11+AS11+BR11+CQ11</f>
        <v>0.00341904245495814</v>
      </c>
      <c r="EA11" s="57" t="n">
        <f aca="false">U11+AT11+BS11+CR11</f>
        <v>0.00080142389122199</v>
      </c>
      <c r="EB11" s="57" t="n">
        <f aca="false">V11+AU11+BT11+CS11</f>
        <v>0.00641996161536248</v>
      </c>
      <c r="EC11" s="57" t="n">
        <f aca="false">G11*dt*C11</f>
        <v>0.222501297663873</v>
      </c>
    </row>
    <row r="12" customFormat="false" ht="15" hidden="false" customHeight="false" outlineLevel="0" collapsed="false">
      <c r="A12" s="8" t="n">
        <v>6</v>
      </c>
      <c r="B12" s="54" t="n">
        <f aca="false">start_age+A12*dt</f>
        <v>71.5</v>
      </c>
      <c r="C12" s="16" t="n">
        <f aca="false">(1+disc_rate)^-(A12*dt)</f>
        <v>0.977914614749685</v>
      </c>
      <c r="D12" s="55" t="n">
        <f aca="false">IF(A12*dt&gt;=wane_start,(1-wane_decay)^(A12*dt-wane_start),1)</f>
        <v>1</v>
      </c>
      <c r="E12" s="25" t="n">
        <f aca="false">MIN(p_nonvasc_death*MIN(EXP(gomp_int+gomp_slope*INT(B12)),1)/qx_ref,0.999)</f>
        <v>0.0366400208729949</v>
      </c>
      <c r="F12" s="55" t="n">
        <f aca="false">rr_stroke_per_decade^((B12-ref_age)/10)</f>
        <v>1.0627073611568</v>
      </c>
      <c r="G12" s="57" t="n">
        <f aca="false">DH11</f>
        <v>0.888379876818436</v>
      </c>
      <c r="H12" s="57" t="n">
        <f aca="false">DI11</f>
        <v>0.013146398921541</v>
      </c>
      <c r="I12" s="57" t="n">
        <f aca="false">DJ11</f>
        <v>0.00463247884460346</v>
      </c>
      <c r="J12" s="57" t="n">
        <f aca="false">DK11</f>
        <v>0.033229382397822</v>
      </c>
      <c r="K12" s="57" t="n">
        <f aca="false">DL11</f>
        <v>0.0606118630175968</v>
      </c>
      <c r="L12" s="57" t="n">
        <f aca="false">1-EXP(LN(1-E12)*dt)</f>
        <v>0.00928862345915527</v>
      </c>
      <c r="M12" s="57" t="n">
        <f aca="false">G12*(1-L12)</f>
        <v>0.880128050653979</v>
      </c>
      <c r="N12" s="57" t="n">
        <f aca="false">IF(Apixaban!$B$2=1,EXP(LN(or_apx_stroke)*D12)*(1-EXP(-r_stroke*F12*dt))/(1-(1-EXP(-r_stroke*F12*dt))+EXP(LN(or_apx_stroke)*D12)*(1-EXP(-r_stroke*F12*dt))),(1-EXP(-r_stroke*F12*dt)))</f>
        <v>0.00338110364765113</v>
      </c>
      <c r="O12" s="57" t="n">
        <f aca="false">IF(Apixaban!$B$2=1,EXP(LN(or_apx_ich)*D12)*(1-EXP(-r_ich*dt))/(1-(1-EXP(-r_ich*dt))+EXP(LN(or_apx_ich)*D12)*(1-EXP(-r_ich*dt))),(1-EXP(-r_ich*dt)))</f>
        <v>0.000843513249640701</v>
      </c>
      <c r="P12" s="57" t="n">
        <f aca="false">IF(Apixaban!$B$2=1,EXP(LN(or_apx_mb)*D12)*(1-EXP(-r_mb*dt))/(1-(1-EXP(-r_mb*dt))+EXP(LN(or_apx_mb)*D12)*(1-EXP(-r_mb*dt))),(1-EXP(-r_mb*dt)))</f>
        <v>0.00669446907979895</v>
      </c>
      <c r="Q12" s="57" t="n">
        <f aca="false">IF(Apixaban!$B$2=1,EXP(LN(or_apx_mi)*D12)*(1-EXP(-r_mi*dt))/(1-(1-EXP(-r_mi*dt))+EXP(LN(or_apx_mi)*D12)*(1-EXP(-r_mi*dt))),(1-EXP(-r_mi*dt)))</f>
        <v>0.00132321915530843</v>
      </c>
      <c r="R12" s="57" t="n">
        <f aca="false">(1-EXP(-r_tia*dt))</f>
        <v>0.0020060281549299</v>
      </c>
      <c r="S12" s="57" t="n">
        <f aca="false">(1-EXP(-r_minor*dt))</f>
        <v>0.0437937690785545</v>
      </c>
      <c r="T12" s="57" t="n">
        <f aca="false">M12*N12</f>
        <v>0.00297580416246625</v>
      </c>
      <c r="U12" s="57" t="n">
        <f aca="false">M12*O12</f>
        <v>0.000742399672107073</v>
      </c>
      <c r="V12" s="57" t="n">
        <f aca="false">M12*P12</f>
        <v>0.00589199002136679</v>
      </c>
      <c r="W12" s="57" t="n">
        <f aca="false">M12*Q12</f>
        <v>0.00116460229574961</v>
      </c>
      <c r="X12" s="57" t="n">
        <f aca="false">M12*R12</f>
        <v>0.00176556164955545</v>
      </c>
      <c r="Y12" s="57" t="n">
        <f aca="false">M12*S12</f>
        <v>0.0385441246098987</v>
      </c>
      <c r="Z12" s="57" t="n">
        <f aca="false">T12*f_stroke_fatal</f>
        <v>0.000705265586504501</v>
      </c>
      <c r="AA12" s="57" t="n">
        <f aca="false">T12*(1-f_stroke_fatal)*f_stroke_major</f>
        <v>0.000756089345795262</v>
      </c>
      <c r="AB12" s="57" t="n">
        <f aca="false">T12*(1-f_stroke_fatal)*(1-f_stroke_major)</f>
        <v>0.00151444923016649</v>
      </c>
      <c r="AC12" s="57" t="n">
        <f aca="false">U12*(1-f_bleed_fatal)</f>
        <v>0.000680038099650079</v>
      </c>
      <c r="AD12" s="57" t="n">
        <f aca="false">V12*(1-f_bleed_fatal)</f>
        <v>0.00539706285957198</v>
      </c>
      <c r="AE12" s="57" t="n">
        <f aca="false">W12*f_mi_fatal</f>
        <v>0.000140916877785703</v>
      </c>
      <c r="AF12" s="57" t="n">
        <f aca="false">W12-AE12</f>
        <v>0.00102368541796391</v>
      </c>
      <c r="AG12" s="57" t="n">
        <f aca="false">M12-T12-U12-V12-AE12</f>
        <v>0.870376939920253</v>
      </c>
      <c r="AH12" s="19" t="n">
        <f aca="false">Z12*c_stroke_fatal+AA12*c_stroke_major+AB12*c_stroke_minor+U12*c_ich+V12*c_major_bleed+AE12*c_mi_fatal+AF12*c_mi_nonfatal+X12*c_tia+Y12*c_minor_bleed</f>
        <v>195.472433208371</v>
      </c>
      <c r="AI12" s="57" t="n">
        <f aca="false">dt*(AF12*dec_mi+AD12*dec_major_bleed+Y12*dec_minor_bleed+X12*dec_tia)</f>
        <v>0.000326854232539751</v>
      </c>
      <c r="AJ12" s="57" t="n">
        <f aca="false">G12*L12+Z12+U12-AC12+V12-AD12+AE12</f>
        <v>0.0096552973629992</v>
      </c>
      <c r="AK12" s="57" t="n">
        <f aca="false">1-EXP(LN(1-E12)*hr_death_prior_stroke*dt)</f>
        <v>0.0212349675660142</v>
      </c>
      <c r="AL12" s="57" t="n">
        <f aca="false">H12*(1-AK12)</f>
        <v>0.0128672355668322</v>
      </c>
      <c r="AM12" s="57" t="n">
        <f aca="false">(1-EXP(-r_stroke*F12*rr_stroke_prior*rr_asa_stroke*dt))</f>
        <v>0.0151564316703614</v>
      </c>
      <c r="AN12" s="57" t="n">
        <f aca="false">(1-EXP(-r_ich*rr_asa_ich*dt))</f>
        <v>0.00102357767802375</v>
      </c>
      <c r="AO12" s="57" t="n">
        <f aca="false">(1-EXP(-r_mb*rr_asa_mb*dt))</f>
        <v>0.00951809672747972</v>
      </c>
      <c r="AP12" s="57" t="n">
        <f aca="false">(1-EXP(-r_mi*rr_asa_mi*dt))</f>
        <v>0.00213413516393479</v>
      </c>
      <c r="AQ12" s="57" t="n">
        <f aca="false">(1-EXP(-r_tia*rr_asa_tia*dt))</f>
        <v>0.00312764565589152</v>
      </c>
      <c r="AR12" s="57" t="n">
        <f aca="false">(1-EXP(-r_minor*rr_asa_minor*dt))</f>
        <v>0.0278181950466747</v>
      </c>
      <c r="AS12" s="57" t="n">
        <f aca="false">AL12*AM12</f>
        <v>0.000195021376655136</v>
      </c>
      <c r="AT12" s="57" t="n">
        <f aca="false">AL12*AN12</f>
        <v>1.31706151040826E-005</v>
      </c>
      <c r="AU12" s="57" t="n">
        <f aca="false">AL12*AO12</f>
        <v>0.000122471592740376</v>
      </c>
      <c r="AV12" s="57" t="n">
        <f aca="false">AL12*AP12</f>
        <v>2.74604198858089E-005</v>
      </c>
      <c r="AW12" s="57" t="n">
        <f aca="false">AL12*AQ12</f>
        <v>4.02441534239355E-005</v>
      </c>
      <c r="AX12" s="57" t="n">
        <f aca="false">AL12*AR12</f>
        <v>0.000357943268709647</v>
      </c>
      <c r="AY12" s="57" t="n">
        <f aca="false">AS12*f_stroke_fatal_recur</f>
        <v>7.25655040396094E-005</v>
      </c>
      <c r="AZ12" s="57" t="n">
        <f aca="false">AS12*(1-f_stroke_fatal_recur)*f_stroke_major</f>
        <v>4.07778055809702E-005</v>
      </c>
      <c r="BA12" s="57" t="n">
        <f aca="false">AS12*(1-f_stroke_fatal_recur)*(1-f_stroke_major)</f>
        <v>8.1678067034556E-005</v>
      </c>
      <c r="BB12" s="57" t="n">
        <f aca="false">AT12*(1-f_bleed_fatal)</f>
        <v>1.20642834353397E-005</v>
      </c>
      <c r="BC12" s="57" t="n">
        <f aca="false">AU12*(1-f_bleed_fatal)</f>
        <v>0.000112183978950184</v>
      </c>
      <c r="BD12" s="57" t="n">
        <f aca="false">AV12*f_mi_fatal</f>
        <v>3.32271080618288E-006</v>
      </c>
      <c r="BE12" s="57" t="n">
        <f aca="false">AV12-BD12</f>
        <v>2.41377090796261E-005</v>
      </c>
      <c r="BF12" s="57" t="n">
        <f aca="false">AL12-AS12-AT12-AU12-BD12</f>
        <v>0.0125332492715264</v>
      </c>
      <c r="BG12" s="19" t="n">
        <f aca="false">AY12*c_stroke_fatal+AZ12*c_stroke_major+BA12*c_stroke_minor+AT12*c_ich+AU12*c_major_bleed+BD12*c_mi_fatal+BE12*c_mi_nonfatal+AW12*c_tia+AX12*c_minor_bleed</f>
        <v>8.45691070477893</v>
      </c>
      <c r="BH12" s="57" t="n">
        <f aca="false">dt*(BE12*dec_mi+BC12*dec_major_bleed+AX12*dec_minor_bleed+AW12*dec_tia)</f>
        <v>5.53413749856524E-006</v>
      </c>
      <c r="BI12" s="57" t="n">
        <f aca="false">H12*AK12+AY12+AT12-BB12+AU12-BC12+BD12</f>
        <v>0.000366445515013533</v>
      </c>
      <c r="BJ12" s="57" t="n">
        <f aca="false">1-EXP(LN(1-E12)*hr_death_prior_stroke*dt)</f>
        <v>0.0212349675660142</v>
      </c>
      <c r="BK12" s="57" t="n">
        <f aca="false">I12*(1-BJ12)</f>
        <v>0.00453410830658806</v>
      </c>
      <c r="BL12" s="57" t="n">
        <f aca="false">(1-EXP(-r_stroke*F12*rr_stroke_prior*rr_asa_stroke*dt))</f>
        <v>0.0151564316703614</v>
      </c>
      <c r="BM12" s="57" t="n">
        <f aca="false">(1-EXP(-r_ich*rr_asa_ich*dt))</f>
        <v>0.00102357767802375</v>
      </c>
      <c r="BN12" s="57" t="n">
        <f aca="false">(1-EXP(-r_mb*rr_asa_mb*dt))</f>
        <v>0.00951809672747972</v>
      </c>
      <c r="BO12" s="57" t="n">
        <f aca="false">(1-EXP(-r_mi*rr_asa_mi*dt))</f>
        <v>0.00213413516393479</v>
      </c>
      <c r="BP12" s="57" t="n">
        <f aca="false">(1-EXP(-r_tia*rr_asa_tia*dt))</f>
        <v>0.00312764565589152</v>
      </c>
      <c r="BQ12" s="57" t="n">
        <f aca="false">(1-EXP(-r_minor*rr_asa_minor*dt))</f>
        <v>0.0278181950466747</v>
      </c>
      <c r="BR12" s="57" t="n">
        <f aca="false">BK12*BL12</f>
        <v>6.87209027348199E-005</v>
      </c>
      <c r="BS12" s="57" t="n">
        <f aca="false">BK12*BM12</f>
        <v>4.64101205236558E-006</v>
      </c>
      <c r="BT12" s="57" t="n">
        <f aca="false">BK12*BN12</f>
        <v>4.31560814349744E-005</v>
      </c>
      <c r="BU12" s="57" t="n">
        <f aca="false">BK12*BO12</f>
        <v>9.6763999741784E-006</v>
      </c>
      <c r="BV12" s="57" t="n">
        <f aca="false">BK12*BP12</f>
        <v>1.41810841484418E-005</v>
      </c>
      <c r="BW12" s="57" t="n">
        <f aca="false">BK12*BQ12</f>
        <v>0.000126130709235415</v>
      </c>
      <c r="BX12" s="57" t="n">
        <f aca="false">BR12*f_stroke_fatal_recur</f>
        <v>2.55703606985991E-005</v>
      </c>
      <c r="BY12" s="57" t="n">
        <f aca="false">BR12*(1-f_stroke_fatal_recur)*f_stroke_major</f>
        <v>1.43691304980615E-005</v>
      </c>
      <c r="BZ12" s="57" t="n">
        <f aca="false">BR12*(1-f_stroke_fatal_recur)*(1-f_stroke_major)</f>
        <v>2.87814115381593E-005</v>
      </c>
      <c r="CA12" s="57" t="n">
        <f aca="false">BS12*(1-f_bleed_fatal)</f>
        <v>4.25116703996687E-006</v>
      </c>
      <c r="CB12" s="57" t="n">
        <f aca="false">BT12*(1-f_bleed_fatal)</f>
        <v>3.95309705944365E-005</v>
      </c>
      <c r="CC12" s="57" t="n">
        <f aca="false">BU12*f_mi_fatal</f>
        <v>1.17084439687559E-006</v>
      </c>
      <c r="CD12" s="57" t="n">
        <f aca="false">BU12-CC12</f>
        <v>8.50555557730281E-006</v>
      </c>
      <c r="CE12" s="57" t="n">
        <f aca="false">BK12-BR12-BS12-BT12-CC12</f>
        <v>0.00441641946596902</v>
      </c>
      <c r="CF12" s="19" t="n">
        <f aca="false">BX12*c_stroke_fatal+BY12*c_stroke_major+BZ12*c_stroke_minor+BS12*c_ich+BT12*c_major_bleed+CC12*c_mi_fatal+CD12*c_mi_nonfatal+BV12*c_tia+BW12*c_minor_bleed</f>
        <v>2.98001453967721</v>
      </c>
      <c r="CG12" s="57" t="n">
        <f aca="false">dt*(CD12*dec_mi+CB12*dec_major_bleed+BW12*dec_minor_bleed+BV12*dec_tia)</f>
        <v>1.95009865730023E-006</v>
      </c>
      <c r="CH12" s="57" t="n">
        <f aca="false">I12*BJ12+BX12+BS12-CA12+BT12-CB12+CC12</f>
        <v>0.000129126698963813</v>
      </c>
      <c r="CI12" s="57" t="n">
        <f aca="false">1-EXP(LN(1-E12)*dt)</f>
        <v>0.00928862345915527</v>
      </c>
      <c r="CJ12" s="57" t="n">
        <f aca="false">J12*(1-CI12)</f>
        <v>0.0329207271769483</v>
      </c>
      <c r="CK12" s="57" t="n">
        <f aca="false">(1-EXP(-r_stroke*F12*rr_asa_stroke*dt))</f>
        <v>0.0069179890042369</v>
      </c>
      <c r="CL12" s="57" t="n">
        <f aca="false">(1-EXP(-r_ich*rr_asa_ich*dt))</f>
        <v>0.00102357767802375</v>
      </c>
      <c r="CM12" s="57" t="n">
        <f aca="false">(1-EXP(-r_mb*rr_asa_mb*dt))</f>
        <v>0.00951809672747972</v>
      </c>
      <c r="CN12" s="57" t="n">
        <f aca="false">(1-EXP(-r_mi*rr_asa_mi*dt))</f>
        <v>0.00213413516393479</v>
      </c>
      <c r="CO12" s="57" t="n">
        <f aca="false">(1-EXP(-r_tia*rr_asa_tia*dt))</f>
        <v>0.00312764565589152</v>
      </c>
      <c r="CP12" s="57" t="n">
        <f aca="false">(1-EXP(-r_minor*rr_asa_minor*dt))</f>
        <v>0.0278181950466747</v>
      </c>
      <c r="CQ12" s="57" t="n">
        <f aca="false">CJ12*CK12</f>
        <v>0.000227745228621612</v>
      </c>
      <c r="CR12" s="57" t="n">
        <f aca="false">CJ12*CL12</f>
        <v>3.3696921482634E-005</v>
      </c>
      <c r="CS12" s="57" t="n">
        <f aca="false">CJ12*CM12</f>
        <v>0.000313342665609165</v>
      </c>
      <c r="CT12" s="57" t="n">
        <f aca="false">CJ12*CN12</f>
        <v>7.02572814906292E-005</v>
      </c>
      <c r="CU12" s="57" t="n">
        <f aca="false">CJ12*CO12</f>
        <v>0.000102964369343772</v>
      </c>
      <c r="CV12" s="57" t="n">
        <f aca="false">CJ12*CP12</f>
        <v>0.000915795209686714</v>
      </c>
      <c r="CW12" s="57" t="n">
        <f aca="false">CQ12*f_stroke_fatal</f>
        <v>5.39756191833219E-005</v>
      </c>
      <c r="CX12" s="57" t="n">
        <f aca="false">CQ12*(1-f_stroke_fatal)*f_stroke_major</f>
        <v>5.78652799429504E-005</v>
      </c>
      <c r="CY12" s="57" t="n">
        <f aca="false">CQ12*(1-f_stroke_fatal)*(1-f_stroke_major)</f>
        <v>0.000115904329495339</v>
      </c>
      <c r="CZ12" s="57" t="n">
        <f aca="false">CR12*(1-f_bleed_fatal)</f>
        <v>3.08663800780928E-005</v>
      </c>
      <c r="DA12" s="57" t="n">
        <f aca="false">CS12*(1-f_bleed_fatal)</f>
        <v>0.000287021881697995</v>
      </c>
      <c r="DB12" s="57" t="n">
        <f aca="false">CT12*f_mi_fatal</f>
        <v>8.50113106036613E-006</v>
      </c>
      <c r="DC12" s="57" t="n">
        <f aca="false">CT12-DB12</f>
        <v>6.17561504302631E-005</v>
      </c>
      <c r="DD12" s="57" t="n">
        <f aca="false">CJ12-CQ12-CR12-CS12-DB12</f>
        <v>0.0323374412301746</v>
      </c>
      <c r="DE12" s="19" t="n">
        <f aca="false">CW12*c_stroke_fatal+CX12*c_stroke_major+CY12*c_stroke_minor+CR12*c_ich+CS12*c_major_bleed+DB12*c_mi_fatal+DC12*c_mi_nonfatal+CU12*c_tia+CV12*c_minor_bleed</f>
        <v>12.8476943333944</v>
      </c>
      <c r="DF12" s="57" t="n">
        <f aca="false">dt*(DC12*dec_mi+DA12*dec_major_bleed+CV12*dec_minor_bleed+CU12*dec_tia)</f>
        <v>1.41590499220836E-005</v>
      </c>
      <c r="DG12" s="57" t="n">
        <f aca="false">J12*CI12+CW12+CR12-CZ12+CS12-DA12+DB12</f>
        <v>0.00040028329643305</v>
      </c>
      <c r="DH12" s="57" t="n">
        <f aca="false">AG12</f>
        <v>0.870376939920253</v>
      </c>
      <c r="DI12" s="57" t="n">
        <f aca="false">AB12+AC12+BF12+BA12+BB12+BC12+CY12+CZ12</f>
        <v>0.0150804336403365</v>
      </c>
      <c r="DJ12" s="57" t="n">
        <f aca="false">AA12+AZ12+BY12+CX12+CE12+BZ12+CA12+CB12</f>
        <v>0.00535808457695883</v>
      </c>
      <c r="DK12" s="57" t="n">
        <f aca="false">AD12+DD12+DA12</f>
        <v>0.0380215259714445</v>
      </c>
      <c r="DL12" s="57" t="n">
        <f aca="false">K12+AJ12+BI12+CH12+DG12</f>
        <v>0.0711630158910064</v>
      </c>
      <c r="DM12" s="58" t="n">
        <f aca="false">SUM(DH12:DL12)</f>
        <v>1</v>
      </c>
      <c r="DN12" s="19" t="n">
        <f aca="false">dt*(G12*Apixaban!$H$2+(H12+I12+J12)*c_aspirin)</f>
        <v>66.7568097708204</v>
      </c>
      <c r="DO12" s="19" t="n">
        <f aca="false">dt*(H12*c_lt_minor_stroke+I12*c_lt_major_stroke)</f>
        <v>65.7829519525444</v>
      </c>
      <c r="DP12" s="19" t="n">
        <f aca="false">AH12+BG12+CF12+DE12</f>
        <v>219.757052786221</v>
      </c>
      <c r="DQ12" s="19" t="n">
        <f aca="false">DN12+DO12+DP12</f>
        <v>352.296814509586</v>
      </c>
      <c r="DR12" s="57" t="n">
        <f aca="false">dt*(G12*(u_af-dec_per_year_over_70*MAX(B12-ref_age,0))+H12*(u_minor_stroke-dec_per_year_over_70*MAX(B12-ref_age,0))+I12*(u_major_stroke-dec_per_year_over_70*MAX(B12-ref_age,0))+J12*(u_af-dec_per_year_over_70*MAX(B12-ref_age,0)))-AI12-BH12-CG12-DF12</f>
        <v>0.189025359426496</v>
      </c>
      <c r="DS12" s="57" t="n">
        <f aca="false">dt*(G12+H12+I12+J12)</f>
        <v>0.234847034245601</v>
      </c>
      <c r="DT12" s="19" t="n">
        <f aca="false">DQ12*C12</f>
        <v>344.516203638683</v>
      </c>
      <c r="DU12" s="19" t="n">
        <f aca="false">DN12*C12</f>
        <v>65.2824599089499</v>
      </c>
      <c r="DV12" s="19" t="n">
        <f aca="false">DP12*C12</f>
        <v>214.903633613964</v>
      </c>
      <c r="DW12" s="19" t="n">
        <f aca="false">DO12*C12</f>
        <v>64.3301101157695</v>
      </c>
      <c r="DX12" s="57" t="n">
        <f aca="false">DR12*C12</f>
        <v>0.184850661541482</v>
      </c>
      <c r="DY12" s="57" t="n">
        <f aca="false">DS12*C12</f>
        <v>0.229660347019393</v>
      </c>
      <c r="DZ12" s="57" t="n">
        <f aca="false">T12+AS12+BR12+CQ12</f>
        <v>0.00346729167047782</v>
      </c>
      <c r="EA12" s="57" t="n">
        <f aca="false">U12+AT12+BS12+CR12</f>
        <v>0.000793908220746156</v>
      </c>
      <c r="EB12" s="57" t="n">
        <f aca="false">V12+AU12+BT12+CS12</f>
        <v>0.0063709603611513</v>
      </c>
      <c r="EC12" s="57" t="n">
        <f aca="false">G12*dt*C12</f>
        <v>0.217189916247569</v>
      </c>
    </row>
    <row r="13" customFormat="false" ht="15" hidden="false" customHeight="false" outlineLevel="0" collapsed="false">
      <c r="A13" s="8" t="n">
        <v>7</v>
      </c>
      <c r="B13" s="54" t="n">
        <f aca="false">start_age+A13*dt</f>
        <v>71.75</v>
      </c>
      <c r="C13" s="16" t="n">
        <f aca="false">(1+disc_rate)^-(A13*dt)</f>
        <v>0.974281432636651</v>
      </c>
      <c r="D13" s="55" t="n">
        <f aca="false">IF(A13*dt&gt;=wane_start,(1-wane_decay)^(A13*dt-wane_start),1)</f>
        <v>1</v>
      </c>
      <c r="E13" s="25" t="n">
        <f aca="false">MIN(p_nonvasc_death*MIN(EXP(gomp_int+gomp_slope*INT(B13)),1)/qx_ref,0.999)</f>
        <v>0.0366400208729949</v>
      </c>
      <c r="F13" s="55" t="n">
        <f aca="false">rr_stroke_per_decade^((B13-ref_age)/10)</f>
        <v>1.07353441221907</v>
      </c>
      <c r="G13" s="57" t="n">
        <f aca="false">DH12</f>
        <v>0.870376939920253</v>
      </c>
      <c r="H13" s="57" t="n">
        <f aca="false">DI12</f>
        <v>0.0150804336403365</v>
      </c>
      <c r="I13" s="57" t="n">
        <f aca="false">DJ12</f>
        <v>0.00535808457695883</v>
      </c>
      <c r="J13" s="57" t="n">
        <f aca="false">DK12</f>
        <v>0.0380215259714445</v>
      </c>
      <c r="K13" s="57" t="n">
        <f aca="false">DL12</f>
        <v>0.0711630158910064</v>
      </c>
      <c r="L13" s="57" t="n">
        <f aca="false">1-EXP(LN(1-E13)*dt)</f>
        <v>0.00928862345915527</v>
      </c>
      <c r="M13" s="57" t="n">
        <f aca="false">G13*(1-L13)</f>
        <v>0.862292336257802</v>
      </c>
      <c r="N13" s="57" t="n">
        <f aca="false">IF(Apixaban!$B$2=1,EXP(LN(or_apx_stroke)*D13)*(1-EXP(-r_stroke*F13*dt))/(1-(1-EXP(-r_stroke*F13*dt))+EXP(LN(or_apx_stroke)*D13)*(1-EXP(-r_stroke*F13*dt))),(1-EXP(-r_stroke*F13*dt)))</f>
        <v>0.00341550763453492</v>
      </c>
      <c r="O13" s="57" t="n">
        <f aca="false">IF(Apixaban!$B$2=1,EXP(LN(or_apx_ich)*D13)*(1-EXP(-r_ich*dt))/(1-(1-EXP(-r_ich*dt))+EXP(LN(or_apx_ich)*D13)*(1-EXP(-r_ich*dt))),(1-EXP(-r_ich*dt)))</f>
        <v>0.000843513249640701</v>
      </c>
      <c r="P13" s="57" t="n">
        <f aca="false">IF(Apixaban!$B$2=1,EXP(LN(or_apx_mb)*D13)*(1-EXP(-r_mb*dt))/(1-(1-EXP(-r_mb*dt))+EXP(LN(or_apx_mb)*D13)*(1-EXP(-r_mb*dt))),(1-EXP(-r_mb*dt)))</f>
        <v>0.00669446907979895</v>
      </c>
      <c r="Q13" s="57" t="n">
        <f aca="false">IF(Apixaban!$B$2=1,EXP(LN(or_apx_mi)*D13)*(1-EXP(-r_mi*dt))/(1-(1-EXP(-r_mi*dt))+EXP(LN(or_apx_mi)*D13)*(1-EXP(-r_mi*dt))),(1-EXP(-r_mi*dt)))</f>
        <v>0.00132321915530843</v>
      </c>
      <c r="R13" s="57" t="n">
        <f aca="false">(1-EXP(-r_tia*dt))</f>
        <v>0.0020060281549299</v>
      </c>
      <c r="S13" s="57" t="n">
        <f aca="false">(1-EXP(-r_minor*dt))</f>
        <v>0.0437937690785545</v>
      </c>
      <c r="T13" s="57" t="n">
        <f aca="false">M13*N13</f>
        <v>0.00294516605768948</v>
      </c>
      <c r="U13" s="57" t="n">
        <f aca="false">M13*O13</f>
        <v>0.000727355010697091</v>
      </c>
      <c r="V13" s="57" t="n">
        <f aca="false">M13*P13</f>
        <v>0.00577258938282546</v>
      </c>
      <c r="W13" s="57" t="n">
        <f aca="false">M13*Q13</f>
        <v>0.00114100173681198</v>
      </c>
      <c r="X13" s="57" t="n">
        <f aca="false">M13*R13</f>
        <v>0.00172978270431343</v>
      </c>
      <c r="Y13" s="57" t="n">
        <f aca="false">M13*S13</f>
        <v>0.0377630314522815</v>
      </c>
      <c r="Z13" s="57" t="n">
        <f aca="false">T13*f_stroke_fatal</f>
        <v>0.000698004355672407</v>
      </c>
      <c r="AA13" s="57" t="n">
        <f aca="false">T13*(1-f_stroke_fatal)*f_stroke_major</f>
        <v>0.000748304846771685</v>
      </c>
      <c r="AB13" s="57" t="n">
        <f aca="false">T13*(1-f_stroke_fatal)*(1-f_stroke_major)</f>
        <v>0.00149885685524539</v>
      </c>
      <c r="AC13" s="57" t="n">
        <f aca="false">U13*(1-f_bleed_fatal)</f>
        <v>0.000666257189798535</v>
      </c>
      <c r="AD13" s="57" t="n">
        <f aca="false">V13*(1-f_bleed_fatal)</f>
        <v>0.00528769187466812</v>
      </c>
      <c r="AE13" s="57" t="n">
        <f aca="false">W13*f_mi_fatal</f>
        <v>0.00013806121015425</v>
      </c>
      <c r="AF13" s="57" t="n">
        <f aca="false">W13-AE13</f>
        <v>0.00100294052665773</v>
      </c>
      <c r="AG13" s="57" t="n">
        <f aca="false">M13-T13-U13-V13-AE13</f>
        <v>0.852709164596436</v>
      </c>
      <c r="AH13" s="19" t="n">
        <f aca="false">Z13*c_stroke_fatal+AA13*c_stroke_major+AB13*c_stroke_minor+U13*c_ich+V13*c_major_bleed+AE13*c_mi_fatal+AF13*c_mi_nonfatal+X13*c_tia+Y13*c_minor_bleed</f>
        <v>192.60730152666</v>
      </c>
      <c r="AI13" s="57" t="n">
        <f aca="false">dt*(AF13*dec_mi+AD13*dec_major_bleed+Y13*dec_minor_bleed+X13*dec_tia)</f>
        <v>0.000320230561431406</v>
      </c>
      <c r="AJ13" s="57" t="n">
        <f aca="false">G13*L13+Z13+U13-AC13+V13-AD13+AE13</f>
        <v>0.00946666455733359</v>
      </c>
      <c r="AK13" s="57" t="n">
        <f aca="false">1-EXP(LN(1-E13)*hr_death_prior_stroke*dt)</f>
        <v>0.0212349675660142</v>
      </c>
      <c r="AL13" s="57" t="n">
        <f aca="false">H13*(1-AK13)</f>
        <v>0.0147602011211025</v>
      </c>
      <c r="AM13" s="57" t="n">
        <f aca="false">(1-EXP(-r_stroke*F13*rr_stroke_prior*rr_asa_stroke*dt))</f>
        <v>0.0153096600046361</v>
      </c>
      <c r="AN13" s="57" t="n">
        <f aca="false">(1-EXP(-r_ich*rr_asa_ich*dt))</f>
        <v>0.00102357767802375</v>
      </c>
      <c r="AO13" s="57" t="n">
        <f aca="false">(1-EXP(-r_mb*rr_asa_mb*dt))</f>
        <v>0.00951809672747972</v>
      </c>
      <c r="AP13" s="57" t="n">
        <f aca="false">(1-EXP(-r_mi*rr_asa_mi*dt))</f>
        <v>0.00213413516393479</v>
      </c>
      <c r="AQ13" s="57" t="n">
        <f aca="false">(1-EXP(-r_tia*rr_asa_tia*dt))</f>
        <v>0.00312764565589152</v>
      </c>
      <c r="AR13" s="57" t="n">
        <f aca="false">(1-EXP(-r_minor*rr_asa_minor*dt))</f>
        <v>0.0278181950466747</v>
      </c>
      <c r="AS13" s="57" t="n">
        <f aca="false">AL13*AM13</f>
        <v>0.000225973660764127</v>
      </c>
      <c r="AT13" s="57" t="n">
        <f aca="false">AL13*AN13</f>
        <v>1.51082123907016E-005</v>
      </c>
      <c r="AU13" s="57" t="n">
        <f aca="false">AL13*AO13</f>
        <v>0.000140489021987708</v>
      </c>
      <c r="AV13" s="57" t="n">
        <f aca="false">AL13*AP13</f>
        <v>3.15002642392946E-005</v>
      </c>
      <c r="AW13" s="57" t="n">
        <f aca="false">AL13*AQ13</f>
        <v>4.61646789165013E-005</v>
      </c>
      <c r="AX13" s="57" t="n">
        <f aca="false">AL13*AR13</f>
        <v>0.000410602153714976</v>
      </c>
      <c r="AY13" s="57" t="n">
        <f aca="false">AS13*f_stroke_fatal_recur</f>
        <v>8.40825394337241E-005</v>
      </c>
      <c r="AZ13" s="57" t="n">
        <f aca="false">AS13*(1-f_stroke_fatal_recur)*f_stroke_major</f>
        <v>4.72497434030243E-005</v>
      </c>
      <c r="BA13" s="57" t="n">
        <f aca="false">AS13*(1-f_stroke_fatal_recur)*(1-f_stroke_major)</f>
        <v>9.46413779273789E-005</v>
      </c>
      <c r="BB13" s="57" t="n">
        <f aca="false">AT13*(1-f_bleed_fatal)</f>
        <v>1.38391225498826E-005</v>
      </c>
      <c r="BC13" s="57" t="n">
        <f aca="false">AU13*(1-f_bleed_fatal)</f>
        <v>0.000128687944140741</v>
      </c>
      <c r="BD13" s="57" t="n">
        <f aca="false">AV13*f_mi_fatal</f>
        <v>3.81153197295464E-006</v>
      </c>
      <c r="BE13" s="57" t="n">
        <f aca="false">AV13-BD13</f>
        <v>2.76887322663399E-005</v>
      </c>
      <c r="BF13" s="57" t="n">
        <f aca="false">AL13-AS13-AT13-AU13-BD13</f>
        <v>0.014374818693987</v>
      </c>
      <c r="BG13" s="19" t="n">
        <f aca="false">AY13*c_stroke_fatal+AZ13*c_stroke_major+BA13*c_stroke_minor+AT13*c_ich+AU13*c_major_bleed+BD13*c_mi_fatal+BE13*c_mi_nonfatal+AW13*c_tia+AX13*c_minor_bleed</f>
        <v>9.77903209929514</v>
      </c>
      <c r="BH13" s="57" t="n">
        <f aca="false">dt*(BE13*dec_mi+BC13*dec_major_bleed+AX13*dec_minor_bleed+AW13*dec_tia)</f>
        <v>6.34829308023374E-006</v>
      </c>
      <c r="BI13" s="57" t="n">
        <f aca="false">H13*AK13+AY13+AT13-BB13+AU13-BC13+BD13</f>
        <v>0.000421196758328439</v>
      </c>
      <c r="BJ13" s="57" t="n">
        <f aca="false">1-EXP(LN(1-E13)*hr_death_prior_stroke*dt)</f>
        <v>0.0212349675660142</v>
      </c>
      <c r="BK13" s="57" t="n">
        <f aca="false">I13*(1-BJ13)</f>
        <v>0.00524430582475115</v>
      </c>
      <c r="BL13" s="57" t="n">
        <f aca="false">(1-EXP(-r_stroke*F13*rr_stroke_prior*rr_asa_stroke*dt))</f>
        <v>0.0153096600046361</v>
      </c>
      <c r="BM13" s="57" t="n">
        <f aca="false">(1-EXP(-r_ich*rr_asa_ich*dt))</f>
        <v>0.00102357767802375</v>
      </c>
      <c r="BN13" s="57" t="n">
        <f aca="false">(1-EXP(-r_mb*rr_asa_mb*dt))</f>
        <v>0.00951809672747972</v>
      </c>
      <c r="BO13" s="57" t="n">
        <f aca="false">(1-EXP(-r_mi*rr_asa_mi*dt))</f>
        <v>0.00213413516393479</v>
      </c>
      <c r="BP13" s="57" t="n">
        <f aca="false">(1-EXP(-r_tia*rr_asa_tia*dt))</f>
        <v>0.00312764565589152</v>
      </c>
      <c r="BQ13" s="57" t="n">
        <f aca="false">(1-EXP(-r_minor*rr_asa_minor*dt))</f>
        <v>0.0278181950466747</v>
      </c>
      <c r="BR13" s="57" t="n">
        <f aca="false">BK13*BL13</f>
        <v>8.02885391372726E-005</v>
      </c>
      <c r="BS13" s="57" t="n">
        <f aca="false">BK13*BM13</f>
        <v>5.36795437894518E-006</v>
      </c>
      <c r="BT13" s="57" t="n">
        <f aca="false">BK13*BN13</f>
        <v>4.99158101084667E-005</v>
      </c>
      <c r="BU13" s="57" t="n">
        <f aca="false">BK13*BO13</f>
        <v>1.11920574710295E-005</v>
      </c>
      <c r="BV13" s="57" t="n">
        <f aca="false">BK13*BP13</f>
        <v>1.64023303309495E-005</v>
      </c>
      <c r="BW13" s="57" t="n">
        <f aca="false">BK13*BQ13</f>
        <v>0.00014588712231734</v>
      </c>
      <c r="BX13" s="57" t="n">
        <f aca="false">BR13*f_stroke_fatal_recur</f>
        <v>2.98745625275878E-005</v>
      </c>
      <c r="BY13" s="57" t="n">
        <f aca="false">BR13*(1-f_stroke_fatal_recur)*f_stroke_major</f>
        <v>1.67878542110251E-005</v>
      </c>
      <c r="BZ13" s="57" t="n">
        <f aca="false">BR13*(1-f_stroke_fatal_recur)*(1-f_stroke_major)</f>
        <v>3.36261223986598E-005</v>
      </c>
      <c r="CA13" s="57" t="n">
        <f aca="false">BS13*(1-f_bleed_fatal)</f>
        <v>4.91704621111379E-006</v>
      </c>
      <c r="CB13" s="57" t="n">
        <f aca="false">BT13*(1-f_bleed_fatal)</f>
        <v>4.57228820593555E-005</v>
      </c>
      <c r="CC13" s="57" t="n">
        <f aca="false">BU13*f_mi_fatal</f>
        <v>1.35423895399457E-006</v>
      </c>
      <c r="CD13" s="57" t="n">
        <f aca="false">BU13-CC13</f>
        <v>9.83781851703491E-006</v>
      </c>
      <c r="CE13" s="57" t="n">
        <f aca="false">BK13-BR13-BS13-BT13-CC13</f>
        <v>0.00510737928217247</v>
      </c>
      <c r="CF13" s="19" t="n">
        <f aca="false">BX13*c_stroke_fatal+BY13*c_stroke_major+BZ13*c_stroke_minor+BS13*c_ich+BT13*c_major_bleed+CC13*c_mi_fatal+CD13*c_mi_nonfatal+BV13*c_tia+BW13*c_minor_bleed</f>
        <v>3.47449432280712</v>
      </c>
      <c r="CG13" s="57" t="n">
        <f aca="false">dt*(CD13*dec_mi+CB13*dec_major_bleed+BW13*dec_minor_bleed+BV13*dec_tia)</f>
        <v>2.25555126957582E-006</v>
      </c>
      <c r="CH13" s="57" t="n">
        <f aca="false">I13*BJ13+BX13+BS13-CA13+BT13-CB13+CC13</f>
        <v>0.000149651389906206</v>
      </c>
      <c r="CI13" s="57" t="n">
        <f aca="false">1-EXP(LN(1-E13)*dt)</f>
        <v>0.00928862345915527</v>
      </c>
      <c r="CJ13" s="57" t="n">
        <f aca="false">J13*(1-CI13)</f>
        <v>0.0376683583333533</v>
      </c>
      <c r="CK13" s="57" t="n">
        <f aca="false">(1-EXP(-r_stroke*F13*rr_asa_stroke*dt))</f>
        <v>0.00698822385936893</v>
      </c>
      <c r="CL13" s="57" t="n">
        <f aca="false">(1-EXP(-r_ich*rr_asa_ich*dt))</f>
        <v>0.00102357767802375</v>
      </c>
      <c r="CM13" s="57" t="n">
        <f aca="false">(1-EXP(-r_mb*rr_asa_mb*dt))</f>
        <v>0.00951809672747972</v>
      </c>
      <c r="CN13" s="57" t="n">
        <f aca="false">(1-EXP(-r_mi*rr_asa_mi*dt))</f>
        <v>0.00213413516393479</v>
      </c>
      <c r="CO13" s="57" t="n">
        <f aca="false">(1-EXP(-r_tia*rr_asa_tia*dt))</f>
        <v>0.00312764565589152</v>
      </c>
      <c r="CP13" s="57" t="n">
        <f aca="false">(1-EXP(-r_minor*rr_asa_minor*dt))</f>
        <v>0.0278181950466747</v>
      </c>
      <c r="CQ13" s="57" t="n">
        <f aca="false">CJ13*CK13</f>
        <v>0.000263234920448398</v>
      </c>
      <c r="CR13" s="57" t="n">
        <f aca="false">CJ13*CL13</f>
        <v>3.85564907578202E-005</v>
      </c>
      <c r="CS13" s="57" t="n">
        <f aca="false">CJ13*CM13</f>
        <v>0.000358531078182223</v>
      </c>
      <c r="CT13" s="57" t="n">
        <f aca="false">CJ13*CN13</f>
        <v>8.03893680869054E-005</v>
      </c>
      <c r="CU13" s="57" t="n">
        <f aca="false">CJ13*CO13</f>
        <v>0.000117813277305878</v>
      </c>
      <c r="CV13" s="57" t="n">
        <f aca="false">CJ13*CP13</f>
        <v>0.00104786573920526</v>
      </c>
      <c r="CW13" s="57" t="n">
        <f aca="false">CQ13*f_stroke_fatal</f>
        <v>6.23866761462703E-005</v>
      </c>
      <c r="CX13" s="57" t="n">
        <f aca="false">CQ13*(1-f_stroke_fatal)*f_stroke_major</f>
        <v>6.68824653526085E-005</v>
      </c>
      <c r="CY13" s="57" t="n">
        <f aca="false">CQ13*(1-f_stroke_fatal)*(1-f_stroke_major)</f>
        <v>0.000133965778949519</v>
      </c>
      <c r="CZ13" s="57" t="n">
        <f aca="false">CR13*(1-f_bleed_fatal)</f>
        <v>3.53177455341633E-005</v>
      </c>
      <c r="DA13" s="57" t="n">
        <f aca="false">CS13*(1-f_bleed_fatal)</f>
        <v>0.000328414467614917</v>
      </c>
      <c r="DB13" s="57" t="n">
        <f aca="false">CT13*f_mi_fatal</f>
        <v>9.72711353851555E-006</v>
      </c>
      <c r="DC13" s="57" t="n">
        <f aca="false">CT13-DB13</f>
        <v>7.06622545483899E-005</v>
      </c>
      <c r="DD13" s="57" t="n">
        <f aca="false">CJ13-CQ13-CR13-CS13-DB13</f>
        <v>0.0369983087304263</v>
      </c>
      <c r="DE13" s="19" t="n">
        <f aca="false">CW13*c_stroke_fatal+CX13*c_stroke_major+CY13*c_stroke_minor+CR13*c_ich+CS13*c_major_bleed+DB13*c_mi_fatal+DC13*c_mi_nonfatal+CU13*c_tia+CV13*c_minor_bleed</f>
        <v>14.7982620962449</v>
      </c>
      <c r="DF13" s="57" t="n">
        <f aca="false">dt*(DC13*dec_mi+DA13*dec_major_bleed+CV13*dec_minor_bleed+CU13*dec_tia)</f>
        <v>1.62009837528237E-005</v>
      </c>
      <c r="DG13" s="57" t="n">
        <f aca="false">J13*CI13+CW13+CR13-CZ13+CS13-DA13+DB13</f>
        <v>0.00045863678356699</v>
      </c>
      <c r="DH13" s="57" t="n">
        <f aca="false">AG13</f>
        <v>0.852709164596436</v>
      </c>
      <c r="DI13" s="57" t="n">
        <f aca="false">AB13+AC13+BF13+BA13+BB13+BC13+CY13+CZ13</f>
        <v>0.0169463847081326</v>
      </c>
      <c r="DJ13" s="57" t="n">
        <f aca="false">AA13+AZ13+BY13+CX13+CE13+BZ13+CA13+CB13</f>
        <v>0.00607087024257994</v>
      </c>
      <c r="DK13" s="57" t="n">
        <f aca="false">AD13+DD13+DA13</f>
        <v>0.0426144150727094</v>
      </c>
      <c r="DL13" s="57" t="n">
        <f aca="false">K13+AJ13+BI13+CH13+DG13</f>
        <v>0.0816591653801416</v>
      </c>
      <c r="DM13" s="58" t="n">
        <f aca="false">SUM(DH13:DL13)</f>
        <v>1</v>
      </c>
      <c r="DN13" s="19" t="n">
        <f aca="false">dt*(G13*Apixaban!$H$2+(H13+I13+J13)*c_aspirin)</f>
        <v>65.4868072371413</v>
      </c>
      <c r="DO13" s="19" t="n">
        <f aca="false">dt*(H13*c_lt_minor_stroke+I13*c_lt_major_stroke)</f>
        <v>75.7485203723788</v>
      </c>
      <c r="DP13" s="19" t="n">
        <f aca="false">AH13+BG13+CF13+DE13</f>
        <v>220.659090045007</v>
      </c>
      <c r="DQ13" s="19" t="n">
        <f aca="false">DN13+DO13+DP13</f>
        <v>361.894417654527</v>
      </c>
      <c r="DR13" s="57" t="n">
        <f aca="false">dt*(G13*(u_af-dec_per_year_over_70*MAX(B13-ref_age,0))+H13*(u_minor_stroke-dec_per_year_over_70*MAX(B13-ref_age,0))+I13*(u_major_stroke-dec_per_year_over_70*MAX(B13-ref_age,0))+J13*(u_af-dec_per_year_over_70*MAX(B13-ref_age,0)))-AI13-BH13-CG13-DF13</f>
        <v>0.186760913801313</v>
      </c>
      <c r="DS13" s="57" t="n">
        <f aca="false">dt*(G13+H13+I13+J13)</f>
        <v>0.232209246027248</v>
      </c>
      <c r="DT13" s="19" t="n">
        <f aca="false">DQ13*C13</f>
        <v>352.587011695659</v>
      </c>
      <c r="DU13" s="19" t="n">
        <f aca="false">DN13*C13</f>
        <v>63.8025803738022</v>
      </c>
      <c r="DV13" s="19" t="n">
        <f aca="false">DP13*C13</f>
        <v>214.984054373349</v>
      </c>
      <c r="DW13" s="19" t="n">
        <f aca="false">DO13*C13</f>
        <v>73.8003769485077</v>
      </c>
      <c r="DX13" s="57" t="n">
        <f aca="false">DR13*C13</f>
        <v>0.181957690658873</v>
      </c>
      <c r="DY13" s="57" t="n">
        <f aca="false">DS13*C13</f>
        <v>0.226237156890904</v>
      </c>
      <c r="DZ13" s="57" t="n">
        <f aca="false">T13+AS13+BR13+CQ13</f>
        <v>0.00351466317803928</v>
      </c>
      <c r="EA13" s="57" t="n">
        <f aca="false">U13+AT13+BS13+CR13</f>
        <v>0.000786387668224558</v>
      </c>
      <c r="EB13" s="57" t="n">
        <f aca="false">V13+AU13+BT13+CS13</f>
        <v>0.00632152529310386</v>
      </c>
      <c r="EC13" s="57" t="n">
        <f aca="false">G13*dt*C13</f>
        <v>0.211998022989852</v>
      </c>
    </row>
    <row r="14" customFormat="false" ht="15" hidden="false" customHeight="false" outlineLevel="0" collapsed="false">
      <c r="A14" s="8" t="n">
        <v>8</v>
      </c>
      <c r="B14" s="54" t="n">
        <f aca="false">start_age+A14*dt</f>
        <v>72</v>
      </c>
      <c r="C14" s="16" t="n">
        <f aca="false">(1+disc_rate)^-(A14*dt)</f>
        <v>0.97066174864714</v>
      </c>
      <c r="D14" s="55" t="n">
        <f aca="false">IF(A14*dt&gt;=wane_start,(1-wane_decay)^(A14*dt-wane_start),1)</f>
        <v>1</v>
      </c>
      <c r="E14" s="25" t="n">
        <f aca="false">MIN(p_nonvasc_death*MIN(EXP(gomp_int+gomp_slope*INT(B14)),1)/qx_ref,0.999)</f>
        <v>0.0406815493810151</v>
      </c>
      <c r="F14" s="55" t="n">
        <f aca="false">rr_stroke_per_decade^((B14-ref_age)/10)</f>
        <v>1.0844717711977</v>
      </c>
      <c r="G14" s="57" t="n">
        <f aca="false">DH13</f>
        <v>0.852709164596436</v>
      </c>
      <c r="H14" s="57" t="n">
        <f aca="false">DI13</f>
        <v>0.0169463847081326</v>
      </c>
      <c r="I14" s="57" t="n">
        <f aca="false">DJ13</f>
        <v>0.00607087024257994</v>
      </c>
      <c r="J14" s="57" t="n">
        <f aca="false">DK13</f>
        <v>0.0426144150727094</v>
      </c>
      <c r="K14" s="57" t="n">
        <f aca="false">DL13</f>
        <v>0.0816591653801416</v>
      </c>
      <c r="L14" s="57" t="n">
        <f aca="false">1-EXP(LN(1-E14)*dt)</f>
        <v>0.010329330711955</v>
      </c>
      <c r="M14" s="57" t="n">
        <f aca="false">G14*(1-L14)</f>
        <v>0.843901249634205</v>
      </c>
      <c r="N14" s="57" t="n">
        <f aca="false">IF(Apixaban!$B$2=1,EXP(LN(or_apx_stroke)*D14)*(1-EXP(-r_stroke*F14*dt))/(1-(1-EXP(-r_stroke*F14*dt))+EXP(LN(or_apx_stroke)*D14)*(1-EXP(-r_stroke*F14*dt))),(1-EXP(-r_stroke*F14*dt)))</f>
        <v>0.00345026124862983</v>
      </c>
      <c r="O14" s="57" t="n">
        <f aca="false">IF(Apixaban!$B$2=1,EXP(LN(or_apx_ich)*D14)*(1-EXP(-r_ich*dt))/(1-(1-EXP(-r_ich*dt))+EXP(LN(or_apx_ich)*D14)*(1-EXP(-r_ich*dt))),(1-EXP(-r_ich*dt)))</f>
        <v>0.000843513249640701</v>
      </c>
      <c r="P14" s="57" t="n">
        <f aca="false">IF(Apixaban!$B$2=1,EXP(LN(or_apx_mb)*D14)*(1-EXP(-r_mb*dt))/(1-(1-EXP(-r_mb*dt))+EXP(LN(or_apx_mb)*D14)*(1-EXP(-r_mb*dt))),(1-EXP(-r_mb*dt)))</f>
        <v>0.00669446907979895</v>
      </c>
      <c r="Q14" s="57" t="n">
        <f aca="false">IF(Apixaban!$B$2=1,EXP(LN(or_apx_mi)*D14)*(1-EXP(-r_mi*dt))/(1-(1-EXP(-r_mi*dt))+EXP(LN(or_apx_mi)*D14)*(1-EXP(-r_mi*dt))),(1-EXP(-r_mi*dt)))</f>
        <v>0.00132321915530843</v>
      </c>
      <c r="R14" s="57" t="n">
        <f aca="false">(1-EXP(-r_tia*dt))</f>
        <v>0.0020060281549299</v>
      </c>
      <c r="S14" s="57" t="n">
        <f aca="false">(1-EXP(-r_minor*dt))</f>
        <v>0.0437937690785545</v>
      </c>
      <c r="T14" s="57" t="n">
        <f aca="false">M14*N14</f>
        <v>0.00291167977928318</v>
      </c>
      <c r="U14" s="57" t="n">
        <f aca="false">M14*O14</f>
        <v>0.000711841885454796</v>
      </c>
      <c r="V14" s="57" t="n">
        <f aca="false">M14*P14</f>
        <v>0.00564947082207988</v>
      </c>
      <c r="W14" s="57" t="n">
        <f aca="false">M14*Q14</f>
        <v>0.0011166662987047</v>
      </c>
      <c r="X14" s="57" t="n">
        <f aca="false">M14*R14</f>
        <v>0.00169288966674674</v>
      </c>
      <c r="Y14" s="57" t="n">
        <f aca="false">M14*S14</f>
        <v>0.0369576164515839</v>
      </c>
      <c r="Z14" s="57" t="n">
        <f aca="false">T14*f_stroke_fatal</f>
        <v>0.000690068107690114</v>
      </c>
      <c r="AA14" s="57" t="n">
        <f aca="false">T14*(1-f_stroke_fatal)*f_stroke_major</f>
        <v>0.000739796686640492</v>
      </c>
      <c r="AB14" s="57" t="n">
        <f aca="false">T14*(1-f_stroke_fatal)*(1-f_stroke_major)</f>
        <v>0.00148181498495258</v>
      </c>
      <c r="AC14" s="57" t="n">
        <f aca="false">U14*(1-f_bleed_fatal)</f>
        <v>0.000652047167076593</v>
      </c>
      <c r="AD14" s="57" t="n">
        <f aca="false">V14*(1-f_bleed_fatal)</f>
        <v>0.00517491527302517</v>
      </c>
      <c r="AE14" s="57" t="n">
        <f aca="false">W14*f_mi_fatal</f>
        <v>0.000135116622143269</v>
      </c>
      <c r="AF14" s="57" t="n">
        <f aca="false">W14-AE14</f>
        <v>0.000981549676561431</v>
      </c>
      <c r="AG14" s="57" t="n">
        <f aca="false">M14-T14-U14-V14-AE14</f>
        <v>0.834493140525244</v>
      </c>
      <c r="AH14" s="19" t="n">
        <f aca="false">Z14*c_stroke_fatal+AA14*c_stroke_major+AB14*c_stroke_minor+U14*c_ich+V14*c_major_bleed+AE14*c_mi_fatal+AF14*c_mi_nonfatal+X14*c_tia+Y14*c_minor_bleed</f>
        <v>189.582970125851</v>
      </c>
      <c r="AI14" s="57" t="n">
        <f aca="false">dt*(AF14*dec_mi+AD14*dec_major_bleed+Y14*dec_minor_bleed+X14*dec_tia)</f>
        <v>0.0003134006410585</v>
      </c>
      <c r="AJ14" s="57" t="n">
        <f aca="false">G14*L14+Z14+U14-AC14+V14-AD14+AE14</f>
        <v>0.0101674499594977</v>
      </c>
      <c r="AK14" s="57" t="n">
        <f aca="false">1-EXP(LN(1-E14)*hr_death_prior_stroke*dt)</f>
        <v>0.023598116564566</v>
      </c>
      <c r="AL14" s="57" t="n">
        <f aca="false">H14*(1-AK14)</f>
        <v>0.0165464819464421</v>
      </c>
      <c r="AM14" s="57" t="n">
        <f aca="false">(1-EXP(-r_stroke*F14*rr_stroke_prior*rr_asa_stroke*dt))</f>
        <v>0.0154644252505415</v>
      </c>
      <c r="AN14" s="57" t="n">
        <f aca="false">(1-EXP(-r_ich*rr_asa_ich*dt))</f>
        <v>0.00102357767802375</v>
      </c>
      <c r="AO14" s="57" t="n">
        <f aca="false">(1-EXP(-r_mb*rr_asa_mb*dt))</f>
        <v>0.00951809672747972</v>
      </c>
      <c r="AP14" s="57" t="n">
        <f aca="false">(1-EXP(-r_mi*rr_asa_mi*dt))</f>
        <v>0.00213413516393479</v>
      </c>
      <c r="AQ14" s="57" t="n">
        <f aca="false">(1-EXP(-r_tia*rr_asa_tia*dt))</f>
        <v>0.00312764565589152</v>
      </c>
      <c r="AR14" s="57" t="n">
        <f aca="false">(1-EXP(-r_minor*rr_asa_minor*dt))</f>
        <v>0.0278181950466747</v>
      </c>
      <c r="AS14" s="57" t="n">
        <f aca="false">AL14*AM14</f>
        <v>0.000255881833220188</v>
      </c>
      <c r="AT14" s="57" t="n">
        <f aca="false">AL14*AN14</f>
        <v>1.69366095702011E-005</v>
      </c>
      <c r="AU14" s="57" t="n">
        <f aca="false">AL14*AO14</f>
        <v>0.000157491015665733</v>
      </c>
      <c r="AV14" s="57" t="n">
        <f aca="false">AL14*AP14</f>
        <v>3.53124289613143E-005</v>
      </c>
      <c r="AW14" s="57" t="n">
        <f aca="false">AL14*AQ14</f>
        <v>5.17515323800771E-005</v>
      </c>
      <c r="AX14" s="57" t="n">
        <f aca="false">AL14*AR14</f>
        <v>0.000460293262122408</v>
      </c>
      <c r="AY14" s="57" t="n">
        <f aca="false">AS14*f_stroke_fatal_recur</f>
        <v>9.52110713228998E-005</v>
      </c>
      <c r="AZ14" s="57" t="n">
        <f aca="false">AS14*(1-f_stroke_fatal_recur)*f_stroke_major</f>
        <v>5.3503363711797E-005</v>
      </c>
      <c r="BA14" s="57" t="n">
        <f aca="false">AS14*(1-f_stroke_fatal_recur)*(1-f_stroke_major)</f>
        <v>0.000107167398185491</v>
      </c>
      <c r="BB14" s="57" t="n">
        <f aca="false">AT14*(1-f_bleed_fatal)</f>
        <v>1.55139343663042E-005</v>
      </c>
      <c r="BC14" s="57" t="n">
        <f aca="false">AU14*(1-f_bleed_fatal)</f>
        <v>0.000144261770349811</v>
      </c>
      <c r="BD14" s="57" t="n">
        <f aca="false">AV14*f_mi_fatal</f>
        <v>4.27280390431903E-006</v>
      </c>
      <c r="BE14" s="57" t="n">
        <f aca="false">AV14-BD14</f>
        <v>3.10396250569953E-005</v>
      </c>
      <c r="BF14" s="57" t="n">
        <f aca="false">AL14-AS14-AT14-AU14-BD14</f>
        <v>0.0161118996840817</v>
      </c>
      <c r="BG14" s="19" t="n">
        <f aca="false">AY14*c_stroke_fatal+AZ14*c_stroke_major+BA14*c_stroke_minor+AT14*c_ich+AU14*c_major_bleed+BD14*c_mi_fatal+BE14*c_mi_nonfatal+AW14*c_tia+AX14*c_minor_bleed</f>
        <v>11.0507871112603</v>
      </c>
      <c r="BH14" s="57" t="n">
        <f aca="false">dt*(BE14*dec_mi+BC14*dec_major_bleed+AX14*dec_minor_bleed+AW14*dec_tia)</f>
        <v>7.11656406176158E-006</v>
      </c>
      <c r="BI14" s="57" t="n">
        <f aca="false">H14*AK14+AY14+AT14-BB14+AU14-BC14+BD14</f>
        <v>0.000514038557437529</v>
      </c>
      <c r="BJ14" s="57" t="n">
        <f aca="false">1-EXP(LN(1-E14)*hr_death_prior_stroke*dt)</f>
        <v>0.023598116564566</v>
      </c>
      <c r="BK14" s="57" t="n">
        <f aca="false">I14*(1-BJ14)</f>
        <v>0.00592760913894718</v>
      </c>
      <c r="BL14" s="57" t="n">
        <f aca="false">(1-EXP(-r_stroke*F14*rr_stroke_prior*rr_asa_stroke*dt))</f>
        <v>0.0154644252505415</v>
      </c>
      <c r="BM14" s="57" t="n">
        <f aca="false">(1-EXP(-r_ich*rr_asa_ich*dt))</f>
        <v>0.00102357767802375</v>
      </c>
      <c r="BN14" s="57" t="n">
        <f aca="false">(1-EXP(-r_mb*rr_asa_mb*dt))</f>
        <v>0.00951809672747972</v>
      </c>
      <c r="BO14" s="57" t="n">
        <f aca="false">(1-EXP(-r_mi*rr_asa_mi*dt))</f>
        <v>0.00213413516393479</v>
      </c>
      <c r="BP14" s="57" t="n">
        <f aca="false">(1-EXP(-r_tia*rr_asa_tia*dt))</f>
        <v>0.00312764565589152</v>
      </c>
      <c r="BQ14" s="57" t="n">
        <f aca="false">(1-EXP(-r_minor*rr_asa_minor*dt))</f>
        <v>0.0278181950466747</v>
      </c>
      <c r="BR14" s="57" t="n">
        <f aca="false">BK14*BL14</f>
        <v>9.16670684436753E-005</v>
      </c>
      <c r="BS14" s="57" t="n">
        <f aca="false">BK14*BM14</f>
        <v>6.06736839867589E-006</v>
      </c>
      <c r="BT14" s="57" t="n">
        <f aca="false">BK14*BN14</f>
        <v>5.64195571471921E-005</v>
      </c>
      <c r="BU14" s="57" t="n">
        <f aca="false">BK14*BO14</f>
        <v>1.26503191014884E-005</v>
      </c>
      <c r="BV14" s="57" t="n">
        <f aca="false">BK14*BP14</f>
        <v>1.8539460973251E-005</v>
      </c>
      <c r="BW14" s="57" t="n">
        <f aca="false">BK14*BQ14</f>
        <v>0.000164895387187684</v>
      </c>
      <c r="BX14" s="57" t="n">
        <f aca="false">BR14*f_stroke_fatal_recur</f>
        <v>3.41083994972071E-005</v>
      </c>
      <c r="BY14" s="57" t="n">
        <f aca="false">BR14*(1-f_stroke_fatal_recur)*f_stroke_major</f>
        <v>1.91670367591739E-005</v>
      </c>
      <c r="BZ14" s="57" t="n">
        <f aca="false">BR14*(1-f_stroke_fatal_recur)*(1-f_stroke_major)</f>
        <v>3.83916321872942E-005</v>
      </c>
      <c r="CA14" s="57" t="n">
        <f aca="false">BS14*(1-f_bleed_fatal)</f>
        <v>5.55770945318712E-006</v>
      </c>
      <c r="CB14" s="57" t="n">
        <f aca="false">BT14*(1-f_bleed_fatal)</f>
        <v>5.16803143468279E-005</v>
      </c>
      <c r="CC14" s="57" t="n">
        <f aca="false">BU14*f_mi_fatal</f>
        <v>1.5306886112801E-006</v>
      </c>
      <c r="CD14" s="57" t="n">
        <f aca="false">BU14-CC14</f>
        <v>1.11196304902083E-005</v>
      </c>
      <c r="CE14" s="57" t="n">
        <f aca="false">BK14-BR14-BS14-BT14-CC14</f>
        <v>0.00577192445634636</v>
      </c>
      <c r="CF14" s="19" t="n">
        <f aca="false">BX14*c_stroke_fatal+BY14*c_stroke_major+BZ14*c_stroke_minor+BS14*c_ich+BT14*c_major_bleed+CC14*c_mi_fatal+CD14*c_mi_nonfatal+BV14*c_tia+BW14*c_minor_bleed</f>
        <v>3.95883226931821</v>
      </c>
      <c r="CG14" s="57" t="n">
        <f aca="false">dt*(CD14*dec_mi+CB14*dec_major_bleed+BW14*dec_minor_bleed+BV14*dec_tia)</f>
        <v>2.54943681121724E-006</v>
      </c>
      <c r="CH14" s="57" t="n">
        <f aca="false">I14*BJ14+BX14+BS14-CA14+BT14-CB14+CC14</f>
        <v>0.000184149093487097</v>
      </c>
      <c r="CI14" s="57" t="n">
        <f aca="false">1-EXP(LN(1-E14)*dt)</f>
        <v>0.010329330711955</v>
      </c>
      <c r="CJ14" s="57" t="n">
        <f aca="false">J14*(1-CI14)</f>
        <v>0.0421742366863268</v>
      </c>
      <c r="CK14" s="57" t="n">
        <f aca="false">(1-EXP(-r_stroke*F14*rr_asa_stroke*dt))</f>
        <v>0.0070591692361941</v>
      </c>
      <c r="CL14" s="57" t="n">
        <f aca="false">(1-EXP(-r_ich*rr_asa_ich*dt))</f>
        <v>0.00102357767802375</v>
      </c>
      <c r="CM14" s="57" t="n">
        <f aca="false">(1-EXP(-r_mb*rr_asa_mb*dt))</f>
        <v>0.00951809672747972</v>
      </c>
      <c r="CN14" s="57" t="n">
        <f aca="false">(1-EXP(-r_mi*rr_asa_mi*dt))</f>
        <v>0.00213413516393479</v>
      </c>
      <c r="CO14" s="57" t="n">
        <f aca="false">(1-EXP(-r_tia*rr_asa_tia*dt))</f>
        <v>0.00312764565589152</v>
      </c>
      <c r="CP14" s="57" t="n">
        <f aca="false">(1-EXP(-r_minor*rr_asa_minor*dt))</f>
        <v>0.0278181950466747</v>
      </c>
      <c r="CQ14" s="57" t="n">
        <f aca="false">CJ14*CK14</f>
        <v>0.000297715074176087</v>
      </c>
      <c r="CR14" s="57" t="n">
        <f aca="false">CJ14*CL14</f>
        <v>4.31686072598143E-005</v>
      </c>
      <c r="CS14" s="57" t="n">
        <f aca="false">CJ14*CM14</f>
        <v>0.000401418464188083</v>
      </c>
      <c r="CT14" s="57" t="n">
        <f aca="false">CJ14*CN14</f>
        <v>9.00055215243988E-005</v>
      </c>
      <c r="CU14" s="57" t="n">
        <f aca="false">CJ14*CO14</f>
        <v>0.000131906068162531</v>
      </c>
      <c r="CV14" s="57" t="n">
        <f aca="false">CJ14*CP14</f>
        <v>0.00117321114208486</v>
      </c>
      <c r="CW14" s="57" t="n">
        <f aca="false">CQ14*f_stroke_fatal</f>
        <v>7.05584725797326E-005</v>
      </c>
      <c r="CX14" s="57" t="n">
        <f aca="false">CQ14*(1-f_stroke_fatal)*f_stroke_major</f>
        <v>7.5643148331586E-005</v>
      </c>
      <c r="CY14" s="57" t="n">
        <f aca="false">CQ14*(1-f_stroke_fatal)*(1-f_stroke_major)</f>
        <v>0.000151513453264768</v>
      </c>
      <c r="CZ14" s="57" t="n">
        <f aca="false">CR14*(1-f_bleed_fatal)</f>
        <v>3.95424442499899E-005</v>
      </c>
      <c r="DA14" s="57" t="n">
        <f aca="false">CS14*(1-f_bleed_fatal)</f>
        <v>0.000367699313196284</v>
      </c>
      <c r="DB14" s="57" t="n">
        <f aca="false">CT14*f_mi_fatal</f>
        <v>1.08906681044523E-005</v>
      </c>
      <c r="DC14" s="57" t="n">
        <f aca="false">CT14-DB14</f>
        <v>7.91148534199466E-005</v>
      </c>
      <c r="DD14" s="57" t="n">
        <f aca="false">CJ14-CQ14-CR14-CS14-DB14</f>
        <v>0.0414210438725984</v>
      </c>
      <c r="DE14" s="19" t="n">
        <f aca="false">CW14*c_stroke_fatal+CX14*c_stroke_major+CY14*c_stroke_minor+CR14*c_ich+CS14*c_major_bleed+DB14*c_mi_fatal+DC14*c_mi_nonfatal+CU14*c_tia+CV14*c_minor_bleed</f>
        <v>16.6789758072489</v>
      </c>
      <c r="DF14" s="57" t="n">
        <f aca="false">dt*(DC14*dec_mi+DA14*dec_major_bleed+CV14*dec_minor_bleed+CU14*dec_tia)</f>
        <v>1.81389408398488E-005</v>
      </c>
      <c r="DG14" s="57" t="n">
        <f aca="false">J14*CI14+CW14+CR14-CZ14+CS14-DA14+DB14</f>
        <v>0.000558972841068341</v>
      </c>
      <c r="DH14" s="57" t="n">
        <f aca="false">AG14</f>
        <v>0.834493140525244</v>
      </c>
      <c r="DI14" s="57" t="n">
        <f aca="false">AB14+AC14+BF14+BA14+BB14+BC14+CY14+CZ14</f>
        <v>0.0187037608365272</v>
      </c>
      <c r="DJ14" s="57" t="n">
        <f aca="false">AA14+AZ14+BY14+CX14+CE14+BZ14+CA14+CB14</f>
        <v>0.00675566434777672</v>
      </c>
      <c r="DK14" s="57" t="n">
        <f aca="false">AD14+DD14+DA14</f>
        <v>0.0469636584588199</v>
      </c>
      <c r="DL14" s="57" t="n">
        <f aca="false">K14+AJ14+BI14+CH14+DG14</f>
        <v>0.0930837758316323</v>
      </c>
      <c r="DM14" s="58" t="n">
        <f aca="false">SUM(DH14:DL14)</f>
        <v>1</v>
      </c>
      <c r="DN14" s="19" t="n">
        <f aca="false">dt*(G14*Apixaban!$H$2+(H14+I14+J14)*c_aspirin)</f>
        <v>64.2390680671474</v>
      </c>
      <c r="DO14" s="19" t="n">
        <f aca="false">dt*(H14*c_lt_minor_stroke+I14*c_lt_major_stroke)</f>
        <v>85.4463379038666</v>
      </c>
      <c r="DP14" s="19" t="n">
        <f aca="false">AH14+BG14+CF14+DE14</f>
        <v>221.271565313679</v>
      </c>
      <c r="DQ14" s="19" t="n">
        <f aca="false">DN14+DO14+DP14</f>
        <v>370.956971284693</v>
      </c>
      <c r="DR14" s="57" t="n">
        <f aca="false">dt*(G14*(u_af-dec_per_year_over_70*MAX(B14-ref_age,0))+H14*(u_minor_stroke-dec_per_year_over_70*MAX(B14-ref_age,0))+I14*(u_major_stroke-dec_per_year_over_70*MAX(B14-ref_age,0))+J14*(u_af-dec_per_year_over_70*MAX(B14-ref_age,0)))-AI14-BH14-CG14-DF14</f>
        <v>0.184510899872656</v>
      </c>
      <c r="DS14" s="57" t="n">
        <f aca="false">dt*(G14+H14+I14+J14)</f>
        <v>0.229585208654965</v>
      </c>
      <c r="DT14" s="19" t="n">
        <f aca="false">DQ14*C14</f>
        <v>360.073742420047</v>
      </c>
      <c r="DU14" s="19" t="n">
        <f aca="false">DN14*C14</f>
        <v>62.35440614152</v>
      </c>
      <c r="DV14" s="19" t="n">
        <f aca="false">DP14*C14</f>
        <v>214.779844513266</v>
      </c>
      <c r="DW14" s="19" t="n">
        <f aca="false">DO14*C14</f>
        <v>82.9394917652616</v>
      </c>
      <c r="DX14" s="57" t="n">
        <f aca="false">DR14*C14</f>
        <v>0.17909767271485</v>
      </c>
      <c r="DY14" s="57" t="n">
        <f aca="false">DS14*C14</f>
        <v>0.222849580096546</v>
      </c>
      <c r="DZ14" s="57" t="n">
        <f aca="false">T14+AS14+BR14+CQ14</f>
        <v>0.00355694375512313</v>
      </c>
      <c r="EA14" s="57" t="n">
        <f aca="false">U14+AT14+BS14+CR14</f>
        <v>0.000778014470683488</v>
      </c>
      <c r="EB14" s="57" t="n">
        <f aca="false">V14+AU14+BT14+CS14</f>
        <v>0.00626479985908089</v>
      </c>
      <c r="EC14" s="57" t="n">
        <f aca="false">G14*dt*C14</f>
        <v>0.206923042198655</v>
      </c>
    </row>
    <row r="15" customFormat="false" ht="15" hidden="false" customHeight="false" outlineLevel="0" collapsed="false">
      <c r="A15" s="8" t="n">
        <v>9</v>
      </c>
      <c r="B15" s="54" t="n">
        <f aca="false">start_age+A15*dt</f>
        <v>72.25</v>
      </c>
      <c r="C15" s="16" t="n">
        <f aca="false">(1+disc_rate)^-(A15*dt)</f>
        <v>0.967055512632461</v>
      </c>
      <c r="D15" s="55" t="n">
        <f aca="false">IF(A15*dt&gt;=wane_start,(1-wane_decay)^(A15*dt-wane_start),1)</f>
        <v>1</v>
      </c>
      <c r="E15" s="25" t="n">
        <f aca="false">MIN(p_nonvasc_death*MIN(EXP(gomp_int+gomp_slope*INT(B15)),1)/qx_ref,0.999)</f>
        <v>0.0406815493810151</v>
      </c>
      <c r="F15" s="55" t="n">
        <f aca="false">rr_stroke_per_decade^((B15-ref_age)/10)</f>
        <v>1.09552056192929</v>
      </c>
      <c r="G15" s="57" t="n">
        <f aca="false">DH14</f>
        <v>0.834493140525244</v>
      </c>
      <c r="H15" s="57" t="n">
        <f aca="false">DI14</f>
        <v>0.0187037608365272</v>
      </c>
      <c r="I15" s="57" t="n">
        <f aca="false">DJ14</f>
        <v>0.00675566434777672</v>
      </c>
      <c r="J15" s="57" t="n">
        <f aca="false">DK14</f>
        <v>0.0469636584588199</v>
      </c>
      <c r="K15" s="57" t="n">
        <f aca="false">DL14</f>
        <v>0.0930837758316323</v>
      </c>
      <c r="L15" s="57" t="n">
        <f aca="false">1-EXP(LN(1-E15)*dt)</f>
        <v>0.010329330711955</v>
      </c>
      <c r="M15" s="57" t="n">
        <f aca="false">G15*(1-L15)</f>
        <v>0.825873384899901</v>
      </c>
      <c r="N15" s="57" t="n">
        <f aca="false">IF(Apixaban!$B$2=1,EXP(LN(or_apx_stroke)*D15)*(1-EXP(-r_stroke*F15*dt))/(1-(1-EXP(-r_stroke*F15*dt))+EXP(LN(or_apx_stroke)*D15)*(1-EXP(-r_stroke*F15*dt))),(1-EXP(-r_stroke*F15*dt)))</f>
        <v>0.00348536803384026</v>
      </c>
      <c r="O15" s="57" t="n">
        <f aca="false">IF(Apixaban!$B$2=1,EXP(LN(or_apx_ich)*D15)*(1-EXP(-r_ich*dt))/(1-(1-EXP(-r_ich*dt))+EXP(LN(or_apx_ich)*D15)*(1-EXP(-r_ich*dt))),(1-EXP(-r_ich*dt)))</f>
        <v>0.000843513249640701</v>
      </c>
      <c r="P15" s="57" t="n">
        <f aca="false">IF(Apixaban!$B$2=1,EXP(LN(or_apx_mb)*D15)*(1-EXP(-r_mb*dt))/(1-(1-EXP(-r_mb*dt))+EXP(LN(or_apx_mb)*D15)*(1-EXP(-r_mb*dt))),(1-EXP(-r_mb*dt)))</f>
        <v>0.00669446907979895</v>
      </c>
      <c r="Q15" s="57" t="n">
        <f aca="false">IF(Apixaban!$B$2=1,EXP(LN(or_apx_mi)*D15)*(1-EXP(-r_mi*dt))/(1-(1-EXP(-r_mi*dt))+EXP(LN(or_apx_mi)*D15)*(1-EXP(-r_mi*dt))),(1-EXP(-r_mi*dt)))</f>
        <v>0.00132321915530843</v>
      </c>
      <c r="R15" s="57" t="n">
        <f aca="false">(1-EXP(-r_tia*dt))</f>
        <v>0.0020060281549299</v>
      </c>
      <c r="S15" s="57" t="n">
        <f aca="false">(1-EXP(-r_minor*dt))</f>
        <v>0.0437937690785545</v>
      </c>
      <c r="T15" s="57" t="n">
        <f aca="false">M15*N15</f>
        <v>0.00287847269572957</v>
      </c>
      <c r="U15" s="57" t="n">
        <f aca="false">M15*O15</f>
        <v>0.00069663514268868</v>
      </c>
      <c r="V15" s="57" t="n">
        <f aca="false">M15*P15</f>
        <v>0.00552878383904128</v>
      </c>
      <c r="W15" s="57" t="n">
        <f aca="false">M15*Q15</f>
        <v>0.00109281148275896</v>
      </c>
      <c r="X15" s="57" t="n">
        <f aca="false">M15*R15</f>
        <v>0.00165672526251645</v>
      </c>
      <c r="Y15" s="57" t="n">
        <f aca="false">M15*S15</f>
        <v>0.0361681083064304</v>
      </c>
      <c r="Z15" s="57" t="n">
        <f aca="false">T15*f_stroke_fatal</f>
        <v>0.000682198028887908</v>
      </c>
      <c r="AA15" s="57" t="n">
        <f aca="false">T15*(1-f_stroke_fatal)*f_stroke_major</f>
        <v>0.000731359464058273</v>
      </c>
      <c r="AB15" s="57" t="n">
        <f aca="false">T15*(1-f_stroke_fatal)*(1-f_stroke_major)</f>
        <v>0.00146491520278339</v>
      </c>
      <c r="AC15" s="57" t="n">
        <f aca="false">U15*(1-f_bleed_fatal)</f>
        <v>0.000638117790702831</v>
      </c>
      <c r="AD15" s="57" t="n">
        <f aca="false">V15*(1-f_bleed_fatal)</f>
        <v>0.00506436599656182</v>
      </c>
      <c r="AE15" s="57" t="n">
        <f aca="false">W15*f_mi_fatal</f>
        <v>0.000132230189413834</v>
      </c>
      <c r="AF15" s="57" t="n">
        <f aca="false">W15-AE15</f>
        <v>0.000960581293345125</v>
      </c>
      <c r="AG15" s="57" t="n">
        <f aca="false">M15-T15-U15-V15-AE15</f>
        <v>0.816637263033027</v>
      </c>
      <c r="AH15" s="19" t="n">
        <f aca="false">Z15*c_stroke_fatal+AA15*c_stroke_major+AB15*c_stroke_minor+U15*c_ich+V15*c_major_bleed+AE15*c_mi_fatal+AF15*c_mi_nonfatal+X15*c_tia+Y15*c_minor_bleed</f>
        <v>186.604249193874</v>
      </c>
      <c r="AI15" s="57" t="n">
        <f aca="false">dt*(AF15*dec_mi+AD15*dec_major_bleed+Y15*dec_minor_bleed+X15*dec_tia)</f>
        <v>0.000306705610843654</v>
      </c>
      <c r="AJ15" s="57" t="n">
        <f aca="false">G15*L15+Z15+U15-AC15+V15-AD15+AE15</f>
        <v>0.00995711903811021</v>
      </c>
      <c r="AK15" s="57" t="n">
        <f aca="false">1-EXP(LN(1-E15)*hr_death_prior_stroke*dt)</f>
        <v>0.023598116564566</v>
      </c>
      <c r="AL15" s="57" t="n">
        <f aca="false">H15*(1-AK15)</f>
        <v>0.0182623873081111</v>
      </c>
      <c r="AM15" s="57" t="n">
        <f aca="false">(1-EXP(-r_stroke*F15*rr_stroke_prior*rr_asa_stroke*dt))</f>
        <v>0.0156207425745497</v>
      </c>
      <c r="AN15" s="57" t="n">
        <f aca="false">(1-EXP(-r_ich*rr_asa_ich*dt))</f>
        <v>0.00102357767802375</v>
      </c>
      <c r="AO15" s="57" t="n">
        <f aca="false">(1-EXP(-r_mb*rr_asa_mb*dt))</f>
        <v>0.00951809672747972</v>
      </c>
      <c r="AP15" s="57" t="n">
        <f aca="false">(1-EXP(-r_mi*rr_asa_mi*dt))</f>
        <v>0.00213413516393479</v>
      </c>
      <c r="AQ15" s="57" t="n">
        <f aca="false">(1-EXP(-r_tia*rr_asa_tia*dt))</f>
        <v>0.00312764565589152</v>
      </c>
      <c r="AR15" s="57" t="n">
        <f aca="false">(1-EXP(-r_minor*rr_asa_minor*dt))</f>
        <v>0.0278181950466747</v>
      </c>
      <c r="AS15" s="57" t="n">
        <f aca="false">AL15*AM15</f>
        <v>0.000285272050936727</v>
      </c>
      <c r="AT15" s="57" t="n">
        <f aca="false">AL15*AN15</f>
        <v>1.86929719960067E-005</v>
      </c>
      <c r="AU15" s="57" t="n">
        <f aca="false">AL15*AO15</f>
        <v>0.000173823168873299</v>
      </c>
      <c r="AV15" s="57" t="n">
        <f aca="false">AL15*AP15</f>
        <v>3.89744029316363E-005</v>
      </c>
      <c r="AW15" s="57" t="n">
        <f aca="false">AL15*AQ15</f>
        <v>5.7118276330422E-005</v>
      </c>
      <c r="AX15" s="57" t="n">
        <f aca="false">AL15*AR15</f>
        <v>0.000508026652154951</v>
      </c>
      <c r="AY15" s="57" t="n">
        <f aca="false">AS15*f_stroke_fatal_recur</f>
        <v>0.000106146877433047</v>
      </c>
      <c r="AZ15" s="57" t="n">
        <f aca="false">AS15*(1-f_stroke_fatal_recur)*f_stroke_major</f>
        <v>5.96486827767255E-005</v>
      </c>
      <c r="BA15" s="57" t="n">
        <f aca="false">AS15*(1-f_stroke_fatal_recur)*(1-f_stroke_major)</f>
        <v>0.000119476490726955</v>
      </c>
      <c r="BB15" s="57" t="n">
        <f aca="false">AT15*(1-f_bleed_fatal)</f>
        <v>1.71227623483421E-005</v>
      </c>
      <c r="BC15" s="57" t="n">
        <f aca="false">AU15*(1-f_bleed_fatal)</f>
        <v>0.000159222022687942</v>
      </c>
      <c r="BD15" s="57" t="n">
        <f aca="false">AV15*f_mi_fatal</f>
        <v>4.71590275472799E-006</v>
      </c>
      <c r="BE15" s="57" t="n">
        <f aca="false">AV15-BD15</f>
        <v>3.42585001769083E-005</v>
      </c>
      <c r="BF15" s="57" t="n">
        <f aca="false">AL15-AS15-AT15-AU15-BD15</f>
        <v>0.0177798832135503</v>
      </c>
      <c r="BG15" s="19" t="n">
        <f aca="false">AY15*c_stroke_fatal+AZ15*c_stroke_major+BA15*c_stroke_minor+AT15*c_ich+AU15*c_major_bleed+BD15*c_mi_fatal+BE15*c_mi_nonfatal+AW15*c_tia+AX15*c_minor_bleed</f>
        <v>12.2952066877717</v>
      </c>
      <c r="BH15" s="57" t="n">
        <f aca="false">dt*(BE15*dec_mi+BC15*dec_major_bleed+AX15*dec_minor_bleed+AW15*dec_tia)</f>
        <v>7.85456688736301E-006</v>
      </c>
      <c r="BI15" s="57" t="n">
        <f aca="false">H15*AK15+AY15+AT15-BB15+AU15-BC15+BD15</f>
        <v>0.00056840766443693</v>
      </c>
      <c r="BJ15" s="57" t="n">
        <f aca="false">1-EXP(LN(1-E15)*hr_death_prior_stroke*dt)</f>
        <v>0.023598116564566</v>
      </c>
      <c r="BK15" s="57" t="n">
        <f aca="false">I15*(1-BJ15)</f>
        <v>0.0065962433930268</v>
      </c>
      <c r="BL15" s="57" t="n">
        <f aca="false">(1-EXP(-r_stroke*F15*rr_stroke_prior*rr_asa_stroke*dt))</f>
        <v>0.0156207425745497</v>
      </c>
      <c r="BM15" s="57" t="n">
        <f aca="false">(1-EXP(-r_ich*rr_asa_ich*dt))</f>
        <v>0.00102357767802375</v>
      </c>
      <c r="BN15" s="57" t="n">
        <f aca="false">(1-EXP(-r_mb*rr_asa_mb*dt))</f>
        <v>0.00951809672747972</v>
      </c>
      <c r="BO15" s="57" t="n">
        <f aca="false">(1-EXP(-r_mi*rr_asa_mi*dt))</f>
        <v>0.00213413516393479</v>
      </c>
      <c r="BP15" s="57" t="n">
        <f aca="false">(1-EXP(-r_tia*rr_asa_tia*dt))</f>
        <v>0.00312764565589152</v>
      </c>
      <c r="BQ15" s="57" t="n">
        <f aca="false">(1-EXP(-r_minor*rr_asa_minor*dt))</f>
        <v>0.0278181950466747</v>
      </c>
      <c r="BR15" s="57" t="n">
        <f aca="false">BK15*BL15</f>
        <v>0.000103038220001546</v>
      </c>
      <c r="BS15" s="57" t="n">
        <f aca="false">BK15*BM15</f>
        <v>6.75176749591385E-006</v>
      </c>
      <c r="BT15" s="57" t="n">
        <f aca="false">BK15*BN15</f>
        <v>6.27836826528281E-005</v>
      </c>
      <c r="BU15" s="57" t="n">
        <f aca="false">BK15*BO15</f>
        <v>1.4077274974931E-005</v>
      </c>
      <c r="BV15" s="57" t="n">
        <f aca="false">BK15*BP15</f>
        <v>2.06307119934034E-005</v>
      </c>
      <c r="BW15" s="57" t="n">
        <f aca="false">BK15*BQ15</f>
        <v>0.000183495585282559</v>
      </c>
      <c r="BX15" s="57" t="n">
        <f aca="false">BR15*f_stroke_fatal_recur</f>
        <v>3.83394912803752E-005</v>
      </c>
      <c r="BY15" s="57" t="n">
        <f aca="false">BR15*(1-f_stroke_fatal_recur)*f_stroke_major</f>
        <v>2.15446766641499E-005</v>
      </c>
      <c r="BZ15" s="57" t="n">
        <f aca="false">BR15*(1-f_stroke_fatal_recur)*(1-f_stroke_major)</f>
        <v>4.31540520570209E-005</v>
      </c>
      <c r="CA15" s="57" t="n">
        <f aca="false">BS15*(1-f_bleed_fatal)</f>
        <v>6.18461902625709E-006</v>
      </c>
      <c r="CB15" s="57" t="n">
        <f aca="false">BT15*(1-f_bleed_fatal)</f>
        <v>5.75098533099905E-005</v>
      </c>
      <c r="CC15" s="57" t="n">
        <f aca="false">BU15*f_mi_fatal</f>
        <v>1.70335027196666E-006</v>
      </c>
      <c r="CD15" s="57" t="n">
        <f aca="false">BU15-CC15</f>
        <v>1.23739247029644E-005</v>
      </c>
      <c r="CE15" s="57" t="n">
        <f aca="false">BK15-BR15-BS15-BT15-CC15</f>
        <v>0.00642196637260455</v>
      </c>
      <c r="CF15" s="19" t="n">
        <f aca="false">BX15*c_stroke_fatal+BY15*c_stroke_major+BZ15*c_stroke_minor+BS15*c_ich+BT15*c_major_bleed+CC15*c_mi_fatal+CD15*c_mi_nonfatal+BV15*c_tia+BW15*c_minor_bleed</f>
        <v>4.44094052501518</v>
      </c>
      <c r="CG15" s="57" t="n">
        <f aca="false">dt*(CD15*dec_mi+CB15*dec_major_bleed+BW15*dec_minor_bleed+BV15*dec_tia)</f>
        <v>2.83701325909587E-006</v>
      </c>
      <c r="CH15" s="57" t="n">
        <f aca="false">I15*BJ15+BX15+BS15-CA15+BT15-CB15+CC15</f>
        <v>0.000205304774114754</v>
      </c>
      <c r="CI15" s="57" t="n">
        <f aca="false">1-EXP(LN(1-E15)*dt)</f>
        <v>0.010329330711955</v>
      </c>
      <c r="CJ15" s="57" t="n">
        <f aca="false">J15*(1-CI15)</f>
        <v>0.0464785552991554</v>
      </c>
      <c r="CK15" s="57" t="n">
        <f aca="false">(1-EXP(-r_stroke*F15*rr_asa_stroke*dt))</f>
        <v>0.00713083227071032</v>
      </c>
      <c r="CL15" s="57" t="n">
        <f aca="false">(1-EXP(-r_ich*rr_asa_ich*dt))</f>
        <v>0.00102357767802375</v>
      </c>
      <c r="CM15" s="57" t="n">
        <f aca="false">(1-EXP(-r_mb*rr_asa_mb*dt))</f>
        <v>0.00951809672747972</v>
      </c>
      <c r="CN15" s="57" t="n">
        <f aca="false">(1-EXP(-r_mi*rr_asa_mi*dt))</f>
        <v>0.00213413516393479</v>
      </c>
      <c r="CO15" s="57" t="n">
        <f aca="false">(1-EXP(-r_tia*rr_asa_tia*dt))</f>
        <v>0.00312764565589152</v>
      </c>
      <c r="CP15" s="57" t="n">
        <f aca="false">(1-EXP(-r_minor*rr_asa_minor*dt))</f>
        <v>0.0278181950466747</v>
      </c>
      <c r="CQ15" s="57" t="n">
        <f aca="false">CJ15*CK15</f>
        <v>0.000331430782023211</v>
      </c>
      <c r="CR15" s="57" t="n">
        <f aca="false">CJ15*CL15</f>
        <v>4.75744117110078E-005</v>
      </c>
      <c r="CS15" s="57" t="n">
        <f aca="false">CJ15*CM15</f>
        <v>0.000442387385090876</v>
      </c>
      <c r="CT15" s="57" t="n">
        <f aca="false">CJ15*CN15</f>
        <v>9.91915192328153E-005</v>
      </c>
      <c r="CU15" s="57" t="n">
        <f aca="false">CJ15*CO15</f>
        <v>0.000145368451573517</v>
      </c>
      <c r="CV15" s="57" t="n">
        <f aca="false">CJ15*CP15</f>
        <v>0.00129294951679956</v>
      </c>
      <c r="CW15" s="57" t="n">
        <f aca="false">CQ15*f_stroke_fatal</f>
        <v>7.85490953395011E-005</v>
      </c>
      <c r="CX15" s="57" t="n">
        <f aca="false">CQ15*(1-f_stroke_fatal)*f_stroke_major</f>
        <v>8.42096016656755E-005</v>
      </c>
      <c r="CY15" s="57" t="n">
        <f aca="false">CQ15*(1-f_stroke_fatal)*(1-f_stroke_major)</f>
        <v>0.000168672085018035</v>
      </c>
      <c r="CZ15" s="57" t="n">
        <f aca="false">CR15*(1-f_bleed_fatal)</f>
        <v>4.35781611272831E-005</v>
      </c>
      <c r="DA15" s="57" t="n">
        <f aca="false">CS15*(1-f_bleed_fatal)</f>
        <v>0.000405226844743243</v>
      </c>
      <c r="DB15" s="57" t="n">
        <f aca="false">CT15*f_mi_fatal</f>
        <v>1.20021738271707E-005</v>
      </c>
      <c r="DC15" s="57" t="n">
        <f aca="false">CT15-DB15</f>
        <v>8.71893454056447E-005</v>
      </c>
      <c r="DD15" s="57" t="n">
        <f aca="false">CJ15-CQ15-CR15-CS15-DB15</f>
        <v>0.0456451605465031</v>
      </c>
      <c r="DE15" s="19" t="n">
        <f aca="false">CW15*c_stroke_fatal+CX15*c_stroke_major+CY15*c_stroke_minor+CR15*c_ich+CS15*c_major_bleed+DB15*c_mi_fatal+DC15*c_mi_nonfatal+CU15*c_tia+CV15*c_minor_bleed</f>
        <v>18.5043033710153</v>
      </c>
      <c r="DF15" s="57" t="n">
        <f aca="false">dt*(DC15*dec_mi+DA15*dec_major_bleed+CV15*dec_minor_bleed+CU15*dec_tia)</f>
        <v>1.99902080306376E-005</v>
      </c>
      <c r="DG15" s="57" t="n">
        <f aca="false">J15*CI15+CW15+CR15-CZ15+CS15-DA15+DB15</f>
        <v>0.000616811219762481</v>
      </c>
      <c r="DH15" s="57" t="n">
        <f aca="false">AG15</f>
        <v>0.816637263033027</v>
      </c>
      <c r="DI15" s="57" t="n">
        <f aca="false">AB15+AC15+BF15+BA15+BB15+BC15+CY15+CZ15</f>
        <v>0.0203909877289451</v>
      </c>
      <c r="DJ15" s="57" t="n">
        <f aca="false">AA15+AZ15+BY15+CX15+CE15+BZ15+CA15+CB15</f>
        <v>0.00742557732216264</v>
      </c>
      <c r="DK15" s="57" t="n">
        <f aca="false">AD15+DD15+DA15</f>
        <v>0.0511147533878082</v>
      </c>
      <c r="DL15" s="57" t="n">
        <f aca="false">K15+AJ15+BI15+CH15+DG15</f>
        <v>0.104431418528057</v>
      </c>
      <c r="DM15" s="58" t="n">
        <f aca="false">SUM(DH15:DL15)</f>
        <v>1</v>
      </c>
      <c r="DN15" s="19" t="n">
        <f aca="false">dt*(G15*Apixaban!$H$2+(H15+I15+J15)*c_aspirin)</f>
        <v>62.9467274139487</v>
      </c>
      <c r="DO15" s="19" t="n">
        <f aca="false">dt*(H15*c_lt_minor_stroke+I15*c_lt_major_stroke)</f>
        <v>94.6678936820896</v>
      </c>
      <c r="DP15" s="19" t="n">
        <f aca="false">AH15+BG15+CF15+DE15</f>
        <v>221.844699777676</v>
      </c>
      <c r="DQ15" s="19" t="n">
        <f aca="false">DN15+DO15+DP15</f>
        <v>379.459320873714</v>
      </c>
      <c r="DR15" s="57" t="n">
        <f aca="false">dt*(G15*(u_af-dec_per_year_over_70*MAX(B15-ref_age,0))+H15*(u_minor_stroke-dec_per_year_over_70*MAX(B15-ref_age,0))+I15*(u_major_stroke-dec_per_year_over_70*MAX(B15-ref_age,0))+J15*(u_af-dec_per_year_over_70*MAX(B15-ref_age,0)))-AI15-BH15-CG15-DF15</f>
        <v>0.182078362333551</v>
      </c>
      <c r="DS15" s="57" t="n">
        <f aca="false">dt*(G15+H15+I15+J15)</f>
        <v>0.226729056042092</v>
      </c>
      <c r="DT15" s="19" t="n">
        <f aca="false">DQ15*C15</f>
        <v>366.958228070695</v>
      </c>
      <c r="DU15" s="19" t="n">
        <f aca="false">DN15*C15</f>
        <v>60.8729797478319</v>
      </c>
      <c r="DV15" s="19" t="n">
        <f aca="false">DP15*C15</f>
        <v>214.536139868295</v>
      </c>
      <c r="DW15" s="19" t="n">
        <f aca="false">DO15*C15</f>
        <v>91.5491084545685</v>
      </c>
      <c r="DX15" s="57" t="n">
        <f aca="false">DR15*C15</f>
        <v>0.176079884025751</v>
      </c>
      <c r="DY15" s="57" t="n">
        <f aca="false">DS15*C15</f>
        <v>0.219259583519459</v>
      </c>
      <c r="DZ15" s="57" t="n">
        <f aca="false">T15+AS15+BR15+CQ15</f>
        <v>0.00359821374869105</v>
      </c>
      <c r="EA15" s="57" t="n">
        <f aca="false">U15+AT15+BS15+CR15</f>
        <v>0.000769654293891609</v>
      </c>
      <c r="EB15" s="57" t="n">
        <f aca="false">V15+AU15+BT15+CS15</f>
        <v>0.00620777807565829</v>
      </c>
      <c r="EC15" s="57" t="n">
        <f aca="false">G15*dt*C15</f>
        <v>0.201750297949728</v>
      </c>
    </row>
    <row r="16" customFormat="false" ht="15" hidden="false" customHeight="false" outlineLevel="0" collapsed="false">
      <c r="A16" s="8" t="n">
        <v>10</v>
      </c>
      <c r="B16" s="54" t="n">
        <f aca="false">start_age+A16*dt</f>
        <v>72.5</v>
      </c>
      <c r="C16" s="16" t="n">
        <f aca="false">(1+disc_rate)^-(A16*dt)</f>
        <v>0.963462674630232</v>
      </c>
      <c r="D16" s="55" t="n">
        <f aca="false">IF(A16*dt&gt;=wane_start,(1-wane_decay)^(A16*dt-wane_start),1)</f>
        <v>1</v>
      </c>
      <c r="E16" s="25" t="n">
        <f aca="false">MIN(p_nonvasc_death*MIN(EXP(gomp_int+gomp_slope*INT(B16)),1)/qx_ref,0.999)</f>
        <v>0.0406815493810151</v>
      </c>
      <c r="F16" s="55" t="n">
        <f aca="false">rr_stroke_per_decade^((B16-ref_age)/10)</f>
        <v>1.10668191970032</v>
      </c>
      <c r="G16" s="57" t="n">
        <f aca="false">DH15</f>
        <v>0.816637263033027</v>
      </c>
      <c r="H16" s="57" t="n">
        <f aca="false">DI15</f>
        <v>0.0203909877289451</v>
      </c>
      <c r="I16" s="57" t="n">
        <f aca="false">DJ15</f>
        <v>0.00742557732216264</v>
      </c>
      <c r="J16" s="57" t="n">
        <f aca="false">DK15</f>
        <v>0.0511147533878082</v>
      </c>
      <c r="K16" s="57" t="n">
        <f aca="false">DL15</f>
        <v>0.104431418528057</v>
      </c>
      <c r="L16" s="57" t="n">
        <f aca="false">1-EXP(LN(1-E16)*dt)</f>
        <v>0.010329330711955</v>
      </c>
      <c r="M16" s="57" t="n">
        <f aca="false">G16*(1-L16)</f>
        <v>0.808201946671453</v>
      </c>
      <c r="N16" s="57" t="n">
        <f aca="false">IF(Apixaban!$B$2=1,EXP(LN(or_apx_stroke)*D16)*(1-EXP(-r_stroke*F16*dt))/(1-(1-EXP(-r_stroke*F16*dt))+EXP(LN(or_apx_stroke)*D16)*(1-EXP(-r_stroke*F16*dt))),(1-EXP(-r_stroke*F16*dt)))</f>
        <v>0.00352083156980504</v>
      </c>
      <c r="O16" s="57" t="n">
        <f aca="false">IF(Apixaban!$B$2=1,EXP(LN(or_apx_ich)*D16)*(1-EXP(-r_ich*dt))/(1-(1-EXP(-r_ich*dt))+EXP(LN(or_apx_ich)*D16)*(1-EXP(-r_ich*dt))),(1-EXP(-r_ich*dt)))</f>
        <v>0.000843513249640701</v>
      </c>
      <c r="P16" s="57" t="n">
        <f aca="false">IF(Apixaban!$B$2=1,EXP(LN(or_apx_mb)*D16)*(1-EXP(-r_mb*dt))/(1-(1-EXP(-r_mb*dt))+EXP(LN(or_apx_mb)*D16)*(1-EXP(-r_mb*dt))),(1-EXP(-r_mb*dt)))</f>
        <v>0.00669446907979895</v>
      </c>
      <c r="Q16" s="57" t="n">
        <f aca="false">IF(Apixaban!$B$2=1,EXP(LN(or_apx_mi)*D16)*(1-EXP(-r_mi*dt))/(1-(1-EXP(-r_mi*dt))+EXP(LN(or_apx_mi)*D16)*(1-EXP(-r_mi*dt))),(1-EXP(-r_mi*dt)))</f>
        <v>0.00132321915530843</v>
      </c>
      <c r="R16" s="57" t="n">
        <f aca="false">(1-EXP(-r_tia*dt))</f>
        <v>0.0020060281549299</v>
      </c>
      <c r="S16" s="57" t="n">
        <f aca="false">(1-EXP(-r_minor*dt))</f>
        <v>0.0437937690785545</v>
      </c>
      <c r="T16" s="57" t="n">
        <f aca="false">M16*N16</f>
        <v>0.00284554292861874</v>
      </c>
      <c r="U16" s="57" t="n">
        <f aca="false">M16*O16</f>
        <v>0.000681729050402778</v>
      </c>
      <c r="V16" s="57" t="n">
        <f aca="false">M16*P16</f>
        <v>0.00541048294222536</v>
      </c>
      <c r="W16" s="57" t="n">
        <f aca="false">M16*Q16</f>
        <v>0.00106942829719323</v>
      </c>
      <c r="X16" s="57" t="n">
        <f aca="false">M16*R16</f>
        <v>0.00162127585989208</v>
      </c>
      <c r="Y16" s="57" t="n">
        <f aca="false">M16*S16</f>
        <v>0.0353942094213678</v>
      </c>
      <c r="Z16" s="57" t="n">
        <f aca="false">T16*f_stroke_fatal</f>
        <v>0.000674393674082642</v>
      </c>
      <c r="AA16" s="57" t="n">
        <f aca="false">T16*(1-f_stroke_fatal)*f_stroke_major</f>
        <v>0.000722992701760522</v>
      </c>
      <c r="AB16" s="57" t="n">
        <f aca="false">T16*(1-f_stroke_fatal)*(1-f_stroke_major)</f>
        <v>0.00144815655277558</v>
      </c>
      <c r="AC16" s="57" t="n">
        <f aca="false">U16*(1-f_bleed_fatal)</f>
        <v>0.000624463810168944</v>
      </c>
      <c r="AD16" s="57" t="n">
        <f aca="false">V16*(1-f_bleed_fatal)</f>
        <v>0.00495600237507843</v>
      </c>
      <c r="AE16" s="57" t="n">
        <f aca="false">W16*f_mi_fatal</f>
        <v>0.000129400823960381</v>
      </c>
      <c r="AF16" s="57" t="n">
        <f aca="false">W16-AE16</f>
        <v>0.000940027473232847</v>
      </c>
      <c r="AG16" s="57" t="n">
        <f aca="false">M16-T16-U16-V16-AE16</f>
        <v>0.799134790926246</v>
      </c>
      <c r="AH16" s="19" t="n">
        <f aca="false">Z16*c_stroke_fatal+AA16*c_stroke_major+AB16*c_stroke_minor+U16*c_ich+V16*c_major_bleed+AE16*c_mi_fatal+AF16*c_mi_nonfatal+X16*c_tia+Y16*c_minor_bleed</f>
        <v>183.67040900912</v>
      </c>
      <c r="AI16" s="57" t="n">
        <f aca="false">dt*(AF16*dec_mi+AD16*dec_major_bleed+Y16*dec_minor_bleed+X16*dec_tia)</f>
        <v>0.000300142947176997</v>
      </c>
      <c r="AJ16" s="57" t="n">
        <f aca="false">G16*L16+Z16+U16-AC16+V16-AD16+AE16</f>
        <v>0.00975085666699768</v>
      </c>
      <c r="AK16" s="57" t="n">
        <f aca="false">1-EXP(LN(1-E16)*hr_death_prior_stroke*dt)</f>
        <v>0.023598116564566</v>
      </c>
      <c r="AL16" s="57" t="n">
        <f aca="false">H16*(1-AK16)</f>
        <v>0.0199097988236508</v>
      </c>
      <c r="AM16" s="57" t="n">
        <f aca="false">(1-EXP(-r_stroke*F16*rr_stroke_prior*rr_asa_stroke*dt))</f>
        <v>0.0157786272876973</v>
      </c>
      <c r="AN16" s="57" t="n">
        <f aca="false">(1-EXP(-r_ich*rr_asa_ich*dt))</f>
        <v>0.00102357767802375</v>
      </c>
      <c r="AO16" s="57" t="n">
        <f aca="false">(1-EXP(-r_mb*rr_asa_mb*dt))</f>
        <v>0.00951809672747972</v>
      </c>
      <c r="AP16" s="57" t="n">
        <f aca="false">(1-EXP(-r_mi*rr_asa_mi*dt))</f>
        <v>0.00213413516393479</v>
      </c>
      <c r="AQ16" s="57" t="n">
        <f aca="false">(1-EXP(-r_tia*rr_asa_tia*dt))</f>
        <v>0.00312764565589152</v>
      </c>
      <c r="AR16" s="57" t="n">
        <f aca="false">(1-EXP(-r_minor*rr_asa_minor*dt))</f>
        <v>0.0278181950466747</v>
      </c>
      <c r="AS16" s="57" t="n">
        <f aca="false">AL16*AM16</f>
        <v>0.00031414929501142</v>
      </c>
      <c r="AT16" s="57" t="n">
        <f aca="false">AL16*AN16</f>
        <v>2.03792256498324E-005</v>
      </c>
      <c r="AU16" s="57" t="n">
        <f aca="false">AL16*AO16</f>
        <v>0.00018950339102817</v>
      </c>
      <c r="AV16" s="57" t="n">
        <f aca="false">AL16*AP16</f>
        <v>4.24902017764208E-005</v>
      </c>
      <c r="AW16" s="57" t="n">
        <f aca="false">AL16*AQ16</f>
        <v>6.22707958004656E-005</v>
      </c>
      <c r="AX16" s="57" t="n">
        <f aca="false">AL16*AR16</f>
        <v>0.000553854667016373</v>
      </c>
      <c r="AY16" s="57" t="n">
        <f aca="false">AS16*f_stroke_fatal_recur</f>
        <v>0.000116891811180799</v>
      </c>
      <c r="AZ16" s="57" t="n">
        <f aca="false">AS16*(1-f_stroke_fatal_recur)*f_stroke_major</f>
        <v>6.56867421155968E-005</v>
      </c>
      <c r="BA16" s="57" t="n">
        <f aca="false">AS16*(1-f_stroke_fatal_recur)*(1-f_stroke_major)</f>
        <v>0.000131570741715024</v>
      </c>
      <c r="BB16" s="57" t="n">
        <f aca="false">AT16*(1-f_bleed_fatal)</f>
        <v>1.86673706952465E-005</v>
      </c>
      <c r="BC16" s="57" t="n">
        <f aca="false">AU16*(1-f_bleed_fatal)</f>
        <v>0.000173585106181804</v>
      </c>
      <c r="BD16" s="57" t="n">
        <f aca="false">AV16*f_mi_fatal</f>
        <v>5.14131441494691E-006</v>
      </c>
      <c r="BE16" s="57" t="n">
        <f aca="false">AV16-BD16</f>
        <v>3.73488873614738E-005</v>
      </c>
      <c r="BF16" s="57" t="n">
        <f aca="false">AL16-AS16-AT16-AU16-BD16</f>
        <v>0.0193806255975464</v>
      </c>
      <c r="BG16" s="19" t="n">
        <f aca="false">AY16*c_stroke_fatal+AZ16*c_stroke_major+BA16*c_stroke_minor+AT16*c_ich+AU16*c_major_bleed+BD16*c_mi_fatal+BE16*c_mi_nonfatal+AW16*c_tia+AX16*c_minor_bleed</f>
        <v>13.5127159497098</v>
      </c>
      <c r="BH16" s="57" t="n">
        <f aca="false">dt*(BE16*dec_mi+BC16*dec_major_bleed+AX16*dec_minor_bleed+AW16*dec_tia)</f>
        <v>8.56311083189275E-006</v>
      </c>
      <c r="BI16" s="57" t="n">
        <f aca="false">H16*AK16+AY16+AT16-BB16+AU16-BC16+BD16</f>
        <v>0.00062085217069098</v>
      </c>
      <c r="BJ16" s="57" t="n">
        <f aca="false">1-EXP(LN(1-E16)*hr_death_prior_stroke*dt)</f>
        <v>0.023598116564566</v>
      </c>
      <c r="BK16" s="57" t="n">
        <f aca="false">I16*(1-BJ16)</f>
        <v>0.00725034768295505</v>
      </c>
      <c r="BL16" s="57" t="n">
        <f aca="false">(1-EXP(-r_stroke*F16*rr_stroke_prior*rr_asa_stroke*dt))</f>
        <v>0.0157786272876973</v>
      </c>
      <c r="BM16" s="57" t="n">
        <f aca="false">(1-EXP(-r_ich*rr_asa_ich*dt))</f>
        <v>0.00102357767802375</v>
      </c>
      <c r="BN16" s="57" t="n">
        <f aca="false">(1-EXP(-r_mb*rr_asa_mb*dt))</f>
        <v>0.00951809672747972</v>
      </c>
      <c r="BO16" s="57" t="n">
        <f aca="false">(1-EXP(-r_mi*rr_asa_mi*dt))</f>
        <v>0.00213413516393479</v>
      </c>
      <c r="BP16" s="57" t="n">
        <f aca="false">(1-EXP(-r_tia*rr_asa_tia*dt))</f>
        <v>0.00312764565589152</v>
      </c>
      <c r="BQ16" s="57" t="n">
        <f aca="false">(1-EXP(-r_minor*rr_asa_minor*dt))</f>
        <v>0.0278181950466747</v>
      </c>
      <c r="BR16" s="57" t="n">
        <f aca="false">BK16*BL16</f>
        <v>0.000114400533795567</v>
      </c>
      <c r="BS16" s="57" t="n">
        <f aca="false">BK16*BM16</f>
        <v>7.42129404618397E-006</v>
      </c>
      <c r="BT16" s="57" t="n">
        <f aca="false">BK16*BN16</f>
        <v>6.90095105542246E-005</v>
      </c>
      <c r="BU16" s="57" t="n">
        <f aca="false">BK16*BO16</f>
        <v>1.54732219409475E-005</v>
      </c>
      <c r="BV16" s="57" t="n">
        <f aca="false">BK16*BP16</f>
        <v>2.26765184342975E-005</v>
      </c>
      <c r="BW16" s="57" t="n">
        <f aca="false">BK16*BQ16</f>
        <v>0.00020169158600065</v>
      </c>
      <c r="BX16" s="57" t="n">
        <f aca="false">BR16*f_stroke_fatal_recur</f>
        <v>4.25672946199927E-005</v>
      </c>
      <c r="BY16" s="57" t="n">
        <f aca="false">BR16*(1-f_stroke_fatal_recur)*f_stroke_major</f>
        <v>2.39204686454664E-005</v>
      </c>
      <c r="BZ16" s="57" t="n">
        <f aca="false">BR16*(1-f_stroke_fatal_recur)*(1-f_stroke_major)</f>
        <v>4.79127705301083E-005</v>
      </c>
      <c r="CA16" s="57" t="n">
        <f aca="false">BS16*(1-f_bleed_fatal)</f>
        <v>6.79790534630452E-006</v>
      </c>
      <c r="CB16" s="57" t="n">
        <f aca="false">BT16*(1-f_bleed_fatal)</f>
        <v>6.32127116676697E-005</v>
      </c>
      <c r="CC16" s="57" t="n">
        <f aca="false">BU16*f_mi_fatal</f>
        <v>1.87225985485465E-006</v>
      </c>
      <c r="CD16" s="57" t="n">
        <f aca="false">BU16-CC16</f>
        <v>1.36009620860929E-005</v>
      </c>
      <c r="CE16" s="57" t="n">
        <f aca="false">BK16-BR16-BS16-BT16-CC16</f>
        <v>0.00705764408470422</v>
      </c>
      <c r="CF16" s="19" t="n">
        <f aca="false">BX16*c_stroke_fatal+BY16*c_stroke_major+BZ16*c_stroke_minor+BS16*c_ich+BT16*c_major_bleed+CC16*c_mi_fatal+CD16*c_mi_nonfatal+BV16*c_tia+BW16*c_minor_bleed</f>
        <v>4.92078747978243</v>
      </c>
      <c r="CG16" s="57" t="n">
        <f aca="false">dt*(CD16*dec_mi+CB16*dec_major_bleed+BW16*dec_minor_bleed+BV16*dec_tia)</f>
        <v>3.11834043773208E-006</v>
      </c>
      <c r="CH16" s="57" t="n">
        <f aca="false">I16*BJ16+BX16+BS16-CA16+BT16-CB16+CC16</f>
        <v>0.000226089381268873</v>
      </c>
      <c r="CI16" s="57" t="n">
        <f aca="false">1-EXP(LN(1-E16)*dt)</f>
        <v>0.010329330711955</v>
      </c>
      <c r="CJ16" s="57" t="n">
        <f aca="false">J16*(1-CI16)</f>
        <v>0.0505867721958055</v>
      </c>
      <c r="CK16" s="57" t="n">
        <f aca="false">(1-EXP(-r_stroke*F16*rr_asa_stroke*dt))</f>
        <v>0.00720322016952146</v>
      </c>
      <c r="CL16" s="57" t="n">
        <f aca="false">(1-EXP(-r_ich*rr_asa_ich*dt))</f>
        <v>0.00102357767802375</v>
      </c>
      <c r="CM16" s="57" t="n">
        <f aca="false">(1-EXP(-r_mb*rr_asa_mb*dt))</f>
        <v>0.00951809672747972</v>
      </c>
      <c r="CN16" s="57" t="n">
        <f aca="false">(1-EXP(-r_mi*rr_asa_mi*dt))</f>
        <v>0.00213413516393479</v>
      </c>
      <c r="CO16" s="57" t="n">
        <f aca="false">(1-EXP(-r_tia*rr_asa_tia*dt))</f>
        <v>0.00312764565589152</v>
      </c>
      <c r="CP16" s="57" t="n">
        <f aca="false">(1-EXP(-r_minor*rr_asa_minor*dt))</f>
        <v>0.0278181950466747</v>
      </c>
      <c r="CQ16" s="57" t="n">
        <f aca="false">CJ16*CK16</f>
        <v>0.000364387657791814</v>
      </c>
      <c r="CR16" s="57" t="n">
        <f aca="false">CJ16*CL16</f>
        <v>5.17794908228988E-005</v>
      </c>
      <c r="CS16" s="57" t="n">
        <f aca="false">CJ16*CM16</f>
        <v>0.000481489790890658</v>
      </c>
      <c r="CT16" s="57" t="n">
        <f aca="false">CJ16*CN16</f>
        <v>0.000107959009373027</v>
      </c>
      <c r="CU16" s="57" t="n">
        <f aca="false">CJ16*CO16</f>
        <v>0.000158217498303785</v>
      </c>
      <c r="CV16" s="57" t="n">
        <f aca="false">CJ16*CP16</f>
        <v>0.00140723269572462</v>
      </c>
      <c r="CW16" s="57" t="n">
        <f aca="false">CQ16*f_stroke_fatal</f>
        <v>8.63598748966598E-005</v>
      </c>
      <c r="CX16" s="57" t="n">
        <f aca="false">CQ16*(1-f_stroke_fatal)*f_stroke_major</f>
        <v>9.25832517040863E-005</v>
      </c>
      <c r="CY16" s="57" t="n">
        <f aca="false">CQ16*(1-f_stroke_fatal)*(1-f_stroke_major)</f>
        <v>0.000185444531191068</v>
      </c>
      <c r="CZ16" s="57" t="n">
        <f aca="false">CR16*(1-f_bleed_fatal)</f>
        <v>4.74300135937753E-005</v>
      </c>
      <c r="DA16" s="57" t="n">
        <f aca="false">CS16*(1-f_bleed_fatal)</f>
        <v>0.000441044648455843</v>
      </c>
      <c r="DB16" s="57" t="n">
        <f aca="false">CT16*f_mi_fatal</f>
        <v>1.30630401341363E-005</v>
      </c>
      <c r="DC16" s="57" t="n">
        <f aca="false">CT16-DB16</f>
        <v>9.4895969238891E-005</v>
      </c>
      <c r="DD16" s="57" t="n">
        <f aca="false">CJ16-CQ16-CR16-CS16-DB16</f>
        <v>0.049676052216166</v>
      </c>
      <c r="DE16" s="19" t="n">
        <f aca="false">CW16*c_stroke_fatal+CX16*c_stroke_major+CY16*c_stroke_minor+CR16*c_ich+CS16*c_major_bleed+DB16*c_mi_fatal+DC16*c_mi_nonfatal+CU16*c_tia+CV16*c_minor_bleed</f>
        <v>20.2751871722168</v>
      </c>
      <c r="DF16" s="57" t="n">
        <f aca="false">dt*(DC16*dec_mi+DA16*dec_major_bleed+CV16*dec_minor_bleed+CU16*dec_tia)</f>
        <v>2.17571327956272E-005</v>
      </c>
      <c r="DG16" s="57" t="n">
        <f aca="false">J16*CI16+CW16+CR16-CZ16+CS16-DA16+DB16</f>
        <v>0.000672198726697426</v>
      </c>
      <c r="DH16" s="57" t="n">
        <f aca="false">AG16</f>
        <v>0.799134790926246</v>
      </c>
      <c r="DI16" s="57" t="n">
        <f aca="false">AB16+AC16+BF16+BA16+BB16+BC16+CY16+CZ16</f>
        <v>0.0220099437238679</v>
      </c>
      <c r="DJ16" s="57" t="n">
        <f aca="false">AA16+AZ16+BY16+CX16+CE16+BZ16+CA16+CB16</f>
        <v>0.00808075063647397</v>
      </c>
      <c r="DK16" s="57" t="n">
        <f aca="false">AD16+DD16+DA16</f>
        <v>0.0550730992397003</v>
      </c>
      <c r="DL16" s="57" t="n">
        <f aca="false">K16+AJ16+BI16+CH16+DG16</f>
        <v>0.115701415473712</v>
      </c>
      <c r="DM16" s="58" t="n">
        <f aca="false">SUM(DH16:DL16)</f>
        <v>1</v>
      </c>
      <c r="DN16" s="19" t="n">
        <f aca="false">dt*(G16*Apixaban!$H$2+(H16+I16+J16)*c_aspirin)</f>
        <v>61.6784841258823</v>
      </c>
      <c r="DO16" s="19" t="n">
        <f aca="false">dt*(H16*c_lt_minor_stroke+I16*c_lt_major_stroke)</f>
        <v>103.60265866789</v>
      </c>
      <c r="DP16" s="19" t="n">
        <f aca="false">AH16+BG16+CF16+DE16</f>
        <v>222.379099610829</v>
      </c>
      <c r="DQ16" s="19" t="n">
        <f aca="false">DN16+DO16+DP16</f>
        <v>387.660242404602</v>
      </c>
      <c r="DR16" s="57" t="n">
        <f aca="false">dt*(G16*(u_af-dec_per_year_over_70*MAX(B16-ref_age,0))+H16*(u_minor_stroke-dec_per_year_over_70*MAX(B16-ref_age,0))+I16*(u_major_stroke-dec_per_year_over_70*MAX(B16-ref_age,0))+J16*(u_af-dec_per_year_over_70*MAX(B16-ref_age,0)))-AI16-BH16-CG16-DF16</f>
        <v>0.1796646269421</v>
      </c>
      <c r="DS16" s="57" t="n">
        <f aca="false">dt*(G16+H16+I16+J16)</f>
        <v>0.223892145367986</v>
      </c>
      <c r="DT16" s="19" t="n">
        <f aca="false">DQ16*C16</f>
        <v>373.496173994942</v>
      </c>
      <c r="DU16" s="19" t="n">
        <f aca="false">DN16*C16</f>
        <v>59.4249172830608</v>
      </c>
      <c r="DV16" s="19" t="n">
        <f aca="false">DP16*C16</f>
        <v>214.253962092912</v>
      </c>
      <c r="DW16" s="19" t="n">
        <f aca="false">DO16*C16</f>
        <v>99.8172946189687</v>
      </c>
      <c r="DX16" s="57" t="n">
        <f aca="false">DR16*C16</f>
        <v>0.173100162010079</v>
      </c>
      <c r="DY16" s="57" t="n">
        <f aca="false">DS16*C16</f>
        <v>0.21571172520494</v>
      </c>
      <c r="DZ16" s="57" t="n">
        <f aca="false">T16+AS16+BR16+CQ16</f>
        <v>0.00363848041521754</v>
      </c>
      <c r="EA16" s="57" t="n">
        <f aca="false">U16+AT16+BS16+CR16</f>
        <v>0.000761309060921693</v>
      </c>
      <c r="EB16" s="57" t="n">
        <f aca="false">V16+AU16+BT16+CS16</f>
        <v>0.00615048563469842</v>
      </c>
      <c r="EC16" s="57" t="n">
        <f aca="false">G16*dt*C16</f>
        <v>0.196699880411128</v>
      </c>
    </row>
    <row r="17" customFormat="false" ht="15" hidden="false" customHeight="false" outlineLevel="0" collapsed="false">
      <c r="A17" s="8" t="n">
        <v>11</v>
      </c>
      <c r="B17" s="54" t="n">
        <f aca="false">start_age+A17*dt</f>
        <v>72.75</v>
      </c>
      <c r="C17" s="16" t="n">
        <f aca="false">(1+disc_rate)^-(A17*dt)</f>
        <v>0.959883184863695</v>
      </c>
      <c r="D17" s="55" t="n">
        <f aca="false">IF(A17*dt&gt;=wane_start,(1-wane_decay)^(A17*dt-wane_start),1)</f>
        <v>1</v>
      </c>
      <c r="E17" s="25" t="n">
        <f aca="false">MIN(p_nonvasc_death*MIN(EXP(gomp_int+gomp_slope*INT(B17)),1)/qx_ref,0.999)</f>
        <v>0.0406815493810151</v>
      </c>
      <c r="F17" s="55" t="n">
        <f aca="false">rr_stroke_per_decade^((B17-ref_age)/10)</f>
        <v>1.11795699136374</v>
      </c>
      <c r="G17" s="57" t="n">
        <f aca="false">DH16</f>
        <v>0.799134790926246</v>
      </c>
      <c r="H17" s="57" t="n">
        <f aca="false">DI16</f>
        <v>0.0220099437238679</v>
      </c>
      <c r="I17" s="57" t="n">
        <f aca="false">DJ16</f>
        <v>0.00808075063647397</v>
      </c>
      <c r="J17" s="57" t="n">
        <f aca="false">DK16</f>
        <v>0.0550730992397003</v>
      </c>
      <c r="K17" s="57" t="n">
        <f aca="false">DL16</f>
        <v>0.115701415473712</v>
      </c>
      <c r="L17" s="57" t="n">
        <f aca="false">1-EXP(LN(1-E17)*dt)</f>
        <v>0.010329330711955</v>
      </c>
      <c r="M17" s="57" t="n">
        <f aca="false">G17*(1-L17)</f>
        <v>0.79088026338734</v>
      </c>
      <c r="N17" s="57" t="n">
        <f aca="false">IF(Apixaban!$B$2=1,EXP(LN(or_apx_stroke)*D17)*(1-EXP(-r_stroke*F17*dt))/(1-(1-EXP(-r_stroke*F17*dt))+EXP(LN(or_apx_stroke)*D17)*(1-EXP(-r_stroke*F17*dt))),(1-EXP(-r_stroke*F17*dt)))</f>
        <v>0.0035566554722531</v>
      </c>
      <c r="O17" s="57" t="n">
        <f aca="false">IF(Apixaban!$B$2=1,EXP(LN(or_apx_ich)*D17)*(1-EXP(-r_ich*dt))/(1-(1-EXP(-r_ich*dt))+EXP(LN(or_apx_ich)*D17)*(1-EXP(-r_ich*dt))),(1-EXP(-r_ich*dt)))</f>
        <v>0.000843513249640701</v>
      </c>
      <c r="P17" s="57" t="n">
        <f aca="false">IF(Apixaban!$B$2=1,EXP(LN(or_apx_mb)*D17)*(1-EXP(-r_mb*dt))/(1-(1-EXP(-r_mb*dt))+EXP(LN(or_apx_mb)*D17)*(1-EXP(-r_mb*dt))),(1-EXP(-r_mb*dt)))</f>
        <v>0.00669446907979895</v>
      </c>
      <c r="Q17" s="57" t="n">
        <f aca="false">IF(Apixaban!$B$2=1,EXP(LN(or_apx_mi)*D17)*(1-EXP(-r_mi*dt))/(1-(1-EXP(-r_mi*dt))+EXP(LN(or_apx_mi)*D17)*(1-EXP(-r_mi*dt))),(1-EXP(-r_mi*dt)))</f>
        <v>0.00132321915530843</v>
      </c>
      <c r="R17" s="57" t="n">
        <f aca="false">(1-EXP(-r_tia*dt))</f>
        <v>0.0020060281549299</v>
      </c>
      <c r="S17" s="57" t="n">
        <f aca="false">(1-EXP(-r_minor*dt))</f>
        <v>0.0437937690785545</v>
      </c>
      <c r="T17" s="57" t="n">
        <f aca="false">M17*N17</f>
        <v>0.00281288861667356</v>
      </c>
      <c r="U17" s="57" t="n">
        <f aca="false">M17*O17</f>
        <v>0.000667117981046548</v>
      </c>
      <c r="V17" s="57" t="n">
        <f aca="false">M17*P17</f>
        <v>0.0052945234690698</v>
      </c>
      <c r="W17" s="57" t="n">
        <f aca="false">M17*Q17</f>
        <v>0.0010465079140695</v>
      </c>
      <c r="X17" s="57" t="n">
        <f aca="false">M17*R17</f>
        <v>0.00158652807553337</v>
      </c>
      <c r="Y17" s="57" t="n">
        <f aca="false">M17*S17</f>
        <v>0.0346356276235715</v>
      </c>
      <c r="Z17" s="57" t="n">
        <f aca="false">T17*f_stroke_fatal</f>
        <v>0.000666654602151633</v>
      </c>
      <c r="AA17" s="57" t="n">
        <f aca="false">T17*(1-f_stroke_fatal)*f_stroke_major</f>
        <v>0.0007146959268358</v>
      </c>
      <c r="AB17" s="57" t="n">
        <f aca="false">T17*(1-f_stroke_fatal)*(1-f_stroke_major)</f>
        <v>0.00143153808768612</v>
      </c>
      <c r="AC17" s="57" t="n">
        <f aca="false">U17*(1-f_bleed_fatal)</f>
        <v>0.000611080070638638</v>
      </c>
      <c r="AD17" s="57" t="n">
        <f aca="false">V17*(1-f_bleed_fatal)</f>
        <v>0.00484978349766793</v>
      </c>
      <c r="AE17" s="57" t="n">
        <f aca="false">W17*f_mi_fatal</f>
        <v>0.00012662745760241</v>
      </c>
      <c r="AF17" s="57" t="n">
        <f aca="false">W17-AE17</f>
        <v>0.000919880456467093</v>
      </c>
      <c r="AG17" s="57" t="n">
        <f aca="false">M17-T17-U17-V17-AE17</f>
        <v>0.781979105862947</v>
      </c>
      <c r="AH17" s="19" t="n">
        <f aca="false">Z17*c_stroke_fatal+AA17*c_stroke_major+AB17*c_stroke_minor+U17*c_ich+V17*c_major_bleed+AE17*c_mi_fatal+AF17*c_mi_nonfatal+X17*c_tia+Y17*c_minor_bleed</f>
        <v>180.780732514981</v>
      </c>
      <c r="AI17" s="57" t="n">
        <f aca="false">dt*(AF17*dec_mi+AD17*dec_major_bleed+Y17*dec_minor_bleed+X17*dec_tia)</f>
        <v>0.000293710172432551</v>
      </c>
      <c r="AJ17" s="57" t="n">
        <f aca="false">G17*L17+Z17+U17-AC17+V17-AD17+AE17</f>
        <v>0.00954858748047</v>
      </c>
      <c r="AK17" s="57" t="n">
        <f aca="false">1-EXP(LN(1-E17)*hr_death_prior_stroke*dt)</f>
        <v>0.023598116564566</v>
      </c>
      <c r="AL17" s="57" t="n">
        <f aca="false">H17*(1-AK17)</f>
        <v>0.0214905505062925</v>
      </c>
      <c r="AM17" s="57" t="n">
        <f aca="false">(1-EXP(-r_stroke*F17*rr_stroke_prior*rr_asa_stroke*dt))</f>
        <v>0.0159380948468583</v>
      </c>
      <c r="AN17" s="57" t="n">
        <f aca="false">(1-EXP(-r_ich*rr_asa_ich*dt))</f>
        <v>0.00102357767802375</v>
      </c>
      <c r="AO17" s="57" t="n">
        <f aca="false">(1-EXP(-r_mb*rr_asa_mb*dt))</f>
        <v>0.00951809672747972</v>
      </c>
      <c r="AP17" s="57" t="n">
        <f aca="false">(1-EXP(-r_mi*rr_asa_mi*dt))</f>
        <v>0.00213413516393479</v>
      </c>
      <c r="AQ17" s="57" t="n">
        <f aca="false">(1-EXP(-r_tia*rr_asa_tia*dt))</f>
        <v>0.00312764565589152</v>
      </c>
      <c r="AR17" s="57" t="n">
        <f aca="false">(1-EXP(-r_minor*rr_asa_minor*dt))</f>
        <v>0.0278181950466747</v>
      </c>
      <c r="AS17" s="57" t="n">
        <f aca="false">AL17*AM17</f>
        <v>0.000342518432280488</v>
      </c>
      <c r="AT17" s="57" t="n">
        <f aca="false">AL17*AN17</f>
        <v>2.19972477866829E-005</v>
      </c>
      <c r="AU17" s="57" t="n">
        <f aca="false">AL17*AO17</f>
        <v>0.00020454913844568</v>
      </c>
      <c r="AV17" s="57" t="n">
        <f aca="false">AL17*AP17</f>
        <v>4.58637395277955E-005</v>
      </c>
      <c r="AW17" s="57" t="n">
        <f aca="false">AL17*AQ17</f>
        <v>6.72148269337231E-005</v>
      </c>
      <c r="AX17" s="57" t="n">
        <f aca="false">AL17*AR17</f>
        <v>0.000597828325644459</v>
      </c>
      <c r="AY17" s="57" t="n">
        <f aca="false">AS17*f_stroke_fatal_recur</f>
        <v>0.000127447683467247</v>
      </c>
      <c r="AZ17" s="57" t="n">
        <f aca="false">AS17*(1-f_stroke_fatal_recur)*f_stroke_major</f>
        <v>7.16185593548093E-005</v>
      </c>
      <c r="BA17" s="57" t="n">
        <f aca="false">AS17*(1-f_stroke_fatal_recur)*(1-f_stroke_major)</f>
        <v>0.000143452189458432</v>
      </c>
      <c r="BB17" s="57" t="n">
        <f aca="false">AT17*(1-f_bleed_fatal)</f>
        <v>2.01494789726016E-005</v>
      </c>
      <c r="BC17" s="57" t="n">
        <f aca="false">AU17*(1-f_bleed_fatal)</f>
        <v>0.000187367010816243</v>
      </c>
      <c r="BD17" s="57" t="n">
        <f aca="false">AV17*f_mi_fatal</f>
        <v>5.54951248286326E-006</v>
      </c>
      <c r="BE17" s="57" t="n">
        <f aca="false">AV17-BD17</f>
        <v>4.03142270449322E-005</v>
      </c>
      <c r="BF17" s="57" t="n">
        <f aca="false">AL17-AS17-AT17-AU17-BD17</f>
        <v>0.0209159361752968</v>
      </c>
      <c r="BG17" s="19" t="n">
        <f aca="false">AY17*c_stroke_fatal+AZ17*c_stroke_major+BA17*c_stroke_minor+AT17*c_ich+AU17*c_major_bleed+BD17*c_mi_fatal+BE17*c_mi_nonfatal+AW17*c_tia+AX17*c_minor_bleed</f>
        <v>14.7037296679683</v>
      </c>
      <c r="BH17" s="57" t="n">
        <f aca="false">dt*(BE17*dec_mi+BC17*dec_major_bleed+AX17*dec_minor_bleed+AW17*dec_tia)</f>
        <v>9.24298469581559E-006</v>
      </c>
      <c r="BI17" s="57" t="n">
        <f aca="false">H17*AK17+AY17+AT17-BB17+AU17-BC17+BD17</f>
        <v>0.000671420309969001</v>
      </c>
      <c r="BJ17" s="57" t="n">
        <f aca="false">1-EXP(LN(1-E17)*hr_death_prior_stroke*dt)</f>
        <v>0.023598116564566</v>
      </c>
      <c r="BK17" s="57" t="n">
        <f aca="false">I17*(1-BJ17)</f>
        <v>0.00789006014102527</v>
      </c>
      <c r="BL17" s="57" t="n">
        <f aca="false">(1-EXP(-r_stroke*F17*rr_stroke_prior*rr_asa_stroke*dt))</f>
        <v>0.0159380948468583</v>
      </c>
      <c r="BM17" s="57" t="n">
        <f aca="false">(1-EXP(-r_ich*rr_asa_ich*dt))</f>
        <v>0.00102357767802375</v>
      </c>
      <c r="BN17" s="57" t="n">
        <f aca="false">(1-EXP(-r_mb*rr_asa_mb*dt))</f>
        <v>0.00951809672747972</v>
      </c>
      <c r="BO17" s="57" t="n">
        <f aca="false">(1-EXP(-r_mi*rr_asa_mi*dt))</f>
        <v>0.00213413516393479</v>
      </c>
      <c r="BP17" s="57" t="n">
        <f aca="false">(1-EXP(-r_tia*rr_asa_tia*dt))</f>
        <v>0.00312764565589152</v>
      </c>
      <c r="BQ17" s="57" t="n">
        <f aca="false">(1-EXP(-r_minor*rr_asa_minor*dt))</f>
        <v>0.0278181950466747</v>
      </c>
      <c r="BR17" s="57" t="n">
        <f aca="false">BK17*BL17</f>
        <v>0.000125752526875077</v>
      </c>
      <c r="BS17" s="57" t="n">
        <f aca="false">BK17*BM17</f>
        <v>8.07608943861835E-006</v>
      </c>
      <c r="BT17" s="57" t="n">
        <f aca="false">BK17*BN17</f>
        <v>7.50983556079107E-005</v>
      </c>
      <c r="BU17" s="57" t="n">
        <f aca="false">BK17*BO17</f>
        <v>1.68384547925223E-005</v>
      </c>
      <c r="BV17" s="57" t="n">
        <f aca="false">BK17*BP17</f>
        <v>2.46773123248005E-005</v>
      </c>
      <c r="BW17" s="57" t="n">
        <f aca="false">BK17*BQ17</f>
        <v>0.000219487231933035</v>
      </c>
      <c r="BX17" s="57" t="n">
        <f aca="false">BR17*f_stroke_fatal_recur</f>
        <v>4.67912577249472E-005</v>
      </c>
      <c r="BY17" s="57" t="n">
        <f aca="false">BR17*(1-f_stroke_fatal_recur)*f_stroke_major</f>
        <v>2.62941026269931E-005</v>
      </c>
      <c r="BZ17" s="57" t="n">
        <f aca="false">BR17*(1-f_stroke_fatal_recur)*(1-f_stroke_major)</f>
        <v>5.26671665231363E-005</v>
      </c>
      <c r="CA17" s="57" t="n">
        <f aca="false">BS17*(1-f_bleed_fatal)</f>
        <v>7.39769792577441E-006</v>
      </c>
      <c r="CB17" s="57" t="n">
        <f aca="false">BT17*(1-f_bleed_fatal)</f>
        <v>6.87900937368462E-005</v>
      </c>
      <c r="CC17" s="57" t="n">
        <f aca="false">BU17*f_mi_fatal</f>
        <v>2.0374530298952E-006</v>
      </c>
      <c r="CD17" s="57" t="n">
        <f aca="false">BU17-CC17</f>
        <v>1.48010017626271E-005</v>
      </c>
      <c r="CE17" s="57" t="n">
        <f aca="false">BK17-BR17-BS17-BT17-CC17</f>
        <v>0.00767909571607376</v>
      </c>
      <c r="CF17" s="19" t="n">
        <f aca="false">BX17*c_stroke_fatal+BY17*c_stroke_major+BZ17*c_stroke_minor+BS17*c_ich+BT17*c_major_bleed+CC17*c_mi_fatal+CD17*c_mi_nonfatal+BV17*c_tia+BW17*c_minor_bleed</f>
        <v>5.39834060293978</v>
      </c>
      <c r="CG17" s="57" t="n">
        <f aca="false">dt*(CD17*dec_mi+CB17*dec_major_bleed+BW17*dec_minor_bleed+BV17*dec_tia)</f>
        <v>3.39347775717554E-006</v>
      </c>
      <c r="CH17" s="57" t="n">
        <f aca="false">I17*BJ17+BX17+BS17-CA17+BT17-CB17+CC17</f>
        <v>0.000246505859587455</v>
      </c>
      <c r="CI17" s="57" t="n">
        <f aca="false">1-EXP(LN(1-E17)*dt)</f>
        <v>0.010329330711955</v>
      </c>
      <c r="CJ17" s="57" t="n">
        <f aca="false">J17*(1-CI17)</f>
        <v>0.0545042309843211</v>
      </c>
      <c r="CK17" s="57" t="n">
        <f aca="false">(1-EXP(-r_stroke*F17*rr_asa_stroke*dt))</f>
        <v>0.0072763402105146</v>
      </c>
      <c r="CL17" s="57" t="n">
        <f aca="false">(1-EXP(-r_ich*rr_asa_ich*dt))</f>
        <v>0.00102357767802375</v>
      </c>
      <c r="CM17" s="57" t="n">
        <f aca="false">(1-EXP(-r_mb*rr_asa_mb*dt))</f>
        <v>0.00951809672747972</v>
      </c>
      <c r="CN17" s="57" t="n">
        <f aca="false">(1-EXP(-r_mi*rr_asa_mi*dt))</f>
        <v>0.00213413516393479</v>
      </c>
      <c r="CO17" s="57" t="n">
        <f aca="false">(1-EXP(-r_tia*rr_asa_tia*dt))</f>
        <v>0.00312764565589152</v>
      </c>
      <c r="CP17" s="57" t="n">
        <f aca="false">(1-EXP(-r_minor*rr_asa_minor*dt))</f>
        <v>0.0278181950466747</v>
      </c>
      <c r="CQ17" s="57" t="n">
        <f aca="false">CJ17*CK17</f>
        <v>0.000396591327554391</v>
      </c>
      <c r="CR17" s="57" t="n">
        <f aca="false">CJ17*CL17</f>
        <v>5.57893141934013E-005</v>
      </c>
      <c r="CS17" s="57" t="n">
        <f aca="false">CJ17*CM17</f>
        <v>0.000518776542565665</v>
      </c>
      <c r="CT17" s="57" t="n">
        <f aca="false">CJ17*CN17</f>
        <v>0.000116319395926864</v>
      </c>
      <c r="CU17" s="57" t="n">
        <f aca="false">CJ17*CO17</f>
        <v>0.00017046992126582</v>
      </c>
      <c r="CV17" s="57" t="n">
        <f aca="false">CJ17*CP17</f>
        <v>0.00151620932839086</v>
      </c>
      <c r="CW17" s="57" t="n">
        <f aca="false">CQ17*f_stroke_fatal</f>
        <v>9.39921446303907E-005</v>
      </c>
      <c r="CX17" s="57" t="n">
        <f aca="false">CQ17*(1-f_stroke_fatal)*f_stroke_major</f>
        <v>0.000100765527913692</v>
      </c>
      <c r="CY17" s="57" t="n">
        <f aca="false">CQ17*(1-f_stroke_fatal)*(1-f_stroke_major)</f>
        <v>0.000201833655010308</v>
      </c>
      <c r="CZ17" s="57" t="n">
        <f aca="false">CR17*(1-f_bleed_fatal)</f>
        <v>5.11030118011556E-005</v>
      </c>
      <c r="DA17" s="57" t="n">
        <f aca="false">CS17*(1-f_bleed_fatal)</f>
        <v>0.000475199312990149</v>
      </c>
      <c r="DB17" s="57" t="n">
        <f aca="false">CT17*f_mi_fatal</f>
        <v>1.40746469071505E-005</v>
      </c>
      <c r="DC17" s="57" t="n">
        <f aca="false">CT17-DB17</f>
        <v>0.000102244749019713</v>
      </c>
      <c r="DD17" s="57" t="n">
        <f aca="false">CJ17-CQ17-CR17-CS17-DB17</f>
        <v>0.0535189991531005</v>
      </c>
      <c r="DE17" s="19" t="n">
        <f aca="false">CW17*c_stroke_fatal+CX17*c_stroke_major+CY17*c_stroke_minor+CR17*c_ich+CS17*c_major_bleed+DB17*c_mi_fatal+DC17*c_mi_nonfatal+CU17*c_tia+CV17*c_minor_bleed</f>
        <v>21.9925546418422</v>
      </c>
      <c r="DF17" s="57" t="n">
        <f aca="false">dt*(DC17*dec_mi+DA17*dec_major_bleed+CV17*dec_minor_bleed+CU17*dec_tia)</f>
        <v>2.34420133955046E-005</v>
      </c>
      <c r="DG17" s="57" t="n">
        <f aca="false">J17*CI17+CW17+CR17-CZ17+CS17-DA17+DB17</f>
        <v>0.000725198578884483</v>
      </c>
      <c r="DH17" s="57" t="n">
        <f aca="false">AG17</f>
        <v>0.781979105862947</v>
      </c>
      <c r="DI17" s="57" t="n">
        <f aca="false">AB17+AC17+BF17+BA17+BB17+BC17+CY17+CZ17</f>
        <v>0.0235624596796803</v>
      </c>
      <c r="DJ17" s="57" t="n">
        <f aca="false">AA17+AZ17+BY17+CX17+CE17+BZ17+CA17+CB17</f>
        <v>0.00872132479099082</v>
      </c>
      <c r="DK17" s="57" t="n">
        <f aca="false">AD17+DD17+DA17</f>
        <v>0.0588439819637586</v>
      </c>
      <c r="DL17" s="57" t="n">
        <f aca="false">K17+AJ17+BI17+CH17+DG17</f>
        <v>0.126893127702623</v>
      </c>
      <c r="DM17" s="58" t="n">
        <f aca="false">SUM(DH17:DL17)</f>
        <v>1</v>
      </c>
      <c r="DN17" s="19" t="n">
        <f aca="false">dt*(G17*Apixaban!$H$2+(H17+I17+J17)*c_aspirin)</f>
        <v>60.4339078287191</v>
      </c>
      <c r="DO17" s="19" t="n">
        <f aca="false">dt*(H17*c_lt_minor_stroke+I17*c_lt_major_stroke)</f>
        <v>112.256634263807</v>
      </c>
      <c r="DP17" s="19" t="n">
        <f aca="false">AH17+BG17+CF17+DE17</f>
        <v>222.875357427732</v>
      </c>
      <c r="DQ17" s="19" t="n">
        <f aca="false">DN17+DO17+DP17</f>
        <v>395.565899520258</v>
      </c>
      <c r="DR17" s="57" t="n">
        <f aca="false">dt*(G17*(u_af-dec_per_year_over_70*MAX(B17-ref_age,0))+H17*(u_minor_stroke-dec_per_year_over_70*MAX(B17-ref_age,0))+I17*(u_major_stroke-dec_per_year_over_70*MAX(B17-ref_age,0))+J17*(u_af-dec_per_year_over_70*MAX(B17-ref_age,0)))-AI17-BH17-CG17-DF17</f>
        <v>0.177269780943681</v>
      </c>
      <c r="DS17" s="57" t="n">
        <f aca="false">dt*(G17+H17+I17+J17)</f>
        <v>0.221074646131572</v>
      </c>
      <c r="DT17" s="19" t="n">
        <f aca="false">DQ17*C17</f>
        <v>379.697055454977</v>
      </c>
      <c r="DU17" s="19" t="n">
        <f aca="false">DN17*C17</f>
        <v>58.0094919203899</v>
      </c>
      <c r="DV17" s="19" t="n">
        <f aca="false">DP17*C17</f>
        <v>213.934307915366</v>
      </c>
      <c r="DW17" s="19" t="n">
        <f aca="false">DO17*C17</f>
        <v>107.753255619222</v>
      </c>
      <c r="DX17" s="57" t="n">
        <f aca="false">DR17*C17</f>
        <v>0.17015828191231</v>
      </c>
      <c r="DY17" s="57" t="n">
        <f aca="false">DS17*C17</f>
        <v>0.212205835421388</v>
      </c>
      <c r="DZ17" s="57" t="n">
        <f aca="false">T17+AS17+BR17+CQ17</f>
        <v>0.00367775090338351</v>
      </c>
      <c r="EA17" s="57" t="n">
        <f aca="false">U17+AT17+BS17+CR17</f>
        <v>0.000752980632465251</v>
      </c>
      <c r="EB17" s="57" t="n">
        <f aca="false">V17+AU17+BT17+CS17</f>
        <v>0.00609294750568905</v>
      </c>
      <c r="EC17" s="57" t="n">
        <f aca="false">G17*dt*C17</f>
        <v>0.191769012062417</v>
      </c>
    </row>
    <row r="18" customFormat="false" ht="15" hidden="false" customHeight="false" outlineLevel="0" collapsed="false">
      <c r="A18" s="8" t="n">
        <v>12</v>
      </c>
      <c r="B18" s="54" t="n">
        <f aca="false">start_age+A18*dt</f>
        <v>73</v>
      </c>
      <c r="C18" s="16" t="n">
        <f aca="false">(1+disc_rate)^-(A18*dt)</f>
        <v>0.956316993741025</v>
      </c>
      <c r="D18" s="55" t="n">
        <f aca="false">IF(A18*dt&gt;=wane_start,(1-wane_decay)^(A18*dt-wane_start),1)</f>
        <v>1</v>
      </c>
      <c r="E18" s="25" t="n">
        <f aca="false">MIN(p_nonvasc_death*MIN(EXP(gomp_int+gomp_slope*INT(B18)),1)/qx_ref,0.999)</f>
        <v>0.0451688732868535</v>
      </c>
      <c r="F18" s="55" t="n">
        <f aca="false">rr_stroke_per_decade^((B18-ref_age)/10)</f>
        <v>1.12934693545686</v>
      </c>
      <c r="G18" s="57" t="n">
        <f aca="false">DH17</f>
        <v>0.781979105862947</v>
      </c>
      <c r="H18" s="57" t="n">
        <f aca="false">DI17</f>
        <v>0.0235624596796803</v>
      </c>
      <c r="I18" s="57" t="n">
        <f aca="false">DJ17</f>
        <v>0.00872132479099082</v>
      </c>
      <c r="J18" s="57" t="n">
        <f aca="false">DK17</f>
        <v>0.0588439819637586</v>
      </c>
      <c r="K18" s="57" t="n">
        <f aca="false">DL17</f>
        <v>0.126893127702623</v>
      </c>
      <c r="L18" s="57" t="n">
        <f aca="false">1-EXP(LN(1-E18)*dt)</f>
        <v>0.0114886913269703</v>
      </c>
      <c r="M18" s="57" t="n">
        <f aca="false">G18*(1-L18)</f>
        <v>0.772995189291548</v>
      </c>
      <c r="N18" s="57" t="n">
        <f aca="false">IF(Apixaban!$B$2=1,EXP(LN(or_apx_stroke)*D18)*(1-EXP(-r_stroke*F18*dt))/(1-(1-EXP(-r_stroke*F18*dt))+EXP(LN(or_apx_stroke)*D18)*(1-EXP(-r_stroke*F18*dt))),(1-EXP(-r_stroke*F18*dt)))</f>
        <v>0.00359284339336409</v>
      </c>
      <c r="O18" s="57" t="n">
        <f aca="false">IF(Apixaban!$B$2=1,EXP(LN(or_apx_ich)*D18)*(1-EXP(-r_ich*dt))/(1-(1-EXP(-r_ich*dt))+EXP(LN(or_apx_ich)*D18)*(1-EXP(-r_ich*dt))),(1-EXP(-r_ich*dt)))</f>
        <v>0.000843513249640701</v>
      </c>
      <c r="P18" s="57" t="n">
        <f aca="false">IF(Apixaban!$B$2=1,EXP(LN(or_apx_mb)*D18)*(1-EXP(-r_mb*dt))/(1-(1-EXP(-r_mb*dt))+EXP(LN(or_apx_mb)*D18)*(1-EXP(-r_mb*dt))),(1-EXP(-r_mb*dt)))</f>
        <v>0.00669446907979895</v>
      </c>
      <c r="Q18" s="57" t="n">
        <f aca="false">IF(Apixaban!$B$2=1,EXP(LN(or_apx_mi)*D18)*(1-EXP(-r_mi*dt))/(1-(1-EXP(-r_mi*dt))+EXP(LN(or_apx_mi)*D18)*(1-EXP(-r_mi*dt))),(1-EXP(-r_mi*dt)))</f>
        <v>0.00132321915530843</v>
      </c>
      <c r="R18" s="57" t="n">
        <f aca="false">(1-EXP(-r_tia*dt))</f>
        <v>0.0020060281549299</v>
      </c>
      <c r="S18" s="57" t="n">
        <f aca="false">(1-EXP(-r_minor*dt))</f>
        <v>0.0437937690785545</v>
      </c>
      <c r="T18" s="57" t="n">
        <f aca="false">M18*N18</f>
        <v>0.00277725065894836</v>
      </c>
      <c r="U18" s="57" t="n">
        <f aca="false">M18*O18</f>
        <v>0.000652031684075942</v>
      </c>
      <c r="V18" s="57" t="n">
        <f aca="false">M18*P18</f>
        <v>0.0051747923935456</v>
      </c>
      <c r="W18" s="57" t="n">
        <f aca="false">M18*Q18</f>
        <v>0.00102284204143184</v>
      </c>
      <c r="X18" s="57" t="n">
        <f aca="false">M18*R18</f>
        <v>0.00155065011334421</v>
      </c>
      <c r="Y18" s="57" t="n">
        <f aca="false">M18*S18</f>
        <v>0.0338523728186676</v>
      </c>
      <c r="Z18" s="57" t="n">
        <f aca="false">T18*f_stroke_fatal</f>
        <v>0.000658208406170762</v>
      </c>
      <c r="AA18" s="57" t="n">
        <f aca="false">T18*(1-f_stroke_fatal)*f_stroke_major</f>
        <v>0.000705641070174941</v>
      </c>
      <c r="AB18" s="57" t="n">
        <f aca="false">T18*(1-f_stroke_fatal)*(1-f_stroke_major)</f>
        <v>0.00141340118260266</v>
      </c>
      <c r="AC18" s="57" t="n">
        <f aca="false">U18*(1-f_bleed_fatal)</f>
        <v>0.000597261022613563</v>
      </c>
      <c r="AD18" s="57" t="n">
        <f aca="false">V18*(1-f_bleed_fatal)</f>
        <v>0.00474010983248777</v>
      </c>
      <c r="AE18" s="57" t="n">
        <f aca="false">W18*f_mi_fatal</f>
        <v>0.000123763887013253</v>
      </c>
      <c r="AF18" s="57" t="n">
        <f aca="false">W18-AE18</f>
        <v>0.000899078154418588</v>
      </c>
      <c r="AG18" s="57" t="n">
        <f aca="false">M18-T18-U18-V18-AE18</f>
        <v>0.764267350667965</v>
      </c>
      <c r="AH18" s="19" t="n">
        <f aca="false">Z18*c_stroke_fatal+AA18*c_stroke_major+AB18*c_stroke_minor+U18*c_ich+V18*c_major_bleed+AE18*c_mi_fatal+AF18*c_mi_nonfatal+X18*c_tia+Y18*c_minor_bleed</f>
        <v>177.726071747452</v>
      </c>
      <c r="AI18" s="57" t="n">
        <f aca="false">dt*(AF18*dec_mi+AD18*dec_major_bleed+Y18*dec_minor_bleed+X18*dec_tia)</f>
        <v>0.000287068170552083</v>
      </c>
      <c r="AJ18" s="57" t="n">
        <f aca="false">G18*L18+Z18+U18-AC18+V18-AD18+AE18</f>
        <v>0.0102553420871038</v>
      </c>
      <c r="AK18" s="57" t="n">
        <f aca="false">1-EXP(LN(1-E18)*hr_death_prior_stroke*dt)</f>
        <v>0.026226892117848</v>
      </c>
      <c r="AL18" s="57" t="n">
        <f aca="false">H18*(1-AK18)</f>
        <v>0.0229444895916302</v>
      </c>
      <c r="AM18" s="57" t="n">
        <f aca="false">(1-EXP(-r_stroke*F18*rr_stroke_prior*rr_asa_stroke*dt))</f>
        <v>0.0160991608560255</v>
      </c>
      <c r="AN18" s="57" t="n">
        <f aca="false">(1-EXP(-r_ich*rr_asa_ich*dt))</f>
        <v>0.00102357767802375</v>
      </c>
      <c r="AO18" s="57" t="n">
        <f aca="false">(1-EXP(-r_mb*rr_asa_mb*dt))</f>
        <v>0.00951809672747972</v>
      </c>
      <c r="AP18" s="57" t="n">
        <f aca="false">(1-EXP(-r_mi*rr_asa_mi*dt))</f>
        <v>0.00213413516393479</v>
      </c>
      <c r="AQ18" s="57" t="n">
        <f aca="false">(1-EXP(-r_tia*rr_asa_tia*dt))</f>
        <v>0.00312764565589152</v>
      </c>
      <c r="AR18" s="57" t="n">
        <f aca="false">(1-EXP(-r_minor*rr_asa_minor*dt))</f>
        <v>0.0278181950466747</v>
      </c>
      <c r="AS18" s="57" t="n">
        <f aca="false">AL18*AM18</f>
        <v>0.000369387028695057</v>
      </c>
      <c r="AT18" s="57" t="n">
        <f aca="false">AL18*AN18</f>
        <v>2.34854673796408E-005</v>
      </c>
      <c r="AU18" s="57" t="n">
        <f aca="false">AL18*AO18</f>
        <v>0.000218387871295788</v>
      </c>
      <c r="AV18" s="57" t="n">
        <f aca="false">AL18*AP18</f>
        <v>4.89666420560338E-005</v>
      </c>
      <c r="AW18" s="57" t="n">
        <f aca="false">AL18*AQ18</f>
        <v>7.17622331979103E-005</v>
      </c>
      <c r="AX18" s="57" t="n">
        <f aca="false">AL18*AR18</f>
        <v>0.000638274286706366</v>
      </c>
      <c r="AY18" s="57" t="n">
        <f aca="false">AS18*f_stroke_fatal_recur</f>
        <v>0.000137445219507144</v>
      </c>
      <c r="AZ18" s="57" t="n">
        <f aca="false">AS18*(1-f_stroke_fatal_recur)*f_stroke_major</f>
        <v>7.7236622459575E-005</v>
      </c>
      <c r="BA18" s="57" t="n">
        <f aca="false">AS18*(1-f_stroke_fatal_recur)*(1-f_stroke_major)</f>
        <v>0.000154705186728338</v>
      </c>
      <c r="BB18" s="57" t="n">
        <f aca="false">AT18*(1-f_bleed_fatal)</f>
        <v>2.1512688119751E-005</v>
      </c>
      <c r="BC18" s="57" t="n">
        <f aca="false">AU18*(1-f_bleed_fatal)</f>
        <v>0.000200043290106942</v>
      </c>
      <c r="BD18" s="57" t="n">
        <f aca="false">AV18*f_mi_fatal</f>
        <v>5.92496368878009E-006</v>
      </c>
      <c r="BE18" s="57" t="n">
        <f aca="false">AV18-BD18</f>
        <v>4.30416783672537E-005</v>
      </c>
      <c r="BF18" s="57" t="n">
        <f aca="false">AL18-AS18-AT18-AU18-BD18</f>
        <v>0.0223273042605709</v>
      </c>
      <c r="BG18" s="19" t="n">
        <f aca="false">AY18*c_stroke_fatal+AZ18*c_stroke_major+BA18*c_stroke_minor+AT18*c_ich+AU18*c_major_bleed+BD18*c_mi_fatal+BE18*c_mi_nonfatal+AW18*c_tia+AX18*c_minor_bleed</f>
        <v>15.8259291889145</v>
      </c>
      <c r="BH18" s="57" t="n">
        <f aca="false">dt*(BE18*dec_mi+BC18*dec_major_bleed+AX18*dec_minor_bleed+AW18*dec_tia)</f>
        <v>9.86831705807821E-006</v>
      </c>
      <c r="BI18" s="57" t="n">
        <f aca="false">H18*AK18+AY18+AT18-BB18+AU18-BC18+BD18</f>
        <v>0.000781657631694779</v>
      </c>
      <c r="BJ18" s="57" t="n">
        <f aca="false">1-EXP(LN(1-E18)*hr_death_prior_stroke*dt)</f>
        <v>0.026226892117848</v>
      </c>
      <c r="BK18" s="57" t="n">
        <f aca="false">I18*(1-BJ18)</f>
        <v>0.00849259154657279</v>
      </c>
      <c r="BL18" s="57" t="n">
        <f aca="false">(1-EXP(-r_stroke*F18*rr_stroke_prior*rr_asa_stroke*dt))</f>
        <v>0.0160991608560255</v>
      </c>
      <c r="BM18" s="57" t="n">
        <f aca="false">(1-EXP(-r_ich*rr_asa_ich*dt))</f>
        <v>0.00102357767802375</v>
      </c>
      <c r="BN18" s="57" t="n">
        <f aca="false">(1-EXP(-r_mb*rr_asa_mb*dt))</f>
        <v>0.00951809672747972</v>
      </c>
      <c r="BO18" s="57" t="n">
        <f aca="false">(1-EXP(-r_mi*rr_asa_mi*dt))</f>
        <v>0.00213413516393479</v>
      </c>
      <c r="BP18" s="57" t="n">
        <f aca="false">(1-EXP(-r_tia*rr_asa_tia*dt))</f>
        <v>0.00312764565589152</v>
      </c>
      <c r="BQ18" s="57" t="n">
        <f aca="false">(1-EXP(-r_minor*rr_asa_minor*dt))</f>
        <v>0.0278181950466747</v>
      </c>
      <c r="BR18" s="57" t="n">
        <f aca="false">BK18*BL18</f>
        <v>0.000136723597392797</v>
      </c>
      <c r="BS18" s="57" t="n">
        <f aca="false">BK18*BM18</f>
        <v>8.69282713564507E-006</v>
      </c>
      <c r="BT18" s="57" t="n">
        <f aca="false">BK18*BN18</f>
        <v>8.08333078072564E-005</v>
      </c>
      <c r="BU18" s="57" t="n">
        <f aca="false">BK18*BO18</f>
        <v>1.81243382524763E-005</v>
      </c>
      <c r="BV18" s="57" t="n">
        <f aca="false">BK18*BP18</f>
        <v>2.65618170578994E-005</v>
      </c>
      <c r="BW18" s="57" t="n">
        <f aca="false">BK18*BQ18</f>
        <v>0.000236248568094303</v>
      </c>
      <c r="BX18" s="57" t="n">
        <f aca="false">BR18*f_stroke_fatal_recur</f>
        <v>5.0873483353886E-005</v>
      </c>
      <c r="BY18" s="57" t="n">
        <f aca="false">BR18*(1-f_stroke_fatal_recur)*f_stroke_major</f>
        <v>2.85880879749575E-005</v>
      </c>
      <c r="BZ18" s="57" t="n">
        <f aca="false">BR18*(1-f_stroke_fatal_recur)*(1-f_stroke_major)</f>
        <v>5.72620260639539E-005</v>
      </c>
      <c r="CA18" s="57" t="n">
        <f aca="false">BS18*(1-f_bleed_fatal)</f>
        <v>7.96262965625088E-006</v>
      </c>
      <c r="CB18" s="57" t="n">
        <f aca="false">BT18*(1-f_bleed_fatal)</f>
        <v>7.40433099514468E-005</v>
      </c>
      <c r="CC18" s="57" t="n">
        <f aca="false">BU18*f_mi_fatal</f>
        <v>2.19304492854964E-006</v>
      </c>
      <c r="CD18" s="57" t="n">
        <f aca="false">BU18-CC18</f>
        <v>1.59312933239267E-005</v>
      </c>
      <c r="CE18" s="57" t="n">
        <f aca="false">BK18-BR18-BS18-BT18-CC18</f>
        <v>0.00826414876930854</v>
      </c>
      <c r="CF18" s="19" t="n">
        <f aca="false">BX18*c_stroke_fatal+BY18*c_stroke_major+BZ18*c_stroke_minor+BS18*c_ich+BT18*c_major_bleed+CC18*c_mi_fatal+CD18*c_mi_nonfatal+BV18*c_tia+BW18*c_minor_bleed</f>
        <v>5.85775298725595</v>
      </c>
      <c r="CG18" s="57" t="n">
        <f aca="false">dt*(CD18*dec_mi+CB18*dec_major_bleed+BW18*dec_minor_bleed+BV18*dec_tia)</f>
        <v>3.65262368080338E-006</v>
      </c>
      <c r="CH18" s="57" t="n">
        <f aca="false">I18*BJ18+BX18+BS18-CA18+BT18-CB18+CC18</f>
        <v>0.000289319968035669</v>
      </c>
      <c r="CI18" s="57" t="n">
        <f aca="false">1-EXP(LN(1-E18)*dt)</f>
        <v>0.0114886913269703</v>
      </c>
      <c r="CJ18" s="57" t="n">
        <f aca="false">J18*(1-CI18)</f>
        <v>0.0581679416185272</v>
      </c>
      <c r="CK18" s="57" t="n">
        <f aca="false">(1-EXP(-r_stroke*F18*rr_asa_stroke*dt))</f>
        <v>0.00735019974354256</v>
      </c>
      <c r="CL18" s="57" t="n">
        <f aca="false">(1-EXP(-r_ich*rr_asa_ich*dt))</f>
        <v>0.00102357767802375</v>
      </c>
      <c r="CM18" s="57" t="n">
        <f aca="false">(1-EXP(-r_mb*rr_asa_mb*dt))</f>
        <v>0.00951809672747972</v>
      </c>
      <c r="CN18" s="57" t="n">
        <f aca="false">(1-EXP(-r_mi*rr_asa_mi*dt))</f>
        <v>0.00213413516393479</v>
      </c>
      <c r="CO18" s="57" t="n">
        <f aca="false">(1-EXP(-r_tia*rr_asa_tia*dt))</f>
        <v>0.00312764565589152</v>
      </c>
      <c r="CP18" s="57" t="n">
        <f aca="false">(1-EXP(-r_minor*rr_asa_minor*dt))</f>
        <v>0.0278181950466747</v>
      </c>
      <c r="CQ18" s="57" t="n">
        <f aca="false">CJ18*CK18</f>
        <v>0.000427545989566897</v>
      </c>
      <c r="CR18" s="57" t="n">
        <f aca="false">CJ18*CL18</f>
        <v>5.95394066173128E-005</v>
      </c>
      <c r="CS18" s="57" t="n">
        <f aca="false">CJ18*CM18</f>
        <v>0.000553648094763535</v>
      </c>
      <c r="CT18" s="57" t="n">
        <f aca="false">CJ18*CN18</f>
        <v>0.000124138249621805</v>
      </c>
      <c r="CU18" s="57" t="n">
        <f aca="false">CJ18*CO18</f>
        <v>0.000181928709915338</v>
      </c>
      <c r="CV18" s="57" t="n">
        <f aca="false">CJ18*CP18</f>
        <v>0.00161812714540778</v>
      </c>
      <c r="CW18" s="57" t="n">
        <f aca="false">CQ18*f_stroke_fatal</f>
        <v>0.000101328399527355</v>
      </c>
      <c r="CX18" s="57" t="n">
        <f aca="false">CQ18*(1-f_stroke_fatal)*f_stroke_major</f>
        <v>0.000108630457483168</v>
      </c>
      <c r="CY18" s="57" t="n">
        <f aca="false">CQ18*(1-f_stroke_fatal)*(1-f_stroke_major)</f>
        <v>0.000217587132556375</v>
      </c>
      <c r="CZ18" s="57" t="n">
        <f aca="false">CR18*(1-f_bleed_fatal)</f>
        <v>5.45380964614586E-005</v>
      </c>
      <c r="DA18" s="57" t="n">
        <f aca="false">CS18*(1-f_bleed_fatal)</f>
        <v>0.000507141654803398</v>
      </c>
      <c r="DB18" s="57" t="n">
        <f aca="false">CT18*f_mi_fatal</f>
        <v>1.50207282042384E-005</v>
      </c>
      <c r="DC18" s="57" t="n">
        <f aca="false">CT18-DB18</f>
        <v>0.000109117521417566</v>
      </c>
      <c r="DD18" s="57" t="n">
        <f aca="false">CJ18-CQ18-CR18-CS18-DB18</f>
        <v>0.0571121873993752</v>
      </c>
      <c r="DE18" s="19" t="n">
        <f aca="false">CW18*c_stroke_fatal+CX18*c_stroke_major+CY18*c_stroke_minor+CR18*c_ich+CS18*c_major_bleed+DB18*c_mi_fatal+DC18*c_mi_nonfatal+CU18*c_tia+CV18*c_minor_bleed</f>
        <v>23.6296049503331</v>
      </c>
      <c r="DF18" s="57" t="n">
        <f aca="false">dt*(DC18*dec_mi+DA18*dec_major_bleed+CV18*dec_minor_bleed+CU18*dec_tia)</f>
        <v>2.50177581076723E-005</v>
      </c>
      <c r="DG18" s="57" t="n">
        <f aca="false">J18*CI18+CW18+CR18-CZ18+CS18-DA18+DB18</f>
        <v>0.000843897223079013</v>
      </c>
      <c r="DH18" s="57" t="n">
        <f aca="false">AG18</f>
        <v>0.764267350667965</v>
      </c>
      <c r="DI18" s="57" t="n">
        <f aca="false">AB18+AC18+BF18+BA18+BB18+BC18+CY18+CZ18</f>
        <v>0.02498635285976</v>
      </c>
      <c r="DJ18" s="57" t="n">
        <f aca="false">AA18+AZ18+BY18+CX18+CE18+BZ18+CA18+CB18</f>
        <v>0.00932351297307283</v>
      </c>
      <c r="DK18" s="57" t="n">
        <f aca="false">AD18+DD18+DA18</f>
        <v>0.0623594388866663</v>
      </c>
      <c r="DL18" s="57" t="n">
        <f aca="false">K18+AJ18+BI18+CH18+DG18</f>
        <v>0.139063344612536</v>
      </c>
      <c r="DM18" s="58" t="n">
        <f aca="false">SUM(DH18:DL18)</f>
        <v>1</v>
      </c>
      <c r="DN18" s="19" t="n">
        <f aca="false">dt*(G18*Apixaban!$H$2+(H18+I18+J18)*c_aspirin)</f>
        <v>59.2125757310374</v>
      </c>
      <c r="DO18" s="19" t="n">
        <f aca="false">dt*(H18*c_lt_minor_stroke+I18*c_lt_major_stroke)</f>
        <v>120.635687181652</v>
      </c>
      <c r="DP18" s="19" t="n">
        <f aca="false">AH18+BG18+CF18+DE18</f>
        <v>223.039358873956</v>
      </c>
      <c r="DQ18" s="19" t="n">
        <f aca="false">DN18+DO18+DP18</f>
        <v>402.887621786645</v>
      </c>
      <c r="DR18" s="57" t="n">
        <f aca="false">dt*(G18*(u_af-dec_per_year_over_70*MAX(B18-ref_age,0))+H18*(u_minor_stroke-dec_per_year_over_70*MAX(B18-ref_age,0))+I18*(u_major_stroke-dec_per_year_over_70*MAX(B18-ref_age,0))+J18*(u_af-dec_per_year_over_70*MAX(B18-ref_age,0)))-AI18-BH18-CG18-DF18</f>
        <v>0.174894307017096</v>
      </c>
      <c r="DS18" s="57" t="n">
        <f aca="false">dt*(G18+H18+I18+J18)</f>
        <v>0.218276718074344</v>
      </c>
      <c r="DT18" s="19" t="n">
        <f aca="false">DQ18*C18</f>
        <v>385.288279282476</v>
      </c>
      <c r="DU18" s="19" t="n">
        <f aca="false">DN18*C18</f>
        <v>56.6259924147685</v>
      </c>
      <c r="DV18" s="19" t="n">
        <f aca="false">DP18*C18</f>
        <v>213.296329164267</v>
      </c>
      <c r="DW18" s="19" t="n">
        <f aca="false">DO18*C18</f>
        <v>115.36595770344</v>
      </c>
      <c r="DX18" s="57" t="n">
        <f aca="false">DR18*C18</f>
        <v>0.167254397909009</v>
      </c>
      <c r="DY18" s="57" t="n">
        <f aca="false">DS18*C18</f>
        <v>0.208741734832514</v>
      </c>
      <c r="DZ18" s="57" t="n">
        <f aca="false">T18+AS18+BR18+CQ18</f>
        <v>0.00371090727460311</v>
      </c>
      <c r="EA18" s="57" t="n">
        <f aca="false">U18+AT18+BS18+CR18</f>
        <v>0.000743749385208541</v>
      </c>
      <c r="EB18" s="57" t="n">
        <f aca="false">V18+AU18+BT18+CS18</f>
        <v>0.00602766166741218</v>
      </c>
      <c r="EC18" s="57" t="n">
        <f aca="false">G18*dt*C18</f>
        <v>0.186954976921787</v>
      </c>
    </row>
    <row r="19" customFormat="false" ht="15" hidden="false" customHeight="false" outlineLevel="0" collapsed="false">
      <c r="A19" s="8" t="n">
        <v>13</v>
      </c>
      <c r="B19" s="54" t="n">
        <f aca="false">start_age+A19*dt</f>
        <v>73.25</v>
      </c>
      <c r="C19" s="16" t="n">
        <f aca="false">(1+disc_rate)^-(A19*dt)</f>
        <v>0.952764051854641</v>
      </c>
      <c r="D19" s="55" t="n">
        <f aca="false">IF(A19*dt&gt;=wane_start,(1-wane_decay)^(A19*dt-wane_start),1)</f>
        <v>1</v>
      </c>
      <c r="E19" s="25" t="n">
        <f aca="false">MIN(p_nonvasc_death*MIN(EXP(gomp_int+gomp_slope*INT(B19)),1)/qx_ref,0.999)</f>
        <v>0.0451688732868535</v>
      </c>
      <c r="F19" s="55" t="n">
        <f aca="false">rr_stroke_per_decade^((B19-ref_age)/10)</f>
        <v>1.14085292232035</v>
      </c>
      <c r="G19" s="57" t="n">
        <f aca="false">DH18</f>
        <v>0.764267350667965</v>
      </c>
      <c r="H19" s="57" t="n">
        <f aca="false">DI18</f>
        <v>0.02498635285976</v>
      </c>
      <c r="I19" s="57" t="n">
        <f aca="false">DJ18</f>
        <v>0.00932351297307283</v>
      </c>
      <c r="J19" s="57" t="n">
        <f aca="false">DK18</f>
        <v>0.0623594388866663</v>
      </c>
      <c r="K19" s="57" t="n">
        <f aca="false">DL18</f>
        <v>0.139063344612536</v>
      </c>
      <c r="L19" s="57" t="n">
        <f aca="false">1-EXP(LN(1-E19)*dt)</f>
        <v>0.0114886913269703</v>
      </c>
      <c r="M19" s="57" t="n">
        <f aca="false">G19*(1-L19)</f>
        <v>0.755486918984859</v>
      </c>
      <c r="N19" s="57" t="n">
        <f aca="false">IF(Apixaban!$B$2=1,EXP(LN(or_apx_stroke)*D19)*(1-EXP(-r_stroke*F19*dt))/(1-(1-EXP(-r_stroke*F19*dt))+EXP(LN(or_apx_stroke)*D19)*(1-EXP(-r_stroke*F19*dt))),(1-EXP(-r_stroke*F19*dt)))</f>
        <v>0.00362939902213139</v>
      </c>
      <c r="O19" s="57" t="n">
        <f aca="false">IF(Apixaban!$B$2=1,EXP(LN(or_apx_ich)*D19)*(1-EXP(-r_ich*dt))/(1-(1-EXP(-r_ich*dt))+EXP(LN(or_apx_ich)*D19)*(1-EXP(-r_ich*dt))),(1-EXP(-r_ich*dt)))</f>
        <v>0.000843513249640701</v>
      </c>
      <c r="P19" s="57" t="n">
        <f aca="false">IF(Apixaban!$B$2=1,EXP(LN(or_apx_mb)*D19)*(1-EXP(-r_mb*dt))/(1-(1-EXP(-r_mb*dt))+EXP(LN(or_apx_mb)*D19)*(1-EXP(-r_mb*dt))),(1-EXP(-r_mb*dt)))</f>
        <v>0.00669446907979895</v>
      </c>
      <c r="Q19" s="57" t="n">
        <f aca="false">IF(Apixaban!$B$2=1,EXP(LN(or_apx_mi)*D19)*(1-EXP(-r_mi*dt))/(1-(1-EXP(-r_mi*dt))+EXP(LN(or_apx_mi)*D19)*(1-EXP(-r_mi*dt))),(1-EXP(-r_mi*dt)))</f>
        <v>0.00132321915530843</v>
      </c>
      <c r="R19" s="57" t="n">
        <f aca="false">(1-EXP(-r_tia*dt))</f>
        <v>0.0020060281549299</v>
      </c>
      <c r="S19" s="57" t="n">
        <f aca="false">(1-EXP(-r_minor*dt))</f>
        <v>0.0437937690785545</v>
      </c>
      <c r="T19" s="57" t="n">
        <f aca="false">M19*N19</f>
        <v>0.00274196348499671</v>
      </c>
      <c r="U19" s="57" t="n">
        <f aca="false">M19*O19</f>
        <v>0.000637263226093959</v>
      </c>
      <c r="V19" s="57" t="n">
        <f aca="false">M19*P19</f>
        <v>0.00505758381933671</v>
      </c>
      <c r="W19" s="57" t="n">
        <f aca="false">M19*Q19</f>
        <v>0.000999674762785713</v>
      </c>
      <c r="X19" s="57" t="n">
        <f aca="false">M19*R19</f>
        <v>0.00151552803016487</v>
      </c>
      <c r="Y19" s="57" t="n">
        <f aca="false">M19*S19</f>
        <v>0.0330856196718915</v>
      </c>
      <c r="Z19" s="57" t="n">
        <f aca="false">T19*f_stroke_fatal</f>
        <v>0.000649845345944219</v>
      </c>
      <c r="AA19" s="57" t="n">
        <f aca="false">T19*(1-f_stroke_fatal)*f_stroke_major</f>
        <v>0.000696675340304478</v>
      </c>
      <c r="AB19" s="57" t="n">
        <f aca="false">T19*(1-f_stroke_fatal)*(1-f_stroke_major)</f>
        <v>0.00139544279874801</v>
      </c>
      <c r="AC19" s="57" t="n">
        <f aca="false">U19*(1-f_bleed_fatal)</f>
        <v>0.000583733115102067</v>
      </c>
      <c r="AD19" s="57" t="n">
        <f aca="false">V19*(1-f_bleed_fatal)</f>
        <v>0.00463274677851243</v>
      </c>
      <c r="AE19" s="57" t="n">
        <f aca="false">W19*f_mi_fatal</f>
        <v>0.000120960646297071</v>
      </c>
      <c r="AF19" s="57" t="n">
        <f aca="false">W19-AE19</f>
        <v>0.000878714116488641</v>
      </c>
      <c r="AG19" s="57" t="n">
        <f aca="false">M19-T19-U19-V19-AE19</f>
        <v>0.746929147808135</v>
      </c>
      <c r="AH19" s="19" t="n">
        <f aca="false">Z19*c_stroke_fatal+AA19*c_stroke_major+AB19*c_stroke_minor+U19*c_ich+V19*c_major_bleed+AE19*c_mi_fatal+AF19*c_mi_nonfatal+X19*c_tia+Y19*c_minor_bleed</f>
        <v>174.72098626577</v>
      </c>
      <c r="AI19" s="57" t="n">
        <f aca="false">dt*(AF19*dec_mi+AD19*dec_major_bleed+Y19*dec_minor_bleed+X19*dec_tia)</f>
        <v>0.000280566102756449</v>
      </c>
      <c r="AJ19" s="57" t="n">
        <f aca="false">G19*L19+Z19+U19-AC19+V19-AD19+AE19</f>
        <v>0.0100296048271631</v>
      </c>
      <c r="AK19" s="57" t="n">
        <f aca="false">1-EXP(LN(1-E19)*hr_death_prior_stroke*dt)</f>
        <v>0.026226892117848</v>
      </c>
      <c r="AL19" s="57" t="n">
        <f aca="false">H19*(1-AK19)</f>
        <v>0.0243310384788886</v>
      </c>
      <c r="AM19" s="57" t="n">
        <f aca="false">(1-EXP(-r_stroke*F19*rr_stroke_prior*rr_asa_stroke*dt))</f>
        <v>0.0162618410676013</v>
      </c>
      <c r="AN19" s="57" t="n">
        <f aca="false">(1-EXP(-r_ich*rr_asa_ich*dt))</f>
        <v>0.00102357767802375</v>
      </c>
      <c r="AO19" s="57" t="n">
        <f aca="false">(1-EXP(-r_mb*rr_asa_mb*dt))</f>
        <v>0.00951809672747972</v>
      </c>
      <c r="AP19" s="57" t="n">
        <f aca="false">(1-EXP(-r_mi*rr_asa_mi*dt))</f>
        <v>0.00213413516393479</v>
      </c>
      <c r="AQ19" s="57" t="n">
        <f aca="false">(1-EXP(-r_tia*rr_asa_tia*dt))</f>
        <v>0.00312764565589152</v>
      </c>
      <c r="AR19" s="57" t="n">
        <f aca="false">(1-EXP(-r_minor*rr_asa_minor*dt))</f>
        <v>0.0278181950466747</v>
      </c>
      <c r="AS19" s="57" t="n">
        <f aca="false">AL19*AM19</f>
        <v>0.000395667480753378</v>
      </c>
      <c r="AT19" s="57" t="n">
        <f aca="false">AL19*AN19</f>
        <v>2.49047078701272E-005</v>
      </c>
      <c r="AU19" s="57" t="n">
        <f aca="false">AL19*AO19</f>
        <v>0.000231585177722093</v>
      </c>
      <c r="AV19" s="57" t="n">
        <f aca="false">AL19*AP19</f>
        <v>5.19257247928466E-005</v>
      </c>
      <c r="AW19" s="57" t="n">
        <f aca="false">AL19*AQ19</f>
        <v>7.60988668018254E-005</v>
      </c>
      <c r="AX19" s="57" t="n">
        <f aca="false">AL19*AR19</f>
        <v>0.000676845574093871</v>
      </c>
      <c r="AY19" s="57" t="n">
        <f aca="false">AS19*f_stroke_fatal_recur</f>
        <v>0.000147223912913525</v>
      </c>
      <c r="AZ19" s="57" t="n">
        <f aca="false">AS19*(1-f_stroke_fatal_recur)*f_stroke_major</f>
        <v>8.27317080906713E-005</v>
      </c>
      <c r="BA19" s="57" t="n">
        <f aca="false">AS19*(1-f_stroke_fatal_recur)*(1-f_stroke_major)</f>
        <v>0.000165711859749183</v>
      </c>
      <c r="BB19" s="57" t="n">
        <f aca="false">AT19*(1-f_bleed_fatal)</f>
        <v>2.28127124090365E-005</v>
      </c>
      <c r="BC19" s="57" t="n">
        <f aca="false">AU19*(1-f_bleed_fatal)</f>
        <v>0.000212132022793437</v>
      </c>
      <c r="BD19" s="57" t="n">
        <f aca="false">AV19*f_mi_fatal</f>
        <v>6.28301269993444E-006</v>
      </c>
      <c r="BE19" s="57" t="n">
        <f aca="false">AV19-BD19</f>
        <v>4.56427120929122E-005</v>
      </c>
      <c r="BF19" s="57" t="n">
        <f aca="false">AL19-AS19-AT19-AU19-BD19</f>
        <v>0.0236725980998431</v>
      </c>
      <c r="BG19" s="19" t="n">
        <f aca="false">AY19*c_stroke_fatal+AZ19*c_stroke_major+BA19*c_stroke_minor+AT19*c_ich+AU19*c_major_bleed+BD19*c_mi_fatal+BE19*c_mi_nonfatal+AW19*c_tia+AX19*c_minor_bleed</f>
        <v>16.91877516518</v>
      </c>
      <c r="BH19" s="57" t="n">
        <f aca="false">dt*(BE19*dec_mi+BC19*dec_major_bleed+AX19*dec_minor_bleed+AW19*dec_tia)</f>
        <v>1.04646652131046E-005</v>
      </c>
      <c r="BI19" s="57" t="n">
        <f aca="false">H19*AK19+AY19+AT19-BB19+AU19-BC19+BD19</f>
        <v>0.000830366456874614</v>
      </c>
      <c r="BJ19" s="57" t="n">
        <f aca="false">1-EXP(LN(1-E19)*hr_death_prior_stroke*dt)</f>
        <v>0.026226892117848</v>
      </c>
      <c r="BK19" s="57" t="n">
        <f aca="false">I19*(1-BJ19)</f>
        <v>0.0090789862041687</v>
      </c>
      <c r="BL19" s="57" t="n">
        <f aca="false">(1-EXP(-r_stroke*F19*rr_stroke_prior*rr_asa_stroke*dt))</f>
        <v>0.0162618410676013</v>
      </c>
      <c r="BM19" s="57" t="n">
        <f aca="false">(1-EXP(-r_ich*rr_asa_ich*dt))</f>
        <v>0.00102357767802375</v>
      </c>
      <c r="BN19" s="57" t="n">
        <f aca="false">(1-EXP(-r_mb*rr_asa_mb*dt))</f>
        <v>0.00951809672747972</v>
      </c>
      <c r="BO19" s="57" t="n">
        <f aca="false">(1-EXP(-r_mi*rr_asa_mi*dt))</f>
        <v>0.00213413516393479</v>
      </c>
      <c r="BP19" s="57" t="n">
        <f aca="false">(1-EXP(-r_tia*rr_asa_tia*dt))</f>
        <v>0.00312764565589152</v>
      </c>
      <c r="BQ19" s="57" t="n">
        <f aca="false">(1-EXP(-r_minor*rr_asa_minor*dt))</f>
        <v>0.0278181950466747</v>
      </c>
      <c r="BR19" s="57" t="n">
        <f aca="false">BK19*BL19</f>
        <v>0.000147641030707136</v>
      </c>
      <c r="BS19" s="57" t="n">
        <f aca="false">BK19*BM19</f>
        <v>9.29304761767262E-006</v>
      </c>
      <c r="BT19" s="57" t="n">
        <f aca="false">BK19*BN19</f>
        <v>8.64146688787316E-005</v>
      </c>
      <c r="BU19" s="57" t="n">
        <f aca="false">BK19*BO19</f>
        <v>1.93757837111953E-005</v>
      </c>
      <c r="BV19" s="57" t="n">
        <f aca="false">BK19*BP19</f>
        <v>2.83958517613673E-005</v>
      </c>
      <c r="BW19" s="57" t="n">
        <f aca="false">BK19*BQ19</f>
        <v>0.000252561009053634</v>
      </c>
      <c r="BX19" s="57" t="n">
        <f aca="false">BR19*f_stroke_fatal_recur</f>
        <v>5.49357511158183E-005</v>
      </c>
      <c r="BY19" s="57" t="n">
        <f aca="false">BR19*(1-f_stroke_fatal_recur)*f_stroke_major</f>
        <v>3.08708581039089E-005</v>
      </c>
      <c r="BZ19" s="57" t="n">
        <f aca="false">BR19*(1-f_stroke_fatal_recur)*(1-f_stroke_major)</f>
        <v>6.18344214874091E-005</v>
      </c>
      <c r="CA19" s="57" t="n">
        <f aca="false">BS19*(1-f_bleed_fatal)</f>
        <v>8.51243161778812E-006</v>
      </c>
      <c r="CB19" s="57" t="n">
        <f aca="false">BT19*(1-f_bleed_fatal)</f>
        <v>7.91558366929181E-005</v>
      </c>
      <c r="CC19" s="57" t="n">
        <f aca="false">BU19*f_mi_fatal</f>
        <v>2.34446982905463E-006</v>
      </c>
      <c r="CD19" s="57" t="n">
        <f aca="false">BU19-CC19</f>
        <v>1.70313138821406E-005</v>
      </c>
      <c r="CE19" s="57" t="n">
        <f aca="false">BK19-BR19-BS19-BT19-CC19</f>
        <v>0.0088332929871361</v>
      </c>
      <c r="CF19" s="19" t="n">
        <f aca="false">BX19*c_stroke_fatal+BY19*c_stroke_major+BZ19*c_stroke_minor+BS19*c_ich+BT19*c_major_bleed+CC19*c_mi_fatal+CD19*c_mi_nonfatal+BV19*c_tia+BW19*c_minor_bleed</f>
        <v>6.31314304358117</v>
      </c>
      <c r="CG19" s="57" t="n">
        <f aca="false">dt*(CD19*dec_mi+CB19*dec_major_bleed+BW19*dec_minor_bleed+BV19*dec_tia)</f>
        <v>3.90482926503353E-006</v>
      </c>
      <c r="CH19" s="57" t="n">
        <f aca="false">I19*BJ19+BX19+BS19-CA19+BT19-CB19+CC19</f>
        <v>0.000309846438034708</v>
      </c>
      <c r="CI19" s="57" t="n">
        <f aca="false">1-EXP(LN(1-E19)*dt)</f>
        <v>0.0114886913269703</v>
      </c>
      <c r="CJ19" s="57" t="n">
        <f aca="false">J19*(1-CI19)</f>
        <v>0.0616430105419744</v>
      </c>
      <c r="CK19" s="57" t="n">
        <f aca="false">(1-EXP(-r_stroke*F19*rr_asa_stroke*dt))</f>
        <v>0.00742480619111285</v>
      </c>
      <c r="CL19" s="57" t="n">
        <f aca="false">(1-EXP(-r_ich*rr_asa_ich*dt))</f>
        <v>0.00102357767802375</v>
      </c>
      <c r="CM19" s="57" t="n">
        <f aca="false">(1-EXP(-r_mb*rr_asa_mb*dt))</f>
        <v>0.00951809672747972</v>
      </c>
      <c r="CN19" s="57" t="n">
        <f aca="false">(1-EXP(-r_mi*rr_asa_mi*dt))</f>
        <v>0.00213413516393479</v>
      </c>
      <c r="CO19" s="57" t="n">
        <f aca="false">(1-EXP(-r_tia*rr_asa_tia*dt))</f>
        <v>0.00312764565589152</v>
      </c>
      <c r="CP19" s="57" t="n">
        <f aca="false">(1-EXP(-r_minor*rr_asa_minor*dt))</f>
        <v>0.0278181950466747</v>
      </c>
      <c r="CQ19" s="57" t="n">
        <f aca="false">CJ19*CK19</f>
        <v>0.000457687406310886</v>
      </c>
      <c r="CR19" s="57" t="n">
        <f aca="false">CJ19*CL19</f>
        <v>6.30964095969474E-005</v>
      </c>
      <c r="CS19" s="57" t="n">
        <f aca="false">CJ19*CM19</f>
        <v>0.000586724136911564</v>
      </c>
      <c r="CT19" s="57" t="n">
        <f aca="false">CJ19*CN19</f>
        <v>0.000131554516408431</v>
      </c>
      <c r="CU19" s="57" t="n">
        <f aca="false">CJ19*CO19</f>
        <v>0.000192797494137681</v>
      </c>
      <c r="CV19" s="57" t="n">
        <f aca="false">CJ19*CP19</f>
        <v>0.00171479729052087</v>
      </c>
      <c r="CW19" s="57" t="n">
        <f aca="false">CQ19*f_stroke_fatal</f>
        <v>0.00010847191529568</v>
      </c>
      <c r="CX19" s="57" t="n">
        <f aca="false">CQ19*(1-f_stroke_fatal)*f_stroke_major</f>
        <v>0.000116288758508064</v>
      </c>
      <c r="CY19" s="57" t="n">
        <f aca="false">CQ19*(1-f_stroke_fatal)*(1-f_stroke_major)</f>
        <v>0.000232926732507142</v>
      </c>
      <c r="CZ19" s="57" t="n">
        <f aca="false">CR19*(1-f_bleed_fatal)</f>
        <v>5.77963111908038E-005</v>
      </c>
      <c r="DA19" s="57" t="n">
        <f aca="false">CS19*(1-f_bleed_fatal)</f>
        <v>0.000537439309410993</v>
      </c>
      <c r="DB19" s="57" t="n">
        <f aca="false">CT19*f_mi_fatal</f>
        <v>1.59180964854201E-005</v>
      </c>
      <c r="DC19" s="57" t="n">
        <f aca="false">CT19-DB19</f>
        <v>0.00011563641992301</v>
      </c>
      <c r="DD19" s="57" t="n">
        <f aca="false">CJ19-CQ19-CR19-CS19-DB19</f>
        <v>0.0605195844926695</v>
      </c>
      <c r="DE19" s="19" t="n">
        <f aca="false">CW19*c_stroke_fatal+CX19*c_stroke_major+CY19*c_stroke_minor+CR19*c_ich+CS19*c_major_bleed+DB19*c_mi_fatal+DC19*c_mi_nonfatal+CU19*c_tia+CV19*c_minor_bleed</f>
        <v>25.2112056091208</v>
      </c>
      <c r="DF19" s="57" t="n">
        <f aca="false">dt*(DC19*dec_mi+DA19*dec_major_bleed+CV19*dec_minor_bleed+CU19*dec_tia)</f>
        <v>2.6512368907285E-005</v>
      </c>
      <c r="DG19" s="57" t="n">
        <f aca="false">J19*CI19+CW19+CR19-CZ19+CS19-DA19+DB19</f>
        <v>0.000895403282379792</v>
      </c>
      <c r="DH19" s="57" t="n">
        <f aca="false">AG19</f>
        <v>0.746929147808135</v>
      </c>
      <c r="DI19" s="57" t="n">
        <f aca="false">AB19+AC19+BF19+BA19+BB19+BC19+CY19+CZ19</f>
        <v>0.0263431536523427</v>
      </c>
      <c r="DJ19" s="57" t="n">
        <f aca="false">AA19+AZ19+BY19+CX19+CE19+BZ19+CA19+CB19</f>
        <v>0.00990936234194134</v>
      </c>
      <c r="DK19" s="57" t="n">
        <f aca="false">AD19+DD19+DA19</f>
        <v>0.065689770580593</v>
      </c>
      <c r="DL19" s="57" t="n">
        <f aca="false">K19+AJ19+BI19+CH19+DG19</f>
        <v>0.151128565616988</v>
      </c>
      <c r="DM19" s="58" t="n">
        <f aca="false">SUM(DH19:DL19)</f>
        <v>1</v>
      </c>
      <c r="DN19" s="19" t="n">
        <f aca="false">dt*(G19*Apixaban!$H$2+(H19+I19+J19)*c_aspirin)</f>
        <v>57.9456467096493</v>
      </c>
      <c r="DO19" s="19" t="n">
        <f aca="false">dt*(H19*c_lt_minor_stroke+I19*c_lt_major_stroke)</f>
        <v>128.416420927315</v>
      </c>
      <c r="DP19" s="19" t="n">
        <f aca="false">AH19+BG19+CF19+DE19</f>
        <v>223.164110083652</v>
      </c>
      <c r="DQ19" s="19" t="n">
        <f aca="false">DN19+DO19+DP19</f>
        <v>409.526177720616</v>
      </c>
      <c r="DR19" s="57" t="n">
        <f aca="false">dt*(G19*(u_af-dec_per_year_over_70*MAX(B19-ref_age,0))+H19*(u_minor_stroke-dec_per_year_over_70*MAX(B19-ref_age,0))+I19*(u_major_stroke-dec_per_year_over_70*MAX(B19-ref_age,0))+J19*(u_af-dec_per_year_over_70*MAX(B19-ref_age,0)))-AI19-BH19-CG19-DF19</f>
        <v>0.172327809984161</v>
      </c>
      <c r="DS19" s="57" t="n">
        <f aca="false">dt*(G19+H19+I19+J19)</f>
        <v>0.215234163846866</v>
      </c>
      <c r="DT19" s="19" t="n">
        <f aca="false">DQ19*C19</f>
        <v>390.181820425638</v>
      </c>
      <c r="DU19" s="19" t="n">
        <f aca="false">DN19*C19</f>
        <v>55.208529146423</v>
      </c>
      <c r="DV19" s="19" t="n">
        <f aca="false">DP19*C19</f>
        <v>212.622741751835</v>
      </c>
      <c r="DW19" s="19" t="n">
        <f aca="false">DO19*C19</f>
        <v>122.35054952738</v>
      </c>
      <c r="DX19" s="57" t="n">
        <f aca="false">DR19*C19</f>
        <v>0.164187742487746</v>
      </c>
      <c r="DY19" s="57" t="n">
        <f aca="false">DS19*C19</f>
        <v>0.205067374044286</v>
      </c>
      <c r="DZ19" s="57" t="n">
        <f aca="false">T19+AS19+BR19+CQ19</f>
        <v>0.00374295940276811</v>
      </c>
      <c r="EA19" s="57" t="n">
        <f aca="false">U19+AT19+BS19+CR19</f>
        <v>0.000734557391178706</v>
      </c>
      <c r="EB19" s="57" t="n">
        <f aca="false">V19+AU19+BT19+CS19</f>
        <v>0.0059623078028491</v>
      </c>
      <c r="EC19" s="57" t="n">
        <f aca="false">G19*dt*C19</f>
        <v>0.182041614430655</v>
      </c>
    </row>
    <row r="20" customFormat="false" ht="15" hidden="false" customHeight="false" outlineLevel="0" collapsed="false">
      <c r="A20" s="8" t="n">
        <v>14</v>
      </c>
      <c r="B20" s="54" t="n">
        <f aca="false">start_age+A20*dt</f>
        <v>73.5</v>
      </c>
      <c r="C20" s="16" t="n">
        <f aca="false">(1+disc_rate)^-(A20*dt)</f>
        <v>0.949224309980524</v>
      </c>
      <c r="D20" s="55" t="n">
        <f aca="false">IF(A20*dt&gt;=wane_start,(1-wane_decay)^(A20*dt-wane_start),1)</f>
        <v>1</v>
      </c>
      <c r="E20" s="25" t="n">
        <f aca="false">MIN(p_nonvasc_death*MIN(EXP(gomp_int+gomp_slope*INT(B20)),1)/qx_ref,0.999)</f>
        <v>0.0451688732868535</v>
      </c>
      <c r="F20" s="55" t="n">
        <f aca="false">rr_stroke_per_decade^((B20-ref_age)/10)</f>
        <v>1.15247613421855</v>
      </c>
      <c r="G20" s="57" t="n">
        <f aca="false">DH19</f>
        <v>0.746929147808135</v>
      </c>
      <c r="H20" s="57" t="n">
        <f aca="false">DI19</f>
        <v>0.0263431536523427</v>
      </c>
      <c r="I20" s="57" t="n">
        <f aca="false">DJ19</f>
        <v>0.00990936234194134</v>
      </c>
      <c r="J20" s="57" t="n">
        <f aca="false">DK19</f>
        <v>0.065689770580593</v>
      </c>
      <c r="K20" s="57" t="n">
        <f aca="false">DL19</f>
        <v>0.151128565616988</v>
      </c>
      <c r="L20" s="57" t="n">
        <f aca="false">1-EXP(LN(1-E20)*dt)</f>
        <v>0.0114886913269703</v>
      </c>
      <c r="M20" s="57" t="n">
        <f aca="false">G20*(1-L20)</f>
        <v>0.73834790938585</v>
      </c>
      <c r="N20" s="57" t="n">
        <f aca="false">IF(Apixaban!$B$2=1,EXP(LN(or_apx_stroke)*D20)*(1-EXP(-r_stroke*F20*dt))/(1-(1-EXP(-r_stroke*F20*dt))+EXP(LN(or_apx_stroke)*D20)*(1-EXP(-r_stroke*F20*dt))),(1-EXP(-r_stroke*F20*dt)))</f>
        <v>0.00366632608472903</v>
      </c>
      <c r="O20" s="57" t="n">
        <f aca="false">IF(Apixaban!$B$2=1,EXP(LN(or_apx_ich)*D20)*(1-EXP(-r_ich*dt))/(1-(1-EXP(-r_ich*dt))+EXP(LN(or_apx_ich)*D20)*(1-EXP(-r_ich*dt))),(1-EXP(-r_ich*dt)))</f>
        <v>0.000843513249640701</v>
      </c>
      <c r="P20" s="57" t="n">
        <f aca="false">IF(Apixaban!$B$2=1,EXP(LN(or_apx_mb)*D20)*(1-EXP(-r_mb*dt))/(1-(1-EXP(-r_mb*dt))+EXP(LN(or_apx_mb)*D20)*(1-EXP(-r_mb*dt))),(1-EXP(-r_mb*dt)))</f>
        <v>0.00669446907979895</v>
      </c>
      <c r="Q20" s="57" t="n">
        <f aca="false">IF(Apixaban!$B$2=1,EXP(LN(or_apx_mi)*D20)*(1-EXP(-r_mi*dt))/(1-(1-EXP(-r_mi*dt))+EXP(LN(or_apx_mi)*D20)*(1-EXP(-r_mi*dt))),(1-EXP(-r_mi*dt)))</f>
        <v>0.00132321915530843</v>
      </c>
      <c r="R20" s="57" t="n">
        <f aca="false">(1-EXP(-r_tia*dt))</f>
        <v>0.0020060281549299</v>
      </c>
      <c r="S20" s="57" t="n">
        <f aca="false">(1-EXP(-r_minor*dt))</f>
        <v>0.0437937690785545</v>
      </c>
      <c r="T20" s="57" t="n">
        <f aca="false">M20*N20</f>
        <v>0.00270702419978648</v>
      </c>
      <c r="U20" s="57" t="n">
        <f aca="false">M20*O20</f>
        <v>0.000622806244411476</v>
      </c>
      <c r="V20" s="57" t="n">
        <f aca="false">M20*P20</f>
        <v>0.00494284724951777</v>
      </c>
      <c r="W20" s="57" t="n">
        <f aca="false">M20*Q20</f>
        <v>0.000976996096981289</v>
      </c>
      <c r="X20" s="57" t="n">
        <f aca="false">M20*R20</f>
        <v>0.00148114669436164</v>
      </c>
      <c r="Y20" s="57" t="n">
        <f aca="false">M20*S20</f>
        <v>0.0323350378432774</v>
      </c>
      <c r="Z20" s="57" t="n">
        <f aca="false">T20*f_stroke_fatal</f>
        <v>0.000641564735349397</v>
      </c>
      <c r="AA20" s="57" t="n">
        <f aca="false">T20*(1-f_stroke_fatal)*f_stroke_major</f>
        <v>0.00068779800165755</v>
      </c>
      <c r="AB20" s="57" t="n">
        <f aca="false">T20*(1-f_stroke_fatal)*(1-f_stroke_major)</f>
        <v>0.00137766146277954</v>
      </c>
      <c r="AC20" s="57" t="n">
        <f aca="false">U20*(1-f_bleed_fatal)</f>
        <v>0.000570490519880912</v>
      </c>
      <c r="AD20" s="57" t="n">
        <f aca="false">V20*(1-f_bleed_fatal)</f>
        <v>0.00452764808055828</v>
      </c>
      <c r="AE20" s="57" t="n">
        <f aca="false">W20*f_mi_fatal</f>
        <v>0.000118216527734736</v>
      </c>
      <c r="AF20" s="57" t="n">
        <f aca="false">W20-AE20</f>
        <v>0.000858779569246553</v>
      </c>
      <c r="AG20" s="57" t="n">
        <f aca="false">M20-T20-U20-V20-AE20</f>
        <v>0.7299570151644</v>
      </c>
      <c r="AH20" s="19" t="n">
        <f aca="false">Z20*c_stroke_fatal+AA20*c_stroke_major+AB20*c_stroke_minor+U20*c_ich+V20*c_major_bleed+AE20*c_mi_fatal+AF20*c_mi_nonfatal+X20*c_tia+Y20*c_minor_bleed</f>
        <v>171.764636131476</v>
      </c>
      <c r="AI20" s="57" t="n">
        <f aca="false">dt*(AF20*dec_mi+AD20*dec_major_bleed+Y20*dec_minor_bleed+X20*dec_tia)</f>
        <v>0.000274201167762259</v>
      </c>
      <c r="AJ20" s="57" t="n">
        <f aca="false">G20*L20+Z20+U20-AC20+V20-AD20+AE20</f>
        <v>0.00980853457885881</v>
      </c>
      <c r="AK20" s="57" t="n">
        <f aca="false">1-EXP(LN(1-E20)*hr_death_prior_stroke*dt)</f>
        <v>0.026226892117848</v>
      </c>
      <c r="AL20" s="57" t="n">
        <f aca="false">H20*(1-AK20)</f>
        <v>0.0256522546034589</v>
      </c>
      <c r="AM20" s="57" t="n">
        <f aca="false">(1-EXP(-r_stroke*F20*rr_stroke_prior*rr_asa_stroke*dt))</f>
        <v>0.0164261513836976</v>
      </c>
      <c r="AN20" s="57" t="n">
        <f aca="false">(1-EXP(-r_ich*rr_asa_ich*dt))</f>
        <v>0.00102357767802375</v>
      </c>
      <c r="AO20" s="57" t="n">
        <f aca="false">(1-EXP(-r_mb*rr_asa_mb*dt))</f>
        <v>0.00951809672747972</v>
      </c>
      <c r="AP20" s="57" t="n">
        <f aca="false">(1-EXP(-r_mi*rr_asa_mi*dt))</f>
        <v>0.00213413516393479</v>
      </c>
      <c r="AQ20" s="57" t="n">
        <f aca="false">(1-EXP(-r_tia*rr_asa_tia*dt))</f>
        <v>0.00312764565589152</v>
      </c>
      <c r="AR20" s="57" t="n">
        <f aca="false">(1-EXP(-r_minor*rr_asa_minor*dt))</f>
        <v>0.0278181950466747</v>
      </c>
      <c r="AS20" s="57" t="n">
        <f aca="false">AL20*AM20</f>
        <v>0.00042136781744957</v>
      </c>
      <c r="AT20" s="57" t="n">
        <f aca="false">AL20*AN20</f>
        <v>2.62570752030824E-005</v>
      </c>
      <c r="AU20" s="57" t="n">
        <f aca="false">AL20*AO20</f>
        <v>0.000244160640593658</v>
      </c>
      <c r="AV20" s="57" t="n">
        <f aca="false">AL20*AP20</f>
        <v>5.47453785834497E-005</v>
      </c>
      <c r="AW20" s="57" t="n">
        <f aca="false">AL20*AQ20</f>
        <v>8.02311626743314E-005</v>
      </c>
      <c r="AX20" s="57" t="n">
        <f aca="false">AL20*AR20</f>
        <v>0.000713599421945978</v>
      </c>
      <c r="AY20" s="57" t="n">
        <f aca="false">AS20*f_stroke_fatal_recur</f>
        <v>0.00015678675119481</v>
      </c>
      <c r="AZ20" s="57" t="n">
        <f aca="false">AS20*(1-f_stroke_fatal_recur)*f_stroke_major</f>
        <v>8.81054950628348E-005</v>
      </c>
      <c r="BA20" s="57" t="n">
        <f aca="false">AS20*(1-f_stroke_fatal_recur)*(1-f_stroke_major)</f>
        <v>0.000176475571191924</v>
      </c>
      <c r="BB20" s="57" t="n">
        <f aca="false">AT20*(1-f_bleed_fatal)</f>
        <v>2.40514808860235E-005</v>
      </c>
      <c r="BC20" s="57" t="n">
        <f aca="false">AU20*(1-f_bleed_fatal)</f>
        <v>0.000223651146783791</v>
      </c>
      <c r="BD20" s="57" t="n">
        <f aca="false">AV20*f_mi_fatal</f>
        <v>6.62419080859741E-006</v>
      </c>
      <c r="BE20" s="57" t="n">
        <f aca="false">AV20-BD20</f>
        <v>4.81211877748523E-005</v>
      </c>
      <c r="BF20" s="57" t="n">
        <f aca="false">AL20-AS20-AT20-AU20-BD20</f>
        <v>0.024953844879404</v>
      </c>
      <c r="BG20" s="19" t="n">
        <f aca="false">AY20*c_stroke_fatal+AZ20*c_stroke_major+BA20*c_stroke_minor+AT20*c_ich+AU20*c_major_bleed+BD20*c_mi_fatal+BE20*c_mi_nonfatal+AW20*c_tia+AX20*c_minor_bleed</f>
        <v>17.9828214827849</v>
      </c>
      <c r="BH20" s="57" t="n">
        <f aca="false">dt*(BE20*dec_mi+BC20*dec_major_bleed+AX20*dec_minor_bleed+AW20*dec_tia)</f>
        <v>1.10329140541798E-005</v>
      </c>
      <c r="BI20" s="57" t="n">
        <f aca="false">H20*AK20+AY20+AT20-BB20+AU20-BC20+BD20</f>
        <v>0.000877025079014221</v>
      </c>
      <c r="BJ20" s="57" t="n">
        <f aca="false">1-EXP(LN(1-E20)*hr_death_prior_stroke*dt)</f>
        <v>0.026226892117848</v>
      </c>
      <c r="BK20" s="57" t="n">
        <f aca="false">I20*(1-BJ20)</f>
        <v>0.00964947056484258</v>
      </c>
      <c r="BL20" s="57" t="n">
        <f aca="false">(1-EXP(-r_stroke*F20*rr_stroke_prior*rr_asa_stroke*dt))</f>
        <v>0.0164261513836976</v>
      </c>
      <c r="BM20" s="57" t="n">
        <f aca="false">(1-EXP(-r_ich*rr_asa_ich*dt))</f>
        <v>0.00102357767802375</v>
      </c>
      <c r="BN20" s="57" t="n">
        <f aca="false">(1-EXP(-r_mb*rr_asa_mb*dt))</f>
        <v>0.00951809672747972</v>
      </c>
      <c r="BO20" s="57" t="n">
        <f aca="false">(1-EXP(-r_mi*rr_asa_mi*dt))</f>
        <v>0.00213413516393479</v>
      </c>
      <c r="BP20" s="57" t="n">
        <f aca="false">(1-EXP(-r_tia*rr_asa_tia*dt))</f>
        <v>0.00312764565589152</v>
      </c>
      <c r="BQ20" s="57" t="n">
        <f aca="false">(1-EXP(-r_minor*rr_asa_minor*dt))</f>
        <v>0.0278181950466747</v>
      </c>
      <c r="BR20" s="57" t="n">
        <f aca="false">BK20*BL20</f>
        <v>0.000158503664270638</v>
      </c>
      <c r="BS20" s="57" t="n">
        <f aca="false">BK20*BM20</f>
        <v>9.87698267492005E-006</v>
      </c>
      <c r="BT20" s="57" t="n">
        <f aca="false">BK20*BN20</f>
        <v>9.184459420514E-005</v>
      </c>
      <c r="BU20" s="57" t="n">
        <f aca="false">BK20*BO20</f>
        <v>2.05932744457843E-005</v>
      </c>
      <c r="BV20" s="57" t="n">
        <f aca="false">BK20*BP20</f>
        <v>3.0180124693783E-005</v>
      </c>
      <c r="BW20" s="57" t="n">
        <f aca="false">BK20*BQ20</f>
        <v>0.000268430854269937</v>
      </c>
      <c r="BX20" s="57" t="n">
        <f aca="false">BR20*f_stroke_fatal_recur</f>
        <v>5.89776284384618E-005</v>
      </c>
      <c r="BY20" s="57" t="n">
        <f aca="false">BR20*(1-f_stroke_fatal_recur)*f_stroke_major</f>
        <v>3.31421699321148E-005</v>
      </c>
      <c r="BZ20" s="57" t="n">
        <f aca="false">BR20*(1-f_stroke_fatal_recur)*(1-f_stroke_major)</f>
        <v>6.63838659000618E-005</v>
      </c>
      <c r="CA20" s="57" t="n">
        <f aca="false">BS20*(1-f_bleed_fatal)</f>
        <v>9.04731613022677E-006</v>
      </c>
      <c r="CB20" s="57" t="n">
        <f aca="false">BT20*(1-f_bleed_fatal)</f>
        <v>8.41296482919082E-005</v>
      </c>
      <c r="CC20" s="57" t="n">
        <f aca="false">BU20*f_mi_fatal</f>
        <v>2.4917862079399E-006</v>
      </c>
      <c r="CD20" s="57" t="n">
        <f aca="false">BU20-CC20</f>
        <v>1.81014882378444E-005</v>
      </c>
      <c r="CE20" s="57" t="n">
        <f aca="false">BK20-BR20-BS20-BT20-CC20</f>
        <v>0.00938675353748394</v>
      </c>
      <c r="CF20" s="19" t="n">
        <f aca="false">BX20*c_stroke_fatal+BY20*c_stroke_major+BZ20*c_stroke_minor+BS20*c_ich+BT20*c_major_bleed+CC20*c_mi_fatal+CD20*c_mi_nonfatal+BV20*c_tia+BW20*c_minor_bleed</f>
        <v>6.76450118141093</v>
      </c>
      <c r="CG20" s="57" t="n">
        <f aca="false">dt*(CD20*dec_mi+CB20*dec_major_bleed+BW20*dec_minor_bleed+BV20*dec_tia)</f>
        <v>4.15019190538873E-006</v>
      </c>
      <c r="CH20" s="57" t="n">
        <f aca="false">I20*BJ20+BX20+BS20-CA20+BT20-CB20+CC20</f>
        <v>0.000329905804203088</v>
      </c>
      <c r="CI20" s="57" t="n">
        <f aca="false">1-EXP(LN(1-E20)*dt)</f>
        <v>0.0114886913269703</v>
      </c>
      <c r="CJ20" s="57" t="n">
        <f aca="false">J20*(1-CI20)</f>
        <v>0.064935081083053</v>
      </c>
      <c r="CK20" s="57" t="n">
        <f aca="false">(1-EXP(-r_stroke*F20*rr_asa_stroke*dt))</f>
        <v>0.00750016704908274</v>
      </c>
      <c r="CL20" s="57" t="n">
        <f aca="false">(1-EXP(-r_ich*rr_asa_ich*dt))</f>
        <v>0.00102357767802375</v>
      </c>
      <c r="CM20" s="57" t="n">
        <f aca="false">(1-EXP(-r_mb*rr_asa_mb*dt))</f>
        <v>0.00951809672747972</v>
      </c>
      <c r="CN20" s="57" t="n">
        <f aca="false">(1-EXP(-r_mi*rr_asa_mi*dt))</f>
        <v>0.00213413516393479</v>
      </c>
      <c r="CO20" s="57" t="n">
        <f aca="false">(1-EXP(-r_tia*rr_asa_tia*dt))</f>
        <v>0.00312764565589152</v>
      </c>
      <c r="CP20" s="57" t="n">
        <f aca="false">(1-EXP(-r_minor*rr_asa_minor*dt))</f>
        <v>0.0278181950466747</v>
      </c>
      <c r="CQ20" s="57" t="n">
        <f aca="false">CJ20*CK20</f>
        <v>0.00048702395546863</v>
      </c>
      <c r="CR20" s="57" t="n">
        <f aca="false">CJ20*CL20</f>
        <v>6.64660995172751E-005</v>
      </c>
      <c r="CS20" s="57" t="n">
        <f aca="false">CJ20*CM20</f>
        <v>0.000618058382755237</v>
      </c>
      <c r="CT20" s="57" t="n">
        <f aca="false">CJ20*CN20</f>
        <v>0.0001385802399123</v>
      </c>
      <c r="CU20" s="57" t="n">
        <f aca="false">CJ20*CO20</f>
        <v>0.000203093924264374</v>
      </c>
      <c r="CV20" s="57" t="n">
        <f aca="false">CJ20*CP20</f>
        <v>0.00180637675094001</v>
      </c>
      <c r="CW20" s="57" t="n">
        <f aca="false">CQ20*f_stroke_fatal</f>
        <v>0.000115424677446065</v>
      </c>
      <c r="CX20" s="57" t="n">
        <f aca="false">CQ20*(1-f_stroke_fatal)*f_stroke_major</f>
        <v>0.000123742559581514</v>
      </c>
      <c r="CY20" s="57" t="n">
        <f aca="false">CQ20*(1-f_stroke_fatal)*(1-f_stroke_major)</f>
        <v>0.000247856718441051</v>
      </c>
      <c r="CZ20" s="57" t="n">
        <f aca="false">CR20*(1-f_bleed_fatal)</f>
        <v>6.0882947157824E-005</v>
      </c>
      <c r="DA20" s="57" t="n">
        <f aca="false">CS20*(1-f_bleed_fatal)</f>
        <v>0.000566141478603797</v>
      </c>
      <c r="DB20" s="57" t="n">
        <f aca="false">CT20*f_mi_fatal</f>
        <v>1.67682090293883E-005</v>
      </c>
      <c r="DC20" s="57" t="n">
        <f aca="false">CT20-DB20</f>
        <v>0.000121812030882912</v>
      </c>
      <c r="DD20" s="57" t="n">
        <f aca="false">CJ20-CQ20-CR20-CS20-DB20</f>
        <v>0.0637467644362825</v>
      </c>
      <c r="DE20" s="19" t="n">
        <f aca="false">CW20*c_stroke_fatal+CX20*c_stroke_major+CY20*c_stroke_minor+CR20*c_ich+CS20*c_major_bleed+DB20*c_mi_fatal+DC20*c_mi_nonfatal+CU20*c_tia+CV20*c_minor_bleed</f>
        <v>26.7384260744749</v>
      </c>
      <c r="DF20" s="57" t="n">
        <f aca="false">dt*(DC20*dec_mi+DA20*dec_major_bleed+CV20*dec_minor_bleed+CU20*dec_tia)</f>
        <v>2.7928272963341E-005</v>
      </c>
      <c r="DG20" s="57" t="n">
        <f aca="false">J20*CI20+CW20+CR20-CZ20+CS20-DA20+DB20</f>
        <v>0.000944382440526271</v>
      </c>
      <c r="DH20" s="57" t="n">
        <f aca="false">AG20</f>
        <v>0.7299570151644</v>
      </c>
      <c r="DI20" s="57" t="n">
        <f aca="false">AB20+AC20+BF20+BA20+BB20+BC20+CY20+CZ20</f>
        <v>0.027634914726525</v>
      </c>
      <c r="DJ20" s="57" t="n">
        <f aca="false">AA20+AZ20+BY20+CX20+CE20+BZ20+CA20+CB20</f>
        <v>0.0104791025940402</v>
      </c>
      <c r="DK20" s="57" t="n">
        <f aca="false">AD20+DD20+DA20</f>
        <v>0.0688405539954446</v>
      </c>
      <c r="DL20" s="57" t="n">
        <f aca="false">K20+AJ20+BI20+CH20+DG20</f>
        <v>0.16308841351959</v>
      </c>
      <c r="DM20" s="58" t="n">
        <f aca="false">SUM(DH20:DL20)</f>
        <v>1</v>
      </c>
      <c r="DN20" s="19" t="n">
        <f aca="false">dt*(G20*Apixaban!$H$2+(H20+I20+J20)*c_aspirin)</f>
        <v>56.7039576235501</v>
      </c>
      <c r="DO20" s="19" t="n">
        <f aca="false">dt*(H20*c_lt_minor_stroke+I20*c_lt_major_stroke)</f>
        <v>135.909110924265</v>
      </c>
      <c r="DP20" s="19" t="n">
        <f aca="false">AH20+BG20+CF20+DE20</f>
        <v>223.250384870147</v>
      </c>
      <c r="DQ20" s="19" t="n">
        <f aca="false">DN20+DO20+DP20</f>
        <v>415.863453417962</v>
      </c>
      <c r="DR20" s="57" t="n">
        <f aca="false">dt*(G20*(u_af-dec_per_year_over_70*MAX(B20-ref_age,0))+H20*(u_minor_stroke-dec_per_year_over_70*MAX(B20-ref_age,0))+I20*(u_major_stroke-dec_per_year_over_70*MAX(B20-ref_age,0))+J20*(u_af-dec_per_year_over_70*MAX(B20-ref_age,0)))-AI20-BH20-CG20-DF20</f>
        <v>0.169785922089104</v>
      </c>
      <c r="DS20" s="57" t="n">
        <f aca="false">dt*(G20+H20+I20+J20)</f>
        <v>0.212217858595753</v>
      </c>
      <c r="DT20" s="19" t="n">
        <f aca="false">DQ20*C20</f>
        <v>394.747699616782</v>
      </c>
      <c r="DU20" s="19" t="n">
        <f aca="false">DN20*C20</f>
        <v>53.8247750483792</v>
      </c>
      <c r="DV20" s="19" t="n">
        <f aca="false">DP20*C20</f>
        <v>211.914692531251</v>
      </c>
      <c r="DW20" s="19" t="n">
        <f aca="false">DO20*C20</f>
        <v>129.008232037152</v>
      </c>
      <c r="DX20" s="57" t="n">
        <f aca="false">DR20*C20</f>
        <v>0.161164924739437</v>
      </c>
      <c r="DY20" s="57" t="n">
        <f aca="false">DS20*C20</f>
        <v>0.201442350391098</v>
      </c>
      <c r="DZ20" s="57" t="n">
        <f aca="false">T20+AS20+BR20+CQ20</f>
        <v>0.00377391963697532</v>
      </c>
      <c r="EA20" s="57" t="n">
        <f aca="false">U20+AT20+BS20+CR20</f>
        <v>0.000725406401806754</v>
      </c>
      <c r="EB20" s="57" t="n">
        <f aca="false">V20+AU20+BT20+CS20</f>
        <v>0.00589691086707181</v>
      </c>
      <c r="EC20" s="57" t="n">
        <f aca="false">G20*dt*C20</f>
        <v>0.177250826233129</v>
      </c>
    </row>
    <row r="21" customFormat="false" ht="15" hidden="false" customHeight="false" outlineLevel="0" collapsed="false">
      <c r="A21" s="8" t="n">
        <v>15</v>
      </c>
      <c r="B21" s="54" t="n">
        <f aca="false">start_age+A21*dt</f>
        <v>73.75</v>
      </c>
      <c r="C21" s="16" t="n">
        <f aca="false">(1+disc_rate)^-(A21*dt)</f>
        <v>0.945697719077532</v>
      </c>
      <c r="D21" s="55" t="n">
        <f aca="false">IF(A21*dt&gt;=wane_start,(1-wane_decay)^(A21*dt-wane_start),1)</f>
        <v>1</v>
      </c>
      <c r="E21" s="25" t="n">
        <f aca="false">MIN(p_nonvasc_death*MIN(EXP(gomp_int+gomp_slope*INT(B21)),1)/qx_ref,0.999)</f>
        <v>0.0451688732868535</v>
      </c>
      <c r="F21" s="55" t="n">
        <f aca="false">rr_stroke_per_decade^((B21-ref_age)/10)</f>
        <v>1.1642177654609</v>
      </c>
      <c r="G21" s="57" t="n">
        <f aca="false">DH20</f>
        <v>0.7299570151644</v>
      </c>
      <c r="H21" s="57" t="n">
        <f aca="false">DI20</f>
        <v>0.027634914726525</v>
      </c>
      <c r="I21" s="57" t="n">
        <f aca="false">DJ20</f>
        <v>0.0104791025940402</v>
      </c>
      <c r="J21" s="57" t="n">
        <f aca="false">DK20</f>
        <v>0.0688405539954446</v>
      </c>
      <c r="K21" s="57" t="n">
        <f aca="false">DL20</f>
        <v>0.16308841351959</v>
      </c>
      <c r="L21" s="57" t="n">
        <f aca="false">1-EXP(LN(1-E21)*dt)</f>
        <v>0.0114886913269703</v>
      </c>
      <c r="M21" s="57" t="n">
        <f aca="false">G21*(1-L21)</f>
        <v>0.721570764335219</v>
      </c>
      <c r="N21" s="57" t="n">
        <f aca="false">IF(Apixaban!$B$2=1,EXP(LN(or_apx_stroke)*D21)*(1-EXP(-r_stroke*F21*dt))/(1-(1-EXP(-r_stroke*F21*dt))+EXP(LN(or_apx_stroke)*D21)*(1-EXP(-r_stroke*F21*dt))),(1-EXP(-r_stroke*F21*dt)))</f>
        <v>0.00370362834488266</v>
      </c>
      <c r="O21" s="57" t="n">
        <f aca="false">IF(Apixaban!$B$2=1,EXP(LN(or_apx_ich)*D21)*(1-EXP(-r_ich*dt))/(1-(1-EXP(-r_ich*dt))+EXP(LN(or_apx_ich)*D21)*(1-EXP(-r_ich*dt))),(1-EXP(-r_ich*dt)))</f>
        <v>0.000843513249640701</v>
      </c>
      <c r="P21" s="57" t="n">
        <f aca="false">IF(Apixaban!$B$2=1,EXP(LN(or_apx_mb)*D21)*(1-EXP(-r_mb*dt))/(1-(1-EXP(-r_mb*dt))+EXP(LN(or_apx_mb)*D21)*(1-EXP(-r_mb*dt))),(1-EXP(-r_mb*dt)))</f>
        <v>0.00669446907979895</v>
      </c>
      <c r="Q21" s="57" t="n">
        <f aca="false">IF(Apixaban!$B$2=1,EXP(LN(or_apx_mi)*D21)*(1-EXP(-r_mi*dt))/(1-(1-EXP(-r_mi*dt))+EXP(LN(or_apx_mi)*D21)*(1-EXP(-r_mi*dt))),(1-EXP(-r_mi*dt)))</f>
        <v>0.00132321915530843</v>
      </c>
      <c r="R21" s="57" t="n">
        <f aca="false">(1-EXP(-r_tia*dt))</f>
        <v>0.0020060281549299</v>
      </c>
      <c r="S21" s="57" t="n">
        <f aca="false">(1-EXP(-r_minor*dt))</f>
        <v>0.0437937690785545</v>
      </c>
      <c r="T21" s="57" t="n">
        <f aca="false">M21*N21</f>
        <v>0.00267242993563056</v>
      </c>
      <c r="U21" s="57" t="n">
        <f aca="false">M21*O21</f>
        <v>0.000608654500270125</v>
      </c>
      <c r="V21" s="57" t="n">
        <f aca="false">M21*P21</f>
        <v>0.00483053317072902</v>
      </c>
      <c r="W21" s="57" t="n">
        <f aca="false">M21*Q21</f>
        <v>0.000954796257278906</v>
      </c>
      <c r="X21" s="57" t="n">
        <f aca="false">M21*R21</f>
        <v>0.00144749126903073</v>
      </c>
      <c r="Y21" s="57" t="n">
        <f aca="false">M21*S21</f>
        <v>0.0316003034271326</v>
      </c>
      <c r="Z21" s="57" t="n">
        <f aca="false">T21*f_stroke_fatal</f>
        <v>0.000633365894744444</v>
      </c>
      <c r="AA21" s="57" t="n">
        <f aca="false">T21*(1-f_stroke_fatal)*f_stroke_major</f>
        <v>0.000679008325615078</v>
      </c>
      <c r="AB21" s="57" t="n">
        <f aca="false">T21*(1-f_stroke_fatal)*(1-f_stroke_major)</f>
        <v>0.00136005571527104</v>
      </c>
      <c r="AC21" s="57" t="n">
        <f aca="false">U21*(1-f_bleed_fatal)</f>
        <v>0.000557527522247435</v>
      </c>
      <c r="AD21" s="57" t="n">
        <f aca="false">V21*(1-f_bleed_fatal)</f>
        <v>0.00442476838438778</v>
      </c>
      <c r="AE21" s="57" t="n">
        <f aca="false">W21*f_mi_fatal</f>
        <v>0.000115530347130748</v>
      </c>
      <c r="AF21" s="57" t="n">
        <f aca="false">W21-AE21</f>
        <v>0.000839265910148158</v>
      </c>
      <c r="AG21" s="57" t="n">
        <f aca="false">M21-T21-U21-V21-AE21</f>
        <v>0.713343616381459</v>
      </c>
      <c r="AH21" s="19" t="n">
        <f aca="false">Z21*c_stroke_fatal+AA21*c_stroke_major+AB21*c_stroke_minor+U21*c_ich+V21*c_major_bleed+AE21*c_mi_fatal+AF21*c_mi_nonfatal+X21*c_tia+Y21*c_minor_bleed</f>
        <v>168.856196693116</v>
      </c>
      <c r="AI21" s="57" t="n">
        <f aca="false">dt*(AF21*dec_mi+AD21*dec_major_bleed+Y21*dec_minor_bleed+X21*dec_tia)</f>
        <v>0.000267970618848771</v>
      </c>
      <c r="AJ21" s="57" t="n">
        <f aca="false">G21*L21+Z21+U21-AC21+V21-AD21+AE21</f>
        <v>0.00959203883541947</v>
      </c>
      <c r="AK21" s="57" t="n">
        <f aca="false">1-EXP(LN(1-E21)*hr_death_prior_stroke*dt)</f>
        <v>0.026226892117848</v>
      </c>
      <c r="AL21" s="57" t="n">
        <f aca="false">H21*(1-AK21)</f>
        <v>0.0269101367993065</v>
      </c>
      <c r="AM21" s="57" t="n">
        <f aca="false">(1-EXP(-r_stroke*F21*rr_stroke_prior*rr_asa_stroke*dt))</f>
        <v>0.0165921078574436</v>
      </c>
      <c r="AN21" s="57" t="n">
        <f aca="false">(1-EXP(-r_ich*rr_asa_ich*dt))</f>
        <v>0.00102357767802375</v>
      </c>
      <c r="AO21" s="57" t="n">
        <f aca="false">(1-EXP(-r_mb*rr_asa_mb*dt))</f>
        <v>0.00951809672747972</v>
      </c>
      <c r="AP21" s="57" t="n">
        <f aca="false">(1-EXP(-r_mi*rr_asa_mi*dt))</f>
        <v>0.00213413516393479</v>
      </c>
      <c r="AQ21" s="57" t="n">
        <f aca="false">(1-EXP(-r_tia*rr_asa_tia*dt))</f>
        <v>0.00312764565589152</v>
      </c>
      <c r="AR21" s="57" t="n">
        <f aca="false">(1-EXP(-r_minor*rr_asa_minor*dt))</f>
        <v>0.0278181950466747</v>
      </c>
      <c r="AS21" s="57" t="n">
        <f aca="false">AL21*AM21</f>
        <v>0.000446495892232655</v>
      </c>
      <c r="AT21" s="57" t="n">
        <f aca="false">AL21*AN21</f>
        <v>2.75446153403355E-005</v>
      </c>
      <c r="AU21" s="57" t="n">
        <f aca="false">AL21*AO21</f>
        <v>0.000256133285005511</v>
      </c>
      <c r="AV21" s="57" t="n">
        <f aca="false">AL21*AP21</f>
        <v>5.74298692096957E-005</v>
      </c>
      <c r="AW21" s="57" t="n">
        <f aca="false">AL21*AQ21</f>
        <v>8.41653724597976E-005</v>
      </c>
      <c r="AX21" s="57" t="n">
        <f aca="false">AL21*AR21</f>
        <v>0.000748591434215807</v>
      </c>
      <c r="AY21" s="57" t="n">
        <f aca="false">AS21*f_stroke_fatal_recur</f>
        <v>0.000166136656540849</v>
      </c>
      <c r="AZ21" s="57" t="n">
        <f aca="false">AS21*(1-f_stroke_fatal_recur)*f_stroke_major</f>
        <v>9.33596254853716E-005</v>
      </c>
      <c r="BA21" s="57" t="n">
        <f aca="false">AS21*(1-f_stroke_fatal_recur)*(1-f_stroke_major)</f>
        <v>0.000186999610206435</v>
      </c>
      <c r="BB21" s="57" t="n">
        <f aca="false">AT21*(1-f_bleed_fatal)</f>
        <v>2.52308676517473E-005</v>
      </c>
      <c r="BC21" s="57" t="n">
        <f aca="false">AU21*(1-f_bleed_fatal)</f>
        <v>0.000234618089065048</v>
      </c>
      <c r="BD21" s="57" t="n">
        <f aca="false">AV21*f_mi_fatal</f>
        <v>6.94901417437318E-006</v>
      </c>
      <c r="BE21" s="57" t="n">
        <f aca="false">AV21-BD21</f>
        <v>5.04808550353225E-005</v>
      </c>
      <c r="BF21" s="57" t="n">
        <f aca="false">AL21-AS21-AT21-AU21-BD21</f>
        <v>0.0261730139925536</v>
      </c>
      <c r="BG21" s="19" t="n">
        <f aca="false">AY21*c_stroke_fatal+AZ21*c_stroke_major+BA21*c_stroke_minor+AT21*c_ich+AU21*c_major_bleed+BD21*c_mi_fatal+BE21*c_mi_nonfatal+AW21*c_tia+AX21*c_minor_bleed</f>
        <v>19.0186080838839</v>
      </c>
      <c r="BH21" s="57" t="n">
        <f aca="false">dt*(BE21*dec_mi+BC21*dec_major_bleed+AX21*dec_minor_bleed+AW21*dec_tia)</f>
        <v>1.15739232703911E-005</v>
      </c>
      <c r="BI21" s="57" t="n">
        <f aca="false">H21*AK21+AY21+AT21-BB21+AU21-BC21+BD21</f>
        <v>0.000921692541562774</v>
      </c>
      <c r="BJ21" s="57" t="n">
        <f aca="false">1-EXP(LN(1-E21)*hr_death_prior_stroke*dt)</f>
        <v>0.026226892117848</v>
      </c>
      <c r="BK21" s="57" t="n">
        <f aca="false">I21*(1-BJ21)</f>
        <v>0.0102042683008144</v>
      </c>
      <c r="BL21" s="57" t="n">
        <f aca="false">(1-EXP(-r_stroke*F21*rr_stroke_prior*rr_asa_stroke*dt))</f>
        <v>0.0165921078574436</v>
      </c>
      <c r="BM21" s="57" t="n">
        <f aca="false">(1-EXP(-r_ich*rr_asa_ich*dt))</f>
        <v>0.00102357767802375</v>
      </c>
      <c r="BN21" s="57" t="n">
        <f aca="false">(1-EXP(-r_mb*rr_asa_mb*dt))</f>
        <v>0.00951809672747972</v>
      </c>
      <c r="BO21" s="57" t="n">
        <f aca="false">(1-EXP(-r_mi*rr_asa_mi*dt))</f>
        <v>0.00213413516393479</v>
      </c>
      <c r="BP21" s="57" t="n">
        <f aca="false">(1-EXP(-r_tia*rr_asa_tia*dt))</f>
        <v>0.00312764565589152</v>
      </c>
      <c r="BQ21" s="57" t="n">
        <f aca="false">(1-EXP(-r_minor*rr_asa_minor*dt))</f>
        <v>0.0278181950466747</v>
      </c>
      <c r="BR21" s="57" t="n">
        <f aca="false">BK21*BL21</f>
        <v>0.000169310320253405</v>
      </c>
      <c r="BS21" s="57" t="n">
        <f aca="false">BK21*BM21</f>
        <v>1.04448612532789E-005</v>
      </c>
      <c r="BT21" s="57" t="n">
        <f aca="false">BK21*BN21</f>
        <v>9.71252127203065E-005</v>
      </c>
      <c r="BU21" s="57" t="n">
        <f aca="false">BK21*BO21</f>
        <v>2.17772878029931E-005</v>
      </c>
      <c r="BV21" s="57" t="n">
        <f aca="false">BK21*BP21</f>
        <v>3.19153354225937E-005</v>
      </c>
      <c r="BW21" s="57" t="n">
        <f aca="false">BK21*BQ21</f>
        <v>0.000283864325900655</v>
      </c>
      <c r="BX21" s="57" t="n">
        <f aca="false">BR21*f_stroke_fatal_recur</f>
        <v>6.29986770630895E-005</v>
      </c>
      <c r="BY21" s="57" t="n">
        <f aca="false">BR21*(1-f_stroke_fatal_recur)*f_stroke_major</f>
        <v>3.54017771823751E-005</v>
      </c>
      <c r="BZ21" s="57" t="n">
        <f aca="false">BR21*(1-f_stroke_fatal_recur)*(1-f_stroke_major)</f>
        <v>7.09098660079405E-005</v>
      </c>
      <c r="CA21" s="57" t="n">
        <f aca="false">BS21*(1-f_bleed_fatal)</f>
        <v>9.56749290800349E-006</v>
      </c>
      <c r="CB21" s="57" t="n">
        <f aca="false">BT21*(1-f_bleed_fatal)</f>
        <v>8.89666948518008E-005</v>
      </c>
      <c r="CC21" s="57" t="n">
        <f aca="false">BU21*f_mi_fatal</f>
        <v>2.63505182416217E-006</v>
      </c>
      <c r="CD21" s="57" t="n">
        <f aca="false">BU21-CC21</f>
        <v>1.9142235978831E-005</v>
      </c>
      <c r="CE21" s="57" t="n">
        <f aca="false">BK21-BR21-BS21-BT21-CC21</f>
        <v>0.00992475285476325</v>
      </c>
      <c r="CF21" s="19" t="n">
        <f aca="false">BX21*c_stroke_fatal+BY21*c_stroke_major+BZ21*c_stroke_minor+BS21*c_ich+BT21*c_major_bleed+CC21*c_mi_fatal+CD21*c_mi_nonfatal+BV21*c_tia+BW21*c_minor_bleed</f>
        <v>7.21181690912068</v>
      </c>
      <c r="CG21" s="57" t="n">
        <f aca="false">dt*(CD21*dec_mi+CB21*dec_major_bleed+BW21*dec_minor_bleed+BV21*dec_tia)</f>
        <v>4.3888078022388E-006</v>
      </c>
      <c r="CH21" s="57" t="n">
        <f aca="false">I21*BJ21+BX21+BS21-CA21+BT21-CB21+CC21</f>
        <v>0.000349503908326785</v>
      </c>
      <c r="CI21" s="57" t="n">
        <f aca="false">1-EXP(LN(1-E21)*dt)</f>
        <v>0.0114886913269703</v>
      </c>
      <c r="CJ21" s="57" t="n">
        <f aca="false">J21*(1-CI21)</f>
        <v>0.0680496661198133</v>
      </c>
      <c r="CK21" s="57" t="n">
        <f aca="false">(1-EXP(-r_stroke*F21*rr_asa_stroke*dt))</f>
        <v>0.00757628988736026</v>
      </c>
      <c r="CL21" s="57" t="n">
        <f aca="false">(1-EXP(-r_ich*rr_asa_ich*dt))</f>
        <v>0.00102357767802375</v>
      </c>
      <c r="CM21" s="57" t="n">
        <f aca="false">(1-EXP(-r_mb*rr_asa_mb*dt))</f>
        <v>0.00951809672747972</v>
      </c>
      <c r="CN21" s="57" t="n">
        <f aca="false">(1-EXP(-r_mi*rr_asa_mi*dt))</f>
        <v>0.00213413516393479</v>
      </c>
      <c r="CO21" s="57" t="n">
        <f aca="false">(1-EXP(-r_tia*rr_asa_tia*dt))</f>
        <v>0.00312764565589152</v>
      </c>
      <c r="CP21" s="57" t="n">
        <f aca="false">(1-EXP(-r_minor*rr_asa_minor*dt))</f>
        <v>0.0278181950466747</v>
      </c>
      <c r="CQ21" s="57" t="n">
        <f aca="false">CJ21*CK21</f>
        <v>0.000515563997261783</v>
      </c>
      <c r="CR21" s="57" t="n">
        <f aca="false">CJ21*CL21</f>
        <v>6.96541192372097E-005</v>
      </c>
      <c r="CS21" s="57" t="n">
        <f aca="false">CJ21*CM21</f>
        <v>0.000647703304401083</v>
      </c>
      <c r="CT21" s="57" t="n">
        <f aca="false">CJ21*CN21</f>
        <v>0.000145227185360316</v>
      </c>
      <c r="CU21" s="57" t="n">
        <f aca="false">CJ21*CO21</f>
        <v>0.000212835242624502</v>
      </c>
      <c r="CV21" s="57" t="n">
        <f aca="false">CJ21*CP21</f>
        <v>0.00189301888498206</v>
      </c>
      <c r="CW21" s="57" t="n">
        <f aca="false">CQ21*f_stroke_fatal</f>
        <v>0.000122188667351043</v>
      </c>
      <c r="CX21" s="57" t="n">
        <f aca="false">CQ21*(1-f_stroke_fatal)*f_stroke_major</f>
        <v>0.000130993984860277</v>
      </c>
      <c r="CY21" s="57" t="n">
        <f aca="false">CQ21*(1-f_stroke_fatal)*(1-f_stroke_major)</f>
        <v>0.000262381345050464</v>
      </c>
      <c r="CZ21" s="57" t="n">
        <f aca="false">CR21*(1-f_bleed_fatal)</f>
        <v>6.38031732212841E-005</v>
      </c>
      <c r="DA21" s="57" t="n">
        <f aca="false">CS21*(1-f_bleed_fatal)</f>
        <v>0.000593296226831392</v>
      </c>
      <c r="DB21" s="57" t="n">
        <f aca="false">CT21*f_mi_fatal</f>
        <v>1.75724894285982E-005</v>
      </c>
      <c r="DC21" s="57" t="n">
        <f aca="false">CT21-DB21</f>
        <v>0.000127654695931717</v>
      </c>
      <c r="DD21" s="57" t="n">
        <f aca="false">CJ21-CQ21-CR21-CS21-DB21</f>
        <v>0.0667991722094846</v>
      </c>
      <c r="DE21" s="19" t="n">
        <f aca="false">CW21*c_stroke_fatal+CX21*c_stroke_major+CY21*c_stroke_minor+CR21*c_ich+CS21*c_major_bleed+DB21*c_mi_fatal+DC21*c_mi_nonfatal+CU21*c_tia+CV21*c_minor_bleed</f>
        <v>28.2123175913216</v>
      </c>
      <c r="DF21" s="57" t="n">
        <f aca="false">dt*(DC21*dec_mi+DA21*dec_major_bleed+CV21*dec_minor_bleed+CU21*dec_tia)</f>
        <v>2.92678413387608E-005</v>
      </c>
      <c r="DG21" s="57" t="n">
        <f aca="false">J21*CI21+CW21+CR21-CZ21+CS21-DA21+DB21</f>
        <v>0.000990907055996551</v>
      </c>
      <c r="DH21" s="57" t="n">
        <f aca="false">AG21</f>
        <v>0.713343616381459</v>
      </c>
      <c r="DI21" s="57" t="n">
        <f aca="false">AB21+AC21+BF21+BA21+BB21+BC21+CY21+CZ21</f>
        <v>0.0288636303152671</v>
      </c>
      <c r="DJ21" s="57" t="n">
        <f aca="false">AA21+AZ21+BY21+CX21+CE21+BZ21+CA21+CB21</f>
        <v>0.0110329606216741</v>
      </c>
      <c r="DK21" s="57" t="n">
        <f aca="false">AD21+DD21+DA21</f>
        <v>0.0718172368207038</v>
      </c>
      <c r="DL21" s="57" t="n">
        <f aca="false">K21+AJ21+BI21+CH21+DG21</f>
        <v>0.174942555860896</v>
      </c>
      <c r="DM21" s="58" t="n">
        <f aca="false">SUM(DH21:DL21)</f>
        <v>1</v>
      </c>
      <c r="DN21" s="19" t="n">
        <f aca="false">dt*(G21*Apixaban!$H$2+(H21+I21+J21)*c_aspirin)</f>
        <v>55.4870271329166</v>
      </c>
      <c r="DO21" s="19" t="n">
        <f aca="false">dt*(H21*c_lt_minor_stroke+I21*c_lt_major_stroke)</f>
        <v>143.12080584324</v>
      </c>
      <c r="DP21" s="19" t="n">
        <f aca="false">AH21+BG21+CF21+DE21</f>
        <v>223.298939277442</v>
      </c>
      <c r="DQ21" s="19" t="n">
        <f aca="false">DN21+DO21+DP21</f>
        <v>421.906772253598</v>
      </c>
      <c r="DR21" s="57" t="n">
        <f aca="false">dt*(G21*(u_af-dec_per_year_over_70*MAX(B21-ref_age,0))+H21*(u_minor_stroke-dec_per_year_over_70*MAX(B21-ref_age,0))+I21*(u_major_stroke-dec_per_year_over_70*MAX(B21-ref_age,0))+J21*(u_af-dec_per_year_over_70*MAX(B21-ref_age,0)))-AI21-BH21-CG21-DF21</f>
        <v>0.167268655117952</v>
      </c>
      <c r="DS21" s="57" t="n">
        <f aca="false">dt*(G21+H21+I21+J21)</f>
        <v>0.209227896620102</v>
      </c>
      <c r="DT21" s="19" t="n">
        <f aca="false">DQ21*C21</f>
        <v>398.996272183592</v>
      </c>
      <c r="DU21" s="19" t="n">
        <f aca="false">DN21*C21</f>
        <v>52.4739549979924</v>
      </c>
      <c r="DV21" s="19" t="n">
        <f aca="false">DP21*C21</f>
        <v>211.173297547109</v>
      </c>
      <c r="DW21" s="19" t="n">
        <f aca="false">DO21*C21</f>
        <v>135.34901963849</v>
      </c>
      <c r="DX21" s="57" t="n">
        <f aca="false">DR21*C21</f>
        <v>0.158185585618213</v>
      </c>
      <c r="DY21" s="57" t="n">
        <f aca="false">DS21*C21</f>
        <v>0.19786634460102</v>
      </c>
      <c r="DZ21" s="57" t="n">
        <f aca="false">T21+AS21+BR21+CQ21</f>
        <v>0.00380380014537841</v>
      </c>
      <c r="EA21" s="57" t="n">
        <f aca="false">U21+AT21+BS21+CR21</f>
        <v>0.000716298096100949</v>
      </c>
      <c r="EB21" s="57" t="n">
        <f aca="false">V21+AU21+BT21+CS21</f>
        <v>0.00583149497285592</v>
      </c>
      <c r="EC21" s="57" t="n">
        <f aca="false">G21*dt*C21</f>
        <v>0.172579671066404</v>
      </c>
    </row>
    <row r="22" customFormat="false" ht="15" hidden="false" customHeight="false" outlineLevel="0" collapsed="false">
      <c r="A22" s="8" t="n">
        <v>16</v>
      </c>
      <c r="B22" s="54" t="n">
        <f aca="false">start_age+A22*dt</f>
        <v>74</v>
      </c>
      <c r="C22" s="16" t="n">
        <f aca="false">(1+disc_rate)^-(A22*dt)</f>
        <v>0.942184230286724</v>
      </c>
      <c r="D22" s="55" t="n">
        <f aca="false">IF(A22*dt&gt;=wane_start,(1-wane_decay)^(A22*dt-wane_start),1)</f>
        <v>1</v>
      </c>
      <c r="E22" s="25" t="n">
        <f aca="false">MIN(p_nonvasc_death*MIN(EXP(gomp_int+gomp_slope*INT(B22)),1)/qx_ref,0.999)</f>
        <v>0.0501511654557567</v>
      </c>
      <c r="F22" s="55" t="n">
        <f aca="false">rr_stroke_per_decade^((B22-ref_age)/10)</f>
        <v>1.17607902252467</v>
      </c>
      <c r="G22" s="57" t="n">
        <f aca="false">DH21</f>
        <v>0.713343616381459</v>
      </c>
      <c r="H22" s="57" t="n">
        <f aca="false">DI21</f>
        <v>0.0288636303152671</v>
      </c>
      <c r="I22" s="57" t="n">
        <f aca="false">DJ21</f>
        <v>0.0110329606216741</v>
      </c>
      <c r="J22" s="57" t="n">
        <f aca="false">DK21</f>
        <v>0.0718172368207038</v>
      </c>
      <c r="K22" s="57" t="n">
        <f aca="false">DL21</f>
        <v>0.174942555860896</v>
      </c>
      <c r="L22" s="57" t="n">
        <f aca="false">1-EXP(LN(1-E22)*dt)</f>
        <v>0.0127807309653863</v>
      </c>
      <c r="M22" s="57" t="n">
        <f aca="false">G22*(1-L22)</f>
        <v>0.704226563534612</v>
      </c>
      <c r="N22" s="57" t="n">
        <f aca="false">IF(Apixaban!$B$2=1,EXP(LN(or_apx_stroke)*D22)*(1-EXP(-r_stroke*F22*dt))/(1-(1-EXP(-r_stroke*F22*dt))+EXP(LN(or_apx_stroke)*D22)*(1-EXP(-r_stroke*F22*dt))),(1-EXP(-r_stroke*F22*dt)))</f>
        <v>0.00374130960424339</v>
      </c>
      <c r="O22" s="57" t="n">
        <f aca="false">IF(Apixaban!$B$2=1,EXP(LN(or_apx_ich)*D22)*(1-EXP(-r_ich*dt))/(1-(1-EXP(-r_ich*dt))+EXP(LN(or_apx_ich)*D22)*(1-EXP(-r_ich*dt))),(1-EXP(-r_ich*dt)))</f>
        <v>0.000843513249640701</v>
      </c>
      <c r="P22" s="57" t="n">
        <f aca="false">IF(Apixaban!$B$2=1,EXP(LN(or_apx_mb)*D22)*(1-EXP(-r_mb*dt))/(1-(1-EXP(-r_mb*dt))+EXP(LN(or_apx_mb)*D22)*(1-EXP(-r_mb*dt))),(1-EXP(-r_mb*dt)))</f>
        <v>0.00669446907979895</v>
      </c>
      <c r="Q22" s="57" t="n">
        <f aca="false">IF(Apixaban!$B$2=1,EXP(LN(or_apx_mi)*D22)*(1-EXP(-r_mi*dt))/(1-(1-EXP(-r_mi*dt))+EXP(LN(or_apx_mi)*D22)*(1-EXP(-r_mi*dt))),(1-EXP(-r_mi*dt)))</f>
        <v>0.00132321915530843</v>
      </c>
      <c r="R22" s="57" t="n">
        <f aca="false">(1-EXP(-r_tia*dt))</f>
        <v>0.0020060281549299</v>
      </c>
      <c r="S22" s="57" t="n">
        <f aca="false">(1-EXP(-r_minor*dt))</f>
        <v>0.0437937690785545</v>
      </c>
      <c r="T22" s="57" t="n">
        <f aca="false">M22*N22</f>
        <v>0.00263472960571536</v>
      </c>
      <c r="U22" s="57" t="n">
        <f aca="false">M22*O22</f>
        <v>0.000594024437090384</v>
      </c>
      <c r="V22" s="57" t="n">
        <f aca="false">M22*P22</f>
        <v>0.00471442295475553</v>
      </c>
      <c r="W22" s="57" t="n">
        <f aca="false">M22*Q22</f>
        <v>0.000931846078546026</v>
      </c>
      <c r="X22" s="57" t="n">
        <f aca="false">M22*R22</f>
        <v>0.00141269831389996</v>
      </c>
      <c r="Y22" s="57" t="n">
        <f aca="false">M22*S22</f>
        <v>0.0308407355024188</v>
      </c>
      <c r="Z22" s="57" t="n">
        <f aca="false">T22*f_stroke_fatal</f>
        <v>0.000624430916554541</v>
      </c>
      <c r="AA22" s="57" t="n">
        <f aca="false">T22*(1-f_stroke_fatal)*f_stroke_major</f>
        <v>0.000669429463490554</v>
      </c>
      <c r="AB22" s="57" t="n">
        <f aca="false">T22*(1-f_stroke_fatal)*(1-f_stroke_major)</f>
        <v>0.00134086922567027</v>
      </c>
      <c r="AC22" s="57" t="n">
        <f aca="false">U22*(1-f_bleed_fatal)</f>
        <v>0.000544126384374791</v>
      </c>
      <c r="AD22" s="57" t="n">
        <f aca="false">V22*(1-f_bleed_fatal)</f>
        <v>0.00431841142655607</v>
      </c>
      <c r="AE22" s="57" t="n">
        <f aca="false">W22*f_mi_fatal</f>
        <v>0.000112753375504069</v>
      </c>
      <c r="AF22" s="57" t="n">
        <f aca="false">W22-AE22</f>
        <v>0.000819092703041957</v>
      </c>
      <c r="AG22" s="57" t="n">
        <f aca="false">M22-T22-U22-V22-AE22</f>
        <v>0.696170633161546</v>
      </c>
      <c r="AH22" s="19" t="n">
        <f aca="false">Z22*c_stroke_fatal+AA22*c_stroke_major+AB22*c_stroke_minor+U22*c_ich+V22*c_major_bleed+AE22*c_mi_fatal+AF22*c_mi_nonfatal+X22*c_tia+Y22*c_minor_bleed</f>
        <v>165.77789372496</v>
      </c>
      <c r="AI22" s="57" t="n">
        <f aca="false">dt*(AF22*dec_mi+AD22*dec_major_bleed+Y22*dec_minor_bleed+X22*dec_tia)</f>
        <v>0.000261529481746636</v>
      </c>
      <c r="AJ22" s="57" t="n">
        <f aca="false">G22*L22+Z22+U22-AC22+V22-AD22+AE22</f>
        <v>0.0103001467198209</v>
      </c>
      <c r="AK22" s="57" t="n">
        <f aca="false">1-EXP(LN(1-E22)*hr_death_prior_stroke*dt)</f>
        <v>0.0291517901413427</v>
      </c>
      <c r="AL22" s="57" t="n">
        <f aca="false">H22*(1-AK22)</f>
        <v>0.0280222038215991</v>
      </c>
      <c r="AM22" s="57" t="n">
        <f aca="false">(1-EXP(-r_stroke*F22*rr_stroke_prior*rr_asa_stroke*dt))</f>
        <v>0.016759726694304</v>
      </c>
      <c r="AN22" s="57" t="n">
        <f aca="false">(1-EXP(-r_ich*rr_asa_ich*dt))</f>
        <v>0.00102357767802375</v>
      </c>
      <c r="AO22" s="57" t="n">
        <f aca="false">(1-EXP(-r_mb*rr_asa_mb*dt))</f>
        <v>0.00951809672747972</v>
      </c>
      <c r="AP22" s="57" t="n">
        <f aca="false">(1-EXP(-r_mi*rr_asa_mi*dt))</f>
        <v>0.00213413516393479</v>
      </c>
      <c r="AQ22" s="57" t="n">
        <f aca="false">(1-EXP(-r_tia*rr_asa_tia*dt))</f>
        <v>0.00312764565589152</v>
      </c>
      <c r="AR22" s="57" t="n">
        <f aca="false">(1-EXP(-r_minor*rr_asa_minor*dt))</f>
        <v>0.0278181950466747</v>
      </c>
      <c r="AS22" s="57" t="n">
        <f aca="false">AL22*AM22</f>
        <v>0.000469644477422084</v>
      </c>
      <c r="AT22" s="57" t="n">
        <f aca="false">AL22*AN22</f>
        <v>2.86829023208206E-005</v>
      </c>
      <c r="AU22" s="57" t="n">
        <f aca="false">AL22*AO22</f>
        <v>0.000266718046491132</v>
      </c>
      <c r="AV22" s="57" t="n">
        <f aca="false">AL22*AP22</f>
        <v>5.98031705466226E-005</v>
      </c>
      <c r="AW22" s="57" t="n">
        <f aca="false">AL22*AQ22</f>
        <v>8.76435240511313E-005</v>
      </c>
      <c r="AX22" s="57" t="n">
        <f aca="false">AL22*AR22</f>
        <v>0.000779527131546918</v>
      </c>
      <c r="AY22" s="57" t="n">
        <f aca="false">AS22*f_stroke_fatal_recur</f>
        <v>0.000174750013603983</v>
      </c>
      <c r="AZ22" s="57" t="n">
        <f aca="false">AS22*(1-f_stroke_fatal_recur)*f_stroke_major</f>
        <v>9.81998564514275E-005</v>
      </c>
      <c r="BA22" s="57" t="n">
        <f aca="false">AS22*(1-f_stroke_fatal_recur)*(1-f_stroke_major)</f>
        <v>0.000196694607366673</v>
      </c>
      <c r="BB22" s="57" t="n">
        <f aca="false">AT22*(1-f_bleed_fatal)</f>
        <v>2.62735385258717E-005</v>
      </c>
      <c r="BC22" s="57" t="n">
        <f aca="false">AU22*(1-f_bleed_fatal)</f>
        <v>0.000244313730585877</v>
      </c>
      <c r="BD22" s="57" t="n">
        <f aca="false">AV22*f_mi_fatal</f>
        <v>7.23618363614134E-006</v>
      </c>
      <c r="BE22" s="57" t="n">
        <f aca="false">AV22-BD22</f>
        <v>5.25669869104813E-005</v>
      </c>
      <c r="BF22" s="57" t="n">
        <f aca="false">AL22-AS22-AT22-AU22-BD22</f>
        <v>0.027249922211729</v>
      </c>
      <c r="BG22" s="19" t="n">
        <f aca="false">AY22*c_stroke_fatal+AZ22*c_stroke_major+BA22*c_stroke_minor+AT22*c_ich+AU22*c_major_bleed+BD22*c_mi_fatal+BE22*c_mi_nonfatal+AW22*c_tia+AX22*c_minor_bleed</f>
        <v>19.9665077413518</v>
      </c>
      <c r="BH22" s="57" t="n">
        <f aca="false">dt*(BE22*dec_mi+BC22*dec_major_bleed+AX22*dec_minor_bleed+AW22*dec_tia)</f>
        <v>1.20522180662718E-005</v>
      </c>
      <c r="BI22" s="57" t="n">
        <f aca="false">H22*AK22+AY22+AT22-BB22+AU22-BC22+BD22</f>
        <v>0.00104822637060829</v>
      </c>
      <c r="BJ22" s="57" t="n">
        <f aca="false">1-EXP(LN(1-E22)*hr_death_prior_stroke*dt)</f>
        <v>0.0291517901413427</v>
      </c>
      <c r="BK22" s="57" t="n">
        <f aca="false">I22*(1-BJ22)</f>
        <v>0.0107113300689933</v>
      </c>
      <c r="BL22" s="57" t="n">
        <f aca="false">(1-EXP(-r_stroke*F22*rr_stroke_prior*rr_asa_stroke*dt))</f>
        <v>0.016759726694304</v>
      </c>
      <c r="BM22" s="57" t="n">
        <f aca="false">(1-EXP(-r_ich*rr_asa_ich*dt))</f>
        <v>0.00102357767802375</v>
      </c>
      <c r="BN22" s="57" t="n">
        <f aca="false">(1-EXP(-r_mb*rr_asa_mb*dt))</f>
        <v>0.00951809672747972</v>
      </c>
      <c r="BO22" s="57" t="n">
        <f aca="false">(1-EXP(-r_mi*rr_asa_mi*dt))</f>
        <v>0.00213413516393479</v>
      </c>
      <c r="BP22" s="57" t="n">
        <f aca="false">(1-EXP(-r_tia*rr_asa_tia*dt))</f>
        <v>0.00312764565589152</v>
      </c>
      <c r="BQ22" s="57" t="n">
        <f aca="false">(1-EXP(-r_minor*rr_asa_minor*dt))</f>
        <v>0.0278181950466747</v>
      </c>
      <c r="BR22" s="57" t="n">
        <f aca="false">BK22*BL22</f>
        <v>0.000179518964488809</v>
      </c>
      <c r="BS22" s="57" t="n">
        <f aca="false">BK22*BM22</f>
        <v>1.09638783605661E-005</v>
      </c>
      <c r="BT22" s="57" t="n">
        <f aca="false">BK22*BN22</f>
        <v>0.000101951475676641</v>
      </c>
      <c r="BU22" s="57" t="n">
        <f aca="false">BK22*BO22</f>
        <v>2.28594261527508E-005</v>
      </c>
      <c r="BV22" s="57" t="n">
        <f aca="false">BK22*BP22</f>
        <v>3.35012449591073E-005</v>
      </c>
      <c r="BW22" s="57" t="n">
        <f aca="false">BK22*BQ22</f>
        <v>0.000297969869068569</v>
      </c>
      <c r="BX22" s="57" t="n">
        <f aca="false">BR22*f_stroke_fatal_recur</f>
        <v>6.67972114966411E-005</v>
      </c>
      <c r="BY22" s="57" t="n">
        <f aca="false">BR22*(1-f_stroke_fatal_recur)*f_stroke_major</f>
        <v>3.7536343746392E-005</v>
      </c>
      <c r="BZ22" s="57" t="n">
        <f aca="false">BR22*(1-f_stroke_fatal_recur)*(1-f_stroke_major)</f>
        <v>7.51854092457762E-005</v>
      </c>
      <c r="CA22" s="57" t="n">
        <f aca="false">BS22*(1-f_bleed_fatal)</f>
        <v>1.00429125782786E-005</v>
      </c>
      <c r="CB22" s="57" t="n">
        <f aca="false">BT22*(1-f_bleed_fatal)</f>
        <v>9.33875517198029E-005</v>
      </c>
      <c r="CC22" s="57" t="n">
        <f aca="false">BU22*f_mi_fatal</f>
        <v>2.76599056448284E-006</v>
      </c>
      <c r="CD22" s="57" t="n">
        <f aca="false">BU22-CC22</f>
        <v>2.00934355882679E-005</v>
      </c>
      <c r="CE22" s="57" t="n">
        <f aca="false">BK22-BR22-BS22-BT22-CC22</f>
        <v>0.0104161297599028</v>
      </c>
      <c r="CF22" s="19" t="n">
        <f aca="false">BX22*c_stroke_fatal+BY22*c_stroke_major+BZ22*c_stroke_minor+BS22*c_ich+BT22*c_major_bleed+CC22*c_mi_fatal+CD22*c_mi_nonfatal+BV22*c_tia+BW22*c_minor_bleed</f>
        <v>7.63208547422969</v>
      </c>
      <c r="CG22" s="57" t="n">
        <f aca="false">dt*(CD22*dec_mi+CB22*dec_major_bleed+BW22*dec_minor_bleed+BV22*dec_tia)</f>
        <v>4.6068926838587E-006</v>
      </c>
      <c r="CH22" s="57" t="n">
        <f aca="false">I22*BJ22+BX22+BS22-CA22+BT22-CB22+CC22</f>
        <v>0.000400678644480991</v>
      </c>
      <c r="CI22" s="57" t="n">
        <f aca="false">1-EXP(LN(1-E22)*dt)</f>
        <v>0.0127807309653863</v>
      </c>
      <c r="CJ22" s="57" t="n">
        <f aca="false">J22*(1-CI22)</f>
        <v>0.070899360038221</v>
      </c>
      <c r="CK22" s="57" t="n">
        <f aca="false">(1-EXP(-r_stroke*F22*rr_asa_stroke*dt))</f>
        <v>0.00765318235061152</v>
      </c>
      <c r="CL22" s="57" t="n">
        <f aca="false">(1-EXP(-r_ich*rr_asa_ich*dt))</f>
        <v>0.00102357767802375</v>
      </c>
      <c r="CM22" s="57" t="n">
        <f aca="false">(1-EXP(-r_mb*rr_asa_mb*dt))</f>
        <v>0.00951809672747972</v>
      </c>
      <c r="CN22" s="57" t="n">
        <f aca="false">(1-EXP(-r_mi*rr_asa_mi*dt))</f>
        <v>0.00213413516393479</v>
      </c>
      <c r="CO22" s="57" t="n">
        <f aca="false">(1-EXP(-r_tia*rr_asa_tia*dt))</f>
        <v>0.00312764565589152</v>
      </c>
      <c r="CP22" s="57" t="n">
        <f aca="false">(1-EXP(-r_minor*rr_asa_minor*dt))</f>
        <v>0.0278181950466747</v>
      </c>
      <c r="CQ22" s="57" t="n">
        <f aca="false">CJ22*CK22</f>
        <v>0.000542605730914164</v>
      </c>
      <c r="CR22" s="57" t="n">
        <f aca="false">CJ22*CL22</f>
        <v>7.25710023212918E-005</v>
      </c>
      <c r="CS22" s="57" t="n">
        <f aca="false">CJ22*CM22</f>
        <v>0.000674826966760197</v>
      </c>
      <c r="CT22" s="57" t="n">
        <f aca="false">CJ22*CN22</f>
        <v>0.00015130881735804</v>
      </c>
      <c r="CU22" s="57" t="n">
        <f aca="false">CJ22*CO22</f>
        <v>0.000221748075429031</v>
      </c>
      <c r="CV22" s="57" t="n">
        <f aca="false">CJ22*CP22</f>
        <v>0.00197229222622764</v>
      </c>
      <c r="CW22" s="57" t="n">
        <f aca="false">CQ22*f_stroke_fatal</f>
        <v>0.000128597558226657</v>
      </c>
      <c r="CX22" s="57" t="n">
        <f aca="false">CQ22*(1-f_stroke_fatal)*f_stroke_major</f>
        <v>0.00013786472150494</v>
      </c>
      <c r="CY22" s="57" t="n">
        <f aca="false">CQ22*(1-f_stroke_fatal)*(1-f_stroke_major)</f>
        <v>0.000276143451182567</v>
      </c>
      <c r="CZ22" s="57" t="n">
        <f aca="false">CR22*(1-f_bleed_fatal)</f>
        <v>6.64750381263033E-005</v>
      </c>
      <c r="DA22" s="57" t="n">
        <f aca="false">CS22*(1-f_bleed_fatal)</f>
        <v>0.000618141501552341</v>
      </c>
      <c r="DB22" s="57" t="n">
        <f aca="false">CT22*f_mi_fatal</f>
        <v>1.83083669003229E-005</v>
      </c>
      <c r="DC22" s="57" t="n">
        <f aca="false">CT22-DB22</f>
        <v>0.000133000450457718</v>
      </c>
      <c r="DD22" s="57" t="n">
        <f aca="false">CJ22-CQ22-CR22-CS22-DB22</f>
        <v>0.069591047971325</v>
      </c>
      <c r="DE22" s="19" t="n">
        <f aca="false">CW22*c_stroke_fatal+CX22*c_stroke_major+CY22*c_stroke_minor+CR22*c_ich+CS22*c_major_bleed+DB22*c_mi_fatal+DC22*c_mi_nonfatal+CU22*c_tia+CV22*c_minor_bleed</f>
        <v>29.5951803961281</v>
      </c>
      <c r="DF22" s="57" t="n">
        <f aca="false">dt*(DC22*dec_mi+DA22*dec_major_bleed+CV22*dec_minor_bleed+CU22*dec_tia)</f>
        <v>3.04934812900449E-005</v>
      </c>
      <c r="DG22" s="57" t="n">
        <f aca="false">J22*CI22+CW22+CR22-CZ22+CS22-DA22+DB22</f>
        <v>0.00112756413701268</v>
      </c>
      <c r="DH22" s="57" t="n">
        <f aca="false">AG22</f>
        <v>0.696170633161546</v>
      </c>
      <c r="DI22" s="57" t="n">
        <f aca="false">AB22+AC22+BF22+BA22+BB22+BC22+CY22+CZ22</f>
        <v>0.0299448181875613</v>
      </c>
      <c r="DJ22" s="57" t="n">
        <f aca="false">AA22+AZ22+BY22+CX22+CE22+BZ22+CA22+CB22</f>
        <v>0.01153777601864</v>
      </c>
      <c r="DK22" s="57" t="n">
        <f aca="false">AD22+DD22+DA22</f>
        <v>0.0745276008994334</v>
      </c>
      <c r="DL22" s="57" t="n">
        <f aca="false">K22+AJ22+BI22+CH22+DG22</f>
        <v>0.187819171732819</v>
      </c>
      <c r="DM22" s="58" t="n">
        <f aca="false">SUM(DH22:DL22)</f>
        <v>1</v>
      </c>
      <c r="DN22" s="19" t="n">
        <f aca="false">dt*(G22*Apixaban!$H$2+(H22+I22+J22)*c_aspirin)</f>
        <v>54.2943829102901</v>
      </c>
      <c r="DO22" s="19" t="n">
        <f aca="false">dt*(H22*c_lt_minor_stroke+I22*c_lt_major_stroke)</f>
        <v>150.05837807489</v>
      </c>
      <c r="DP22" s="19" t="n">
        <f aca="false">AH22+BG22+CF22+DE22</f>
        <v>222.971667336669</v>
      </c>
      <c r="DQ22" s="19" t="n">
        <f aca="false">DN22+DO22+DP22</f>
        <v>427.32442832185</v>
      </c>
      <c r="DR22" s="57" t="n">
        <f aca="false">dt*(G22*(u_af-dec_per_year_over_70*MAX(B22-ref_age,0))+H22*(u_minor_stroke-dec_per_year_over_70*MAX(B22-ref_age,0))+I22*(u_major_stroke-dec_per_year_over_70*MAX(B22-ref_age,0))+J22*(u_af-dec_per_year_over_70*MAX(B22-ref_age,0)))-AI22-BH22-CG22-DF22</f>
        <v>0.164776445400656</v>
      </c>
      <c r="DS22" s="57" t="n">
        <f aca="false">dt*(G22+H22+I22+J22)</f>
        <v>0.206264361034776</v>
      </c>
      <c r="DT22" s="19" t="n">
        <f aca="false">DQ22*C22</f>
        <v>402.618337581137</v>
      </c>
      <c r="DU22" s="19" t="n">
        <f aca="false">DN22*C22</f>
        <v>51.1553113712244</v>
      </c>
      <c r="DV22" s="19" t="n">
        <f aca="false">DP22*C22</f>
        <v>210.080388765347</v>
      </c>
      <c r="DW22" s="19" t="n">
        <f aca="false">DO22*C22</f>
        <v>141.382637444565</v>
      </c>
      <c r="DX22" s="57" t="n">
        <f aca="false">DR22*C22</f>
        <v>0.155249768379199</v>
      </c>
      <c r="DY22" s="57" t="n">
        <f aca="false">DS22*C22</f>
        <v>0.194339028237133</v>
      </c>
      <c r="DZ22" s="57" t="n">
        <f aca="false">T22+AS22+BR22+CQ22</f>
        <v>0.00382649877854042</v>
      </c>
      <c r="EA22" s="57" t="n">
        <f aca="false">U22+AT22+BS22+CR22</f>
        <v>0.000706242220093062</v>
      </c>
      <c r="EB22" s="57" t="n">
        <f aca="false">V22+AU22+BT22+CS22</f>
        <v>0.0057579194436835</v>
      </c>
      <c r="EC22" s="57" t="n">
        <f aca="false">G22*dt*C22</f>
        <v>0.168025276532578</v>
      </c>
    </row>
    <row r="23" customFormat="false" ht="15" hidden="false" customHeight="false" outlineLevel="0" collapsed="false">
      <c r="A23" s="8" t="n">
        <v>17</v>
      </c>
      <c r="B23" s="54" t="n">
        <f aca="false">start_age+A23*dt</f>
        <v>74.25</v>
      </c>
      <c r="C23" s="16" t="n">
        <f aca="false">(1+disc_rate)^-(A23*dt)</f>
        <v>0.938683794930681</v>
      </c>
      <c r="D23" s="55" t="n">
        <f aca="false">IF(A23*dt&gt;=wane_start,(1-wane_decay)^(A23*dt-wane_start),1)</f>
        <v>1</v>
      </c>
      <c r="E23" s="25" t="n">
        <f aca="false">MIN(p_nonvasc_death*MIN(EXP(gomp_int+gomp_slope*INT(B23)),1)/qx_ref,0.999)</f>
        <v>0.0501511654557567</v>
      </c>
      <c r="F23" s="55" t="n">
        <f aca="false">rr_stroke_per_decade^((B23-ref_age)/10)</f>
        <v>1.18806112417896</v>
      </c>
      <c r="G23" s="57" t="n">
        <f aca="false">DH22</f>
        <v>0.696170633161546</v>
      </c>
      <c r="H23" s="57" t="n">
        <f aca="false">DI22</f>
        <v>0.0299448181875613</v>
      </c>
      <c r="I23" s="57" t="n">
        <f aca="false">DJ22</f>
        <v>0.01153777601864</v>
      </c>
      <c r="J23" s="57" t="n">
        <f aca="false">DK22</f>
        <v>0.0745276008994334</v>
      </c>
      <c r="K23" s="57" t="n">
        <f aca="false">DL22</f>
        <v>0.187819171732819</v>
      </c>
      <c r="L23" s="57" t="n">
        <f aca="false">1-EXP(LN(1-E23)*dt)</f>
        <v>0.0127807309653863</v>
      </c>
      <c r="M23" s="57" t="n">
        <f aca="false">G23*(1-L23)</f>
        <v>0.687273063593106</v>
      </c>
      <c r="N23" s="57" t="n">
        <f aca="false">IF(Apixaban!$B$2=1,EXP(LN(or_apx_stroke)*D23)*(1-EXP(-r_stroke*F23*dt))/(1-(1-EXP(-r_stroke*F23*dt))+EXP(LN(or_apx_stroke)*D23)*(1-EXP(-r_stroke*F23*dt))),(1-EXP(-r_stroke*F23*dt)))</f>
        <v>0.00377937370276546</v>
      </c>
      <c r="O23" s="57" t="n">
        <f aca="false">IF(Apixaban!$B$2=1,EXP(LN(or_apx_ich)*D23)*(1-EXP(-r_ich*dt))/(1-(1-EXP(-r_ich*dt))+EXP(LN(or_apx_ich)*D23)*(1-EXP(-r_ich*dt))),(1-EXP(-r_ich*dt)))</f>
        <v>0.000843513249640701</v>
      </c>
      <c r="P23" s="57" t="n">
        <f aca="false">IF(Apixaban!$B$2=1,EXP(LN(or_apx_mb)*D23)*(1-EXP(-r_mb*dt))/(1-(1-EXP(-r_mb*dt))+EXP(LN(or_apx_mb)*D23)*(1-EXP(-r_mb*dt))),(1-EXP(-r_mb*dt)))</f>
        <v>0.00669446907979895</v>
      </c>
      <c r="Q23" s="57" t="n">
        <f aca="false">IF(Apixaban!$B$2=1,EXP(LN(or_apx_mi)*D23)*(1-EXP(-r_mi*dt))/(1-(1-EXP(-r_mi*dt))+EXP(LN(or_apx_mi)*D23)*(1-EXP(-r_mi*dt))),(1-EXP(-r_mi*dt)))</f>
        <v>0.00132321915530843</v>
      </c>
      <c r="R23" s="57" t="n">
        <f aca="false">(1-EXP(-r_tia*dt))</f>
        <v>0.0020060281549299</v>
      </c>
      <c r="S23" s="57" t="n">
        <f aca="false">(1-EXP(-r_minor*dt))</f>
        <v>0.0437937690785545</v>
      </c>
      <c r="T23" s="57" t="n">
        <f aca="false">M23*N23</f>
        <v>0.00259746174316284</v>
      </c>
      <c r="U23" s="57" t="n">
        <f aca="false">M23*O23</f>
        <v>0.000579723935261941</v>
      </c>
      <c r="V23" s="57" t="n">
        <f aca="false">M23*P23</f>
        <v>0.00460092827360275</v>
      </c>
      <c r="W23" s="57" t="n">
        <f aca="false">M23*Q23</f>
        <v>0.000909412882673906</v>
      </c>
      <c r="X23" s="57" t="n">
        <f aca="false">M23*R23</f>
        <v>0.00137868911569269</v>
      </c>
      <c r="Y23" s="57" t="n">
        <f aca="false">M23*S23</f>
        <v>0.0300982778409072</v>
      </c>
      <c r="Z23" s="57" t="n">
        <f aca="false">T23*f_stroke_fatal</f>
        <v>0.000615598433129593</v>
      </c>
      <c r="AA23" s="57" t="n">
        <f aca="false">T23*(1-f_stroke_fatal)*f_stroke_major</f>
        <v>0.000659960482241071</v>
      </c>
      <c r="AB23" s="57" t="n">
        <f aca="false">T23*(1-f_stroke_fatal)*(1-f_stroke_major)</f>
        <v>0.00132190282779218</v>
      </c>
      <c r="AC23" s="57" t="n">
        <f aca="false">U23*(1-f_bleed_fatal)</f>
        <v>0.000531027124699938</v>
      </c>
      <c r="AD23" s="57" t="n">
        <f aca="false">V23*(1-f_bleed_fatal)</f>
        <v>0.00421445029862012</v>
      </c>
      <c r="AE23" s="57" t="n">
        <f aca="false">W23*f_mi_fatal</f>
        <v>0.000110038958803543</v>
      </c>
      <c r="AF23" s="57" t="n">
        <f aca="false">W23-AE23</f>
        <v>0.000799373923870363</v>
      </c>
      <c r="AG23" s="57" t="n">
        <f aca="false">M23-T23-U23-V23-AE23</f>
        <v>0.679384910682275</v>
      </c>
      <c r="AH23" s="19" t="n">
        <f aca="false">Z23*c_stroke_fatal+AA23*c_stroke_major+AB23*c_stroke_minor+U23*c_ich+V23*c_major_bleed+AE23*c_mi_fatal+AF23*c_mi_nonfatal+X23*c_tia+Y23*c_minor_bleed</f>
        <v>162.753534459358</v>
      </c>
      <c r="AI23" s="57" t="n">
        <f aca="false">dt*(AF23*dec_mi+AD23*dec_major_bleed+Y23*dec_minor_bleed+X23*dec_tia)</f>
        <v>0.000255233439701247</v>
      </c>
      <c r="AJ23" s="57" t="n">
        <f aca="false">G23*L23+Z23+U23-AC23+V23-AD23+AE23</f>
        <v>0.0100583817459182</v>
      </c>
      <c r="AK23" s="57" t="n">
        <f aca="false">1-EXP(LN(1-E23)*hr_death_prior_stroke*dt)</f>
        <v>0.0291517901413427</v>
      </c>
      <c r="AL23" s="57" t="n">
        <f aca="false">H23*(1-AK23)</f>
        <v>0.0290718731319369</v>
      </c>
      <c r="AM23" s="57" t="n">
        <f aca="false">(1-EXP(-r_stroke*F23*rr_stroke_prior*rr_asa_stroke*dt))</f>
        <v>0.0169290242534061</v>
      </c>
      <c r="AN23" s="57" t="n">
        <f aca="false">(1-EXP(-r_ich*rr_asa_ich*dt))</f>
        <v>0.00102357767802375</v>
      </c>
      <c r="AO23" s="57" t="n">
        <f aca="false">(1-EXP(-r_mb*rr_asa_mb*dt))</f>
        <v>0.00951809672747972</v>
      </c>
      <c r="AP23" s="57" t="n">
        <f aca="false">(1-EXP(-r_mi*rr_asa_mi*dt))</f>
        <v>0.00213413516393479</v>
      </c>
      <c r="AQ23" s="57" t="n">
        <f aca="false">(1-EXP(-r_tia*rr_asa_tia*dt))</f>
        <v>0.00312764565589152</v>
      </c>
      <c r="AR23" s="57" t="n">
        <f aca="false">(1-EXP(-r_minor*rr_asa_minor*dt))</f>
        <v>0.0278181950466747</v>
      </c>
      <c r="AS23" s="57" t="n">
        <f aca="false">AL23*AM23</f>
        <v>0.000492158445342505</v>
      </c>
      <c r="AT23" s="57" t="n">
        <f aca="false">AL23*AN23</f>
        <v>2.97573203961889E-005</v>
      </c>
      <c r="AU23" s="57" t="n">
        <f aca="false">AL23*AO23</f>
        <v>0.000276708900518794</v>
      </c>
      <c r="AV23" s="57" t="n">
        <f aca="false">AL23*AP23</f>
        <v>6.20433067323175E-005</v>
      </c>
      <c r="AW23" s="57" t="n">
        <f aca="false">AL23*AQ23</f>
        <v>9.09265177097317E-005</v>
      </c>
      <c r="AX23" s="57" t="n">
        <f aca="false">AL23*AR23</f>
        <v>0.000808727037156401</v>
      </c>
      <c r="AY23" s="57" t="n">
        <f aca="false">AS23*f_stroke_fatal_recur</f>
        <v>0.000183127235927493</v>
      </c>
      <c r="AZ23" s="57" t="n">
        <f aca="false">AS23*(1-f_stroke_fatal_recur)*f_stroke_major</f>
        <v>0.000102907392735199</v>
      </c>
      <c r="BA23" s="57" t="n">
        <f aca="false">AS23*(1-f_stroke_fatal_recur)*(1-f_stroke_major)</f>
        <v>0.000206123816679813</v>
      </c>
      <c r="BB23" s="57" t="n">
        <f aca="false">AT23*(1-f_bleed_fatal)</f>
        <v>2.7257705482909E-005</v>
      </c>
      <c r="BC23" s="57" t="n">
        <f aca="false">AU23*(1-f_bleed_fatal)</f>
        <v>0.000253465352875215</v>
      </c>
      <c r="BD23" s="57" t="n">
        <f aca="false">AV23*f_mi_fatal</f>
        <v>7.50724011461042E-006</v>
      </c>
      <c r="BE23" s="57" t="n">
        <f aca="false">AV23-BD23</f>
        <v>5.45360666177071E-005</v>
      </c>
      <c r="BF23" s="57" t="n">
        <f aca="false">AL23-AS23-AT23-AU23-BD23</f>
        <v>0.0282657412255648</v>
      </c>
      <c r="BG23" s="19" t="n">
        <f aca="false">AY23*c_stroke_fatal+AZ23*c_stroke_major+BA23*c_stroke_minor+AT23*c_ich+AU23*c_major_bleed+BD23*c_mi_fatal+BE23*c_mi_nonfatal+AW23*c_tia+AX23*c_minor_bleed</f>
        <v>20.8841237728069</v>
      </c>
      <c r="BH23" s="57" t="n">
        <f aca="false">dt*(BE23*dec_mi+BC23*dec_major_bleed+AX23*dec_minor_bleed+AW23*dec_tia)</f>
        <v>1.25036758997172E-005</v>
      </c>
      <c r="BI23" s="57" t="n">
        <f aca="false">H23*AK23+AY23+AT23-BB23+AU23-BC23+BD23</f>
        <v>0.00108932269422341</v>
      </c>
      <c r="BJ23" s="57" t="n">
        <f aca="false">1-EXP(LN(1-E23)*hr_death_prior_stroke*dt)</f>
        <v>0.0291517901413427</v>
      </c>
      <c r="BK23" s="57" t="n">
        <f aca="false">I23*(1-BJ23)</f>
        <v>0.0112014291934468</v>
      </c>
      <c r="BL23" s="57" t="n">
        <f aca="false">(1-EXP(-r_stroke*F23*rr_stroke_prior*rr_asa_stroke*dt))</f>
        <v>0.0169290242534061</v>
      </c>
      <c r="BM23" s="57" t="n">
        <f aca="false">(1-EXP(-r_ich*rr_asa_ich*dt))</f>
        <v>0.00102357767802375</v>
      </c>
      <c r="BN23" s="57" t="n">
        <f aca="false">(1-EXP(-r_mb*rr_asa_mb*dt))</f>
        <v>0.00951809672747972</v>
      </c>
      <c r="BO23" s="57" t="n">
        <f aca="false">(1-EXP(-r_mi*rr_asa_mi*dt))</f>
        <v>0.00213413516393479</v>
      </c>
      <c r="BP23" s="57" t="n">
        <f aca="false">(1-EXP(-r_tia*rr_asa_tia*dt))</f>
        <v>0.00312764565589152</v>
      </c>
      <c r="BQ23" s="57" t="n">
        <f aca="false">(1-EXP(-r_minor*rr_asa_minor*dt))</f>
        <v>0.0278181950466747</v>
      </c>
      <c r="BR23" s="57" t="n">
        <f aca="false">BK23*BL23</f>
        <v>0.000189629266488673</v>
      </c>
      <c r="BS23" s="57" t="n">
        <f aca="false">BK23*BM23</f>
        <v>1.14655328843757E-005</v>
      </c>
      <c r="BT23" s="57" t="n">
        <f aca="false">BK23*BN23</f>
        <v>0.000106616286549242</v>
      </c>
      <c r="BU23" s="57" t="n">
        <f aca="false">BK23*BO23</f>
        <v>2.39053639280606E-005</v>
      </c>
      <c r="BV23" s="57" t="n">
        <f aca="false">BK23*BP23</f>
        <v>3.50341013566604E-005</v>
      </c>
      <c r="BW23" s="57" t="n">
        <f aca="false">BK23*BQ23</f>
        <v>0.000311603542104819</v>
      </c>
      <c r="BX23" s="57" t="n">
        <f aca="false">BR23*f_stroke_fatal_recur</f>
        <v>7.05591537677702E-005</v>
      </c>
      <c r="BY23" s="57" t="n">
        <f aca="false">BR23*(1-f_stroke_fatal_recur)*f_stroke_major</f>
        <v>3.96503475360605E-005</v>
      </c>
      <c r="BZ23" s="57" t="n">
        <f aca="false">BR23*(1-f_stroke_fatal_recur)*(1-f_stroke_major)</f>
        <v>7.94197651848419E-005</v>
      </c>
      <c r="CA23" s="57" t="n">
        <f aca="false">BS23*(1-f_bleed_fatal)</f>
        <v>1.05024281220881E-005</v>
      </c>
      <c r="CB23" s="57" t="n">
        <f aca="false">BT23*(1-f_bleed_fatal)</f>
        <v>9.76605184791055E-005</v>
      </c>
      <c r="CC23" s="57" t="n">
        <f aca="false">BU23*f_mi_fatal</f>
        <v>2.89254903529533E-006</v>
      </c>
      <c r="CD23" s="57" t="n">
        <f aca="false">BU23-CC23</f>
        <v>2.10128148927652E-005</v>
      </c>
      <c r="CE23" s="57" t="n">
        <f aca="false">BK23-BR23-BS23-BT23-CC23</f>
        <v>0.0108908255584892</v>
      </c>
      <c r="CF23" s="19" t="n">
        <f aca="false">BX23*c_stroke_fatal+BY23*c_stroke_major+BZ23*c_stroke_minor+BS23*c_ich+BT23*c_major_bleed+CC23*c_mi_fatal+CD23*c_mi_nonfatal+BV23*c_tia+BW23*c_minor_bleed</f>
        <v>8.04667909242114</v>
      </c>
      <c r="CG23" s="57" t="n">
        <f aca="false">dt*(CD23*dec_mi+CB23*dec_major_bleed+BW23*dec_minor_bleed+BV23*dec_tia)</f>
        <v>4.81768201219301E-006</v>
      </c>
      <c r="CH23" s="57" t="n">
        <f aca="false">I23*BJ23+BX23+BS23-CA23+BT23-CB23+CC23</f>
        <v>0.0004197174008287</v>
      </c>
      <c r="CI23" s="57" t="n">
        <f aca="false">1-EXP(LN(1-E23)*dt)</f>
        <v>0.0127807309653863</v>
      </c>
      <c r="CJ23" s="57" t="n">
        <f aca="false">J23*(1-CI23)</f>
        <v>0.073575083682842</v>
      </c>
      <c r="CK23" s="57" t="n">
        <f aca="false">(1-EXP(-r_stroke*F23*rr_asa_stroke*dt))</f>
        <v>0.00773085215897451</v>
      </c>
      <c r="CL23" s="57" t="n">
        <f aca="false">(1-EXP(-r_ich*rr_asa_ich*dt))</f>
        <v>0.00102357767802375</v>
      </c>
      <c r="CM23" s="57" t="n">
        <f aca="false">(1-EXP(-r_mb*rr_asa_mb*dt))</f>
        <v>0.00951809672747972</v>
      </c>
      <c r="CN23" s="57" t="n">
        <f aca="false">(1-EXP(-r_mi*rr_asa_mi*dt))</f>
        <v>0.00213413516393479</v>
      </c>
      <c r="CO23" s="57" t="n">
        <f aca="false">(1-EXP(-r_tia*rr_asa_tia*dt))</f>
        <v>0.00312764565589152</v>
      </c>
      <c r="CP23" s="57" t="n">
        <f aca="false">(1-EXP(-r_minor*rr_asa_minor*dt))</f>
        <v>0.0278181950466747</v>
      </c>
      <c r="CQ23" s="57" t="n">
        <f aca="false">CJ23*CK23</f>
        <v>0.00056879809453623</v>
      </c>
      <c r="CR23" s="57" t="n">
        <f aca="false">CJ23*CL23</f>
        <v>7.53098133164863E-005</v>
      </c>
      <c r="CS23" s="57" t="n">
        <f aca="false">CJ23*CM23</f>
        <v>0.000700294763225705</v>
      </c>
      <c r="CT23" s="57" t="n">
        <f aca="false">CJ23*CN23</f>
        <v>0.000157019173276998</v>
      </c>
      <c r="CU23" s="57" t="n">
        <f aca="false">CJ23*CO23</f>
        <v>0.000230116790862496</v>
      </c>
      <c r="CV23" s="57" t="n">
        <f aca="false">CJ23*CP23</f>
        <v>0.00204672602846471</v>
      </c>
      <c r="CW23" s="57" t="n">
        <f aca="false">CQ23*f_stroke_fatal</f>
        <v>0.000134805148405086</v>
      </c>
      <c r="CX23" s="57" t="n">
        <f aca="false">CQ23*(1-f_stroke_fatal)*f_stroke_major</f>
        <v>0.000144519651061671</v>
      </c>
      <c r="CY23" s="57" t="n">
        <f aca="false">CQ23*(1-f_stroke_fatal)*(1-f_stroke_major)</f>
        <v>0.000289473295069473</v>
      </c>
      <c r="CZ23" s="57" t="n">
        <f aca="false">CR23*(1-f_bleed_fatal)</f>
        <v>6.89837889979014E-005</v>
      </c>
      <c r="DA23" s="57" t="n">
        <f aca="false">CS23*(1-f_bleed_fatal)</f>
        <v>0.000641470003114746</v>
      </c>
      <c r="DB23" s="57" t="n">
        <f aca="false">CT23*f_mi_fatal</f>
        <v>1.89993199665168E-005</v>
      </c>
      <c r="DC23" s="57" t="n">
        <f aca="false">CT23-DB23</f>
        <v>0.000138019853310481</v>
      </c>
      <c r="DD23" s="57" t="n">
        <f aca="false">CJ23-CQ23-CR23-CS23-DB23</f>
        <v>0.0722116816917971</v>
      </c>
      <c r="DE23" s="19" t="n">
        <f aca="false">CW23*c_stroke_fatal+CX23*c_stroke_major+CY23*c_stroke_minor+CR23*c_ich+CS23*c_major_bleed+DB23*c_mi_fatal+DC23*c_mi_nonfatal+CU23*c_tia+CV23*c_minor_bleed</f>
        <v>30.9232344569811</v>
      </c>
      <c r="DF23" s="57" t="n">
        <f aca="false">dt*(DC23*dec_mi+DA23*dec_major_bleed+CV23*dec_minor_bleed+CU23*dec_tia)</f>
        <v>3.16442974448113E-005</v>
      </c>
      <c r="DG23" s="57" t="n">
        <f aca="false">J23*CI23+CW23+CR23-CZ23+CS23-DA23+DB23</f>
        <v>0.00117147246939249</v>
      </c>
      <c r="DH23" s="57" t="n">
        <f aca="false">AG23</f>
        <v>0.679384910682275</v>
      </c>
      <c r="DI23" s="57" t="n">
        <f aca="false">AB23+AC23+BF23+BA23+BB23+BC23+CY23+CZ23</f>
        <v>0.0309639751371622</v>
      </c>
      <c r="DJ23" s="57" t="n">
        <f aca="false">AA23+AZ23+BY23+CX23+CE23+BZ23+CA23+CB23</f>
        <v>0.0120254461438493</v>
      </c>
      <c r="DK23" s="57" t="n">
        <f aca="false">AD23+DD23+DA23</f>
        <v>0.0770676019935319</v>
      </c>
      <c r="DL23" s="57" t="n">
        <f aca="false">K23+AJ23+BI23+CH23+DG23</f>
        <v>0.200558066043182</v>
      </c>
      <c r="DM23" s="58" t="n">
        <f aca="false">SUM(DH23:DL23)</f>
        <v>1</v>
      </c>
      <c r="DN23" s="19" t="n">
        <f aca="false">dt*(G23*Apixaban!$H$2+(H23+I23+J23)*c_aspirin)</f>
        <v>53.0554848164834</v>
      </c>
      <c r="DO23" s="19" t="n">
        <f aca="false">dt*(H23*c_lt_minor_stroke+I23*c_lt_major_stroke)</f>
        <v>156.276951246131</v>
      </c>
      <c r="DP23" s="19" t="n">
        <f aca="false">AH23+BG23+CF23+DE23</f>
        <v>222.607571781568</v>
      </c>
      <c r="DQ23" s="19" t="n">
        <f aca="false">DN23+DO23+DP23</f>
        <v>431.940007844182</v>
      </c>
      <c r="DR23" s="57" t="n">
        <f aca="false">dt*(G23*(u_af-dec_per_year_over_70*MAX(B23-ref_age,0))+H23*(u_minor_stroke-dec_per_year_over_70*MAX(B23-ref_age,0))+I23*(u_major_stroke-dec_per_year_over_70*MAX(B23-ref_age,0))+J23*(u_af-dec_per_year_over_70*MAX(B23-ref_age,0)))-AI23-BH23-CG23-DF23</f>
        <v>0.162085959570698</v>
      </c>
      <c r="DS23" s="57" t="n">
        <f aca="false">dt*(G23+H23+I23+J23)</f>
        <v>0.203045207066795</v>
      </c>
      <c r="DT23" s="19" t="n">
        <f aca="false">DQ23*C23</f>
        <v>405.455085745565</v>
      </c>
      <c r="DU23" s="19" t="n">
        <f aca="false">DN23*C23</f>
        <v>49.8023238294238</v>
      </c>
      <c r="DV23" s="19" t="n">
        <f aca="false">DP23*C23</f>
        <v>208.958120260226</v>
      </c>
      <c r="DW23" s="19" t="n">
        <f aca="false">DO23*C23</f>
        <v>146.694641655915</v>
      </c>
      <c r="DX23" s="57" t="n">
        <f aca="false">DR23*C23</f>
        <v>0.152147463634804</v>
      </c>
      <c r="DY23" s="57" t="n">
        <f aca="false">DS23*C23</f>
        <v>0.190595245511945</v>
      </c>
      <c r="DZ23" s="57" t="n">
        <f aca="false">T23+AS23+BR23+CQ23</f>
        <v>0.00384804754953025</v>
      </c>
      <c r="EA23" s="57" t="n">
        <f aca="false">U23+AT23+BS23+CR23</f>
        <v>0.000696256601858992</v>
      </c>
      <c r="EB23" s="57" t="n">
        <f aca="false">V23+AU23+BT23+CS23</f>
        <v>0.00568454822389649</v>
      </c>
      <c r="EC23" s="57" t="n">
        <f aca="false">G23*dt*C23</f>
        <v>0.163371022963844</v>
      </c>
    </row>
    <row r="24" customFormat="false" ht="15" hidden="false" customHeight="false" outlineLevel="0" collapsed="false">
      <c r="A24" s="8" t="n">
        <v>18</v>
      </c>
      <c r="B24" s="54" t="n">
        <f aca="false">start_age+A24*dt</f>
        <v>74.5</v>
      </c>
      <c r="C24" s="16" t="n">
        <f aca="false">(1+disc_rate)^-(A24*dt)</f>
        <v>0.935196364512832</v>
      </c>
      <c r="D24" s="55" t="n">
        <f aca="false">IF(A24*dt&gt;=wane_start,(1-wane_decay)^(A24*dt-wane_start),1)</f>
        <v>1</v>
      </c>
      <c r="E24" s="25" t="n">
        <f aca="false">MIN(p_nonvasc_death*MIN(EXP(gomp_int+gomp_slope*INT(B24)),1)/qx_ref,0.999)</f>
        <v>0.0501511654557567</v>
      </c>
      <c r="F24" s="55" t="n">
        <f aca="false">rr_stroke_per_decade^((B24-ref_age)/10)</f>
        <v>1.20016530160988</v>
      </c>
      <c r="G24" s="57" t="n">
        <f aca="false">DH23</f>
        <v>0.679384910682275</v>
      </c>
      <c r="H24" s="57" t="n">
        <f aca="false">DI23</f>
        <v>0.0309639751371622</v>
      </c>
      <c r="I24" s="57" t="n">
        <f aca="false">DJ23</f>
        <v>0.0120254461438493</v>
      </c>
      <c r="J24" s="57" t="n">
        <f aca="false">DK23</f>
        <v>0.0770676019935319</v>
      </c>
      <c r="K24" s="57" t="n">
        <f aca="false">DL23</f>
        <v>0.200558066043182</v>
      </c>
      <c r="L24" s="57" t="n">
        <f aca="false">1-EXP(LN(1-E24)*dt)</f>
        <v>0.0127807309653863</v>
      </c>
      <c r="M24" s="57" t="n">
        <f aca="false">G24*(1-L24)</f>
        <v>0.670701874916902</v>
      </c>
      <c r="N24" s="57" t="n">
        <f aca="false">IF(Apixaban!$B$2=1,EXP(LN(or_apx_stroke)*D24)*(1-EXP(-r_stroke*F24*dt))/(1-(1-EXP(-r_stroke*F24*dt))+EXP(LN(or_apx_stroke)*D24)*(1-EXP(-r_stroke*F24*dt))),(1-EXP(-r_stroke*F24*dt)))</f>
        <v>0.00381782451908804</v>
      </c>
      <c r="O24" s="57" t="n">
        <f aca="false">IF(Apixaban!$B$2=1,EXP(LN(or_apx_ich)*D24)*(1-EXP(-r_ich*dt))/(1-(1-EXP(-r_ich*dt))+EXP(LN(or_apx_ich)*D24)*(1-EXP(-r_ich*dt))),(1-EXP(-r_ich*dt)))</f>
        <v>0.000843513249640701</v>
      </c>
      <c r="P24" s="57" t="n">
        <f aca="false">IF(Apixaban!$B$2=1,EXP(LN(or_apx_mb)*D24)*(1-EXP(-r_mb*dt))/(1-(1-EXP(-r_mb*dt))+EXP(LN(or_apx_mb)*D24)*(1-EXP(-r_mb*dt))),(1-EXP(-r_mb*dt)))</f>
        <v>0.00669446907979895</v>
      </c>
      <c r="Q24" s="57" t="n">
        <f aca="false">IF(Apixaban!$B$2=1,EXP(LN(or_apx_mi)*D24)*(1-EXP(-r_mi*dt))/(1-(1-EXP(-r_mi*dt))+EXP(LN(or_apx_mi)*D24)*(1-EXP(-r_mi*dt))),(1-EXP(-r_mi*dt)))</f>
        <v>0.00132321915530843</v>
      </c>
      <c r="R24" s="57" t="n">
        <f aca="false">(1-EXP(-r_tia*dt))</f>
        <v>0.0020060281549299</v>
      </c>
      <c r="S24" s="57" t="n">
        <f aca="false">(1-EXP(-r_minor*dt))</f>
        <v>0.0437937690785545</v>
      </c>
      <c r="T24" s="57" t="n">
        <f aca="false">M24*N24</f>
        <v>0.00256062206305607</v>
      </c>
      <c r="U24" s="57" t="n">
        <f aca="false">M24*O24</f>
        <v>0.000565745918051267</v>
      </c>
      <c r="V24" s="57" t="n">
        <f aca="false">M24*P24</f>
        <v>0.00448999296339438</v>
      </c>
      <c r="W24" s="57" t="n">
        <f aca="false">M24*Q24</f>
        <v>0.000887485568391322</v>
      </c>
      <c r="X24" s="57" t="n">
        <f aca="false">M24*R24</f>
        <v>0.00134544684464757</v>
      </c>
      <c r="Y24" s="57" t="n">
        <f aca="false">M24*S24</f>
        <v>0.0293725630306643</v>
      </c>
      <c r="Z24" s="57" t="n">
        <f aca="false">T24*f_stroke_fatal</f>
        <v>0.000606867428944288</v>
      </c>
      <c r="AA24" s="57" t="n">
        <f aca="false">T24*(1-f_stroke_fatal)*f_stroke_major</f>
        <v>0.000650600293159223</v>
      </c>
      <c r="AB24" s="57" t="n">
        <f aca="false">T24*(1-f_stroke_fatal)*(1-f_stroke_major)</f>
        <v>0.00130315434095256</v>
      </c>
      <c r="AC24" s="57" t="n">
        <f aca="false">U24*(1-f_bleed_fatal)</f>
        <v>0.00051822326093496</v>
      </c>
      <c r="AD24" s="57" t="n">
        <f aca="false">V24*(1-f_bleed_fatal)</f>
        <v>0.00411283355446925</v>
      </c>
      <c r="AE24" s="57" t="n">
        <f aca="false">W24*f_mi_fatal</f>
        <v>0.00010738575377535</v>
      </c>
      <c r="AF24" s="57" t="n">
        <f aca="false">W24-AE24</f>
        <v>0.000780099814615972</v>
      </c>
      <c r="AG24" s="57" t="n">
        <f aca="false">M24-T24-U24-V24-AE24</f>
        <v>0.662978128218625</v>
      </c>
      <c r="AH24" s="19" t="n">
        <f aca="false">Z24*c_stroke_fatal+AA24*c_stroke_major+AB24*c_stroke_minor+U24*c_ich+V24*c_major_bleed+AE24*c_mi_fatal+AF24*c_mi_nonfatal+X24*c_tia+Y24*c_minor_bleed</f>
        <v>159.782145347875</v>
      </c>
      <c r="AI24" s="57" t="n">
        <f aca="false">dt*(AF24*dec_mi+AD24*dec_major_bleed+Y24*dec_minor_bleed+X24*dec_tia)</f>
        <v>0.000249079377058876</v>
      </c>
      <c r="AJ24" s="57" t="n">
        <f aca="false">G24*L24+Z24+U24-AC24+V24-AD24+AE24</f>
        <v>0.00982197101413426</v>
      </c>
      <c r="AK24" s="57" t="n">
        <f aca="false">1-EXP(LN(1-E24)*hr_death_prior_stroke*dt)</f>
        <v>0.0291517901413427</v>
      </c>
      <c r="AL24" s="57" t="n">
        <f aca="false">H24*(1-AK24)</f>
        <v>0.0300613198320219</v>
      </c>
      <c r="AM24" s="57" t="n">
        <f aca="false">(1-EXP(-r_stroke*F24*rr_stroke_prior*rr_asa_stroke*dt))</f>
        <v>0.0171000170488745</v>
      </c>
      <c r="AN24" s="57" t="n">
        <f aca="false">(1-EXP(-r_ich*rr_asa_ich*dt))</f>
        <v>0.00102357767802375</v>
      </c>
      <c r="AO24" s="57" t="n">
        <f aca="false">(1-EXP(-r_mb*rr_asa_mb*dt))</f>
        <v>0.00951809672747972</v>
      </c>
      <c r="AP24" s="57" t="n">
        <f aca="false">(1-EXP(-r_mi*rr_asa_mi*dt))</f>
        <v>0.00213413516393479</v>
      </c>
      <c r="AQ24" s="57" t="n">
        <f aca="false">(1-EXP(-r_tia*rr_asa_tia*dt))</f>
        <v>0.00312764565589152</v>
      </c>
      <c r="AR24" s="57" t="n">
        <f aca="false">(1-EXP(-r_minor*rr_asa_minor*dt))</f>
        <v>0.0278181950466747</v>
      </c>
      <c r="AS24" s="57" t="n">
        <f aca="false">AL24*AM24</f>
        <v>0.000514049081639244</v>
      </c>
      <c r="AT24" s="57" t="n">
        <f aca="false">AL24*AN24</f>
        <v>3.07700959519901E-005</v>
      </c>
      <c r="AU24" s="57" t="n">
        <f aca="false">AL24*AO24</f>
        <v>0.000286126549916889</v>
      </c>
      <c r="AV24" s="57" t="n">
        <f aca="false">AL24*AP24</f>
        <v>6.41549197278082E-005</v>
      </c>
      <c r="AW24" s="57" t="n">
        <f aca="false">AL24*AQ24</f>
        <v>9.40211563829888E-005</v>
      </c>
      <c r="AX24" s="57" t="n">
        <f aca="false">AL24*AR24</f>
        <v>0.000836251658447655</v>
      </c>
      <c r="AY24" s="57" t="n">
        <f aca="false">AS24*f_stroke_fatal_recur</f>
        <v>0.000191272522787146</v>
      </c>
      <c r="AZ24" s="57" t="n">
        <f aca="false">AS24*(1-f_stroke_fatal_recur)*f_stroke_major</f>
        <v>0.000107484594097749</v>
      </c>
      <c r="BA24" s="57" t="n">
        <f aca="false">AS24*(1-f_stroke_fatal_recur)*(1-f_stroke_major)</f>
        <v>0.000215291964754349</v>
      </c>
      <c r="BB24" s="57" t="n">
        <f aca="false">AT24*(1-f_bleed_fatal)</f>
        <v>2.8185407892023E-005</v>
      </c>
      <c r="BC24" s="57" t="n">
        <f aca="false">AU24*(1-f_bleed_fatal)</f>
        <v>0.00026209191972387</v>
      </c>
      <c r="BD24" s="57" t="n">
        <f aca="false">AV24*f_mi_fatal</f>
        <v>7.76274528706479E-006</v>
      </c>
      <c r="BE24" s="57" t="n">
        <f aca="false">AV24-BD24</f>
        <v>5.63921744407434E-005</v>
      </c>
      <c r="BF24" s="57" t="n">
        <f aca="false">AL24-AS24-AT24-AU24-BD24</f>
        <v>0.0292226113592267</v>
      </c>
      <c r="BG24" s="19" t="n">
        <f aca="false">AY24*c_stroke_fatal+AZ24*c_stroke_major+BA24*c_stroke_minor+AT24*c_ich+AU24*c_major_bleed+BD24*c_mi_fatal+BE24*c_mi_nonfatal+AW24*c_tia+AX24*c_minor_bleed</f>
        <v>21.7721381965754</v>
      </c>
      <c r="BH24" s="57" t="n">
        <f aca="false">dt*(BE24*dec_mi+BC24*dec_major_bleed+AX24*dec_minor_bleed+AW24*dec_tia)</f>
        <v>1.29292322717391E-005</v>
      </c>
      <c r="BI24" s="57" t="n">
        <f aca="false">H24*AK24+AY24+AT24-BB24+AU24-BC24+BD24</f>
        <v>0.0011283098914675</v>
      </c>
      <c r="BJ24" s="57" t="n">
        <f aca="false">1-EXP(LN(1-E24)*hr_death_prior_stroke*dt)</f>
        <v>0.0291517901413427</v>
      </c>
      <c r="BK24" s="57" t="n">
        <f aca="false">I24*(1-BJ24)</f>
        <v>0.0116748828615077</v>
      </c>
      <c r="BL24" s="57" t="n">
        <f aca="false">(1-EXP(-r_stroke*F24*rr_stroke_prior*rr_asa_stroke*dt))</f>
        <v>0.0171000170488745</v>
      </c>
      <c r="BM24" s="57" t="n">
        <f aca="false">(1-EXP(-r_ich*rr_asa_ich*dt))</f>
        <v>0.00102357767802375</v>
      </c>
      <c r="BN24" s="57" t="n">
        <f aca="false">(1-EXP(-r_mb*rr_asa_mb*dt))</f>
        <v>0.00951809672747972</v>
      </c>
      <c r="BO24" s="57" t="n">
        <f aca="false">(1-EXP(-r_mi*rr_asa_mi*dt))</f>
        <v>0.00213413516393479</v>
      </c>
      <c r="BP24" s="57" t="n">
        <f aca="false">(1-EXP(-r_tia*rr_asa_tia*dt))</f>
        <v>0.00312764565589152</v>
      </c>
      <c r="BQ24" s="57" t="n">
        <f aca="false">(1-EXP(-r_minor*rr_asa_minor*dt))</f>
        <v>0.0278181950466747</v>
      </c>
      <c r="BR24" s="57" t="n">
        <f aca="false">BK24*BL24</f>
        <v>0.000199640695975396</v>
      </c>
      <c r="BS24" s="57" t="n">
        <f aca="false">BK24*BM24</f>
        <v>1.19501494905813E-005</v>
      </c>
      <c r="BT24" s="57" t="n">
        <f aca="false">BK24*BN24</f>
        <v>0.000111122664357826</v>
      </c>
      <c r="BU24" s="57" t="n">
        <f aca="false">BK24*BO24</f>
        <v>2.49157780495633E-005</v>
      </c>
      <c r="BV24" s="57" t="n">
        <f aca="false">BK24*BP24</f>
        <v>3.65148966648371E-005</v>
      </c>
      <c r="BW24" s="57" t="n">
        <f aca="false">BK24*BQ24</f>
        <v>0.000324774168588502</v>
      </c>
      <c r="BX24" s="57" t="n">
        <f aca="false">BR24*f_stroke_fatal_recur</f>
        <v>7.4284306565485E-005</v>
      </c>
      <c r="BY24" s="57" t="n">
        <f aca="false">BR24*(1-f_stroke_fatal_recur)*f_stroke_major</f>
        <v>4.17436776735003E-005</v>
      </c>
      <c r="BZ24" s="57" t="n">
        <f aca="false">BR24*(1-f_stroke_fatal_recur)*(1-f_stroke_major)</f>
        <v>8.36127117364104E-005</v>
      </c>
      <c r="CA24" s="57" t="n">
        <f aca="false">BS24*(1-f_bleed_fatal)</f>
        <v>1.09463369333725E-005</v>
      </c>
      <c r="CB24" s="57" t="n">
        <f aca="false">BT24*(1-f_bleed_fatal)</f>
        <v>0.000101788360551769</v>
      </c>
      <c r="CC24" s="57" t="n">
        <f aca="false">BU24*f_mi_fatal</f>
        <v>3.01480914399716E-006</v>
      </c>
      <c r="CD24" s="57" t="n">
        <f aca="false">BU24-CC24</f>
        <v>2.19009689055662E-005</v>
      </c>
      <c r="CE24" s="57" t="n">
        <f aca="false">BK24-BR24-BS24-BT24-CC24</f>
        <v>0.0113491545425399</v>
      </c>
      <c r="CF24" s="19" t="n">
        <f aca="false">BX24*c_stroke_fatal+BY24*c_stroke_major+BZ24*c_stroke_minor+BS24*c_ich+BT24*c_major_bleed+CC24*c_mi_fatal+CD24*c_mi_nonfatal+BV24*c_tia+BW24*c_minor_bleed</f>
        <v>8.45562219190426</v>
      </c>
      <c r="CG24" s="57" t="n">
        <f aca="false">dt*(CD24*dec_mi+CB24*dec_major_bleed+BW24*dec_minor_bleed+BV24*dec_tia)</f>
        <v>5.02131220802181E-006</v>
      </c>
      <c r="CH24" s="57" t="n">
        <f aca="false">I24*BJ24+BX24+BS24-CA24+BT24-CB24+CC24</f>
        <v>0.000438200514414261</v>
      </c>
      <c r="CI24" s="57" t="n">
        <f aca="false">1-EXP(LN(1-E24)*dt)</f>
        <v>0.0127807309653863</v>
      </c>
      <c r="CJ24" s="57" t="n">
        <f aca="false">J24*(1-CI24)</f>
        <v>0.0760826217063051</v>
      </c>
      <c r="CK24" s="57" t="n">
        <f aca="false">(1-EXP(-r_stroke*F24*rr_asa_stroke*dt))</f>
        <v>0.00780930710877914</v>
      </c>
      <c r="CL24" s="57" t="n">
        <f aca="false">(1-EXP(-r_ich*rr_asa_ich*dt))</f>
        <v>0.00102357767802375</v>
      </c>
      <c r="CM24" s="57" t="n">
        <f aca="false">(1-EXP(-r_mb*rr_asa_mb*dt))</f>
        <v>0.00951809672747972</v>
      </c>
      <c r="CN24" s="57" t="n">
        <f aca="false">(1-EXP(-r_mi*rr_asa_mi*dt))</f>
        <v>0.00213413516393479</v>
      </c>
      <c r="CO24" s="57" t="n">
        <f aca="false">(1-EXP(-r_tia*rr_asa_tia*dt))</f>
        <v>0.00312764565589152</v>
      </c>
      <c r="CP24" s="57" t="n">
        <f aca="false">(1-EXP(-r_minor*rr_asa_minor*dt))</f>
        <v>0.0278181950466747</v>
      </c>
      <c r="CQ24" s="57" t="n">
        <f aca="false">CJ24*CK24</f>
        <v>0.000594152558545603</v>
      </c>
      <c r="CR24" s="57" t="n">
        <f aca="false">CJ24*CL24</f>
        <v>7.78764732640989E-005</v>
      </c>
      <c r="CS24" s="57" t="n">
        <f aca="false">CJ24*CM24</f>
        <v>0.00072416175268086</v>
      </c>
      <c r="CT24" s="57" t="n">
        <f aca="false">CJ24*CN24</f>
        <v>0.000162370598347774</v>
      </c>
      <c r="CU24" s="57" t="n">
        <f aca="false">CJ24*CO24</f>
        <v>0.000237959481268563</v>
      </c>
      <c r="CV24" s="57" t="n">
        <f aca="false">CJ24*CP24</f>
        <v>0.00211648121028836</v>
      </c>
      <c r="CW24" s="57" t="n">
        <f aca="false">CQ24*f_stroke_fatal</f>
        <v>0.000140814156375308</v>
      </c>
      <c r="CX24" s="57" t="n">
        <f aca="false">CQ24*(1-f_stroke_fatal)*f_stroke_major</f>
        <v>0.000150961687922708</v>
      </c>
      <c r="CY24" s="57" t="n">
        <f aca="false">CQ24*(1-f_stroke_fatal)*(1-f_stroke_major)</f>
        <v>0.000302376714247587</v>
      </c>
      <c r="CZ24" s="57" t="n">
        <f aca="false">CR24*(1-f_bleed_fatal)</f>
        <v>7.13348495099146E-005</v>
      </c>
      <c r="DA24" s="57" t="n">
        <f aca="false">CS24*(1-f_bleed_fatal)</f>
        <v>0.000663332165455668</v>
      </c>
      <c r="DB24" s="57" t="n">
        <f aca="false">CT24*f_mi_fatal</f>
        <v>1.96468424000807E-005</v>
      </c>
      <c r="DC24" s="57" t="n">
        <f aca="false">CT24-DB24</f>
        <v>0.000142723755947694</v>
      </c>
      <c r="DD24" s="57" t="n">
        <f aca="false">CJ24-CQ24-CR24-CS24-DB24</f>
        <v>0.0746667840794145</v>
      </c>
      <c r="DE24" s="19" t="n">
        <f aca="false">CW24*c_stroke_fatal+CX24*c_stroke_major+CY24*c_stroke_minor+CR24*c_ich+CS24*c_major_bleed+DB24*c_mi_fatal+DC24*c_mi_nonfatal+CU24*c_tia+CV24*c_minor_bleed</f>
        <v>32.1976825298698</v>
      </c>
      <c r="DF24" s="57" t="n">
        <f aca="false">dt*(DC24*dec_mi+DA24*dec_major_bleed+CV24*dec_minor_bleed+CU24*dec_tia)</f>
        <v>3.27227777549485E-005</v>
      </c>
      <c r="DG24" s="57" t="n">
        <f aca="false">J24*CI24+CW24+CR24-CZ24+CS24-DA24+DB24</f>
        <v>0.00121281249698157</v>
      </c>
      <c r="DH24" s="57" t="n">
        <f aca="false">AG24</f>
        <v>0.662978128218625</v>
      </c>
      <c r="DI24" s="57" t="n">
        <f aca="false">AB24+AC24+BF24+BA24+BB24+BC24+CY24+CZ24</f>
        <v>0.031923269817242</v>
      </c>
      <c r="DJ24" s="57" t="n">
        <f aca="false">AA24+AZ24+BY24+CX24+CE24+BZ24+CA24+CB24</f>
        <v>0.0124962922046147</v>
      </c>
      <c r="DK24" s="57" t="n">
        <f aca="false">AD24+DD24+DA24</f>
        <v>0.0794429497993394</v>
      </c>
      <c r="DL24" s="57" t="n">
        <f aca="false">K24+AJ24+BI24+CH24+DG24</f>
        <v>0.213159359960179</v>
      </c>
      <c r="DM24" s="58" t="n">
        <f aca="false">SUM(DH24:DL24)</f>
        <v>1</v>
      </c>
      <c r="DN24" s="19" t="n">
        <f aca="false">dt*(G24*Apixaban!$H$2+(H24+I24+J24)*c_aspirin)</f>
        <v>51.8430346947319</v>
      </c>
      <c r="DO24" s="19" t="n">
        <f aca="false">dt*(H24*c_lt_minor_stroke+I24*c_lt_major_stroke)</f>
        <v>162.215898475512</v>
      </c>
      <c r="DP24" s="19" t="n">
        <f aca="false">AH24+BG24+CF24+DE24</f>
        <v>222.207588266225</v>
      </c>
      <c r="DQ24" s="19" t="n">
        <f aca="false">DN24+DO24+DP24</f>
        <v>436.266521436468</v>
      </c>
      <c r="DR24" s="57" t="n">
        <f aca="false">dt*(G24*(u_af-dec_per_year_over_70*MAX(B24-ref_age,0))+H24*(u_minor_stroke-dec_per_year_over_70*MAX(B24-ref_age,0))+I24*(u_major_stroke-dec_per_year_over_70*MAX(B24-ref_age,0))+J24*(u_af-dec_per_year_over_70*MAX(B24-ref_age,0)))-AI24-BH24-CG24-DF24</f>
        <v>0.159426724371683</v>
      </c>
      <c r="DS24" s="57" t="n">
        <f aca="false">dt*(G24+H24+I24+J24)</f>
        <v>0.199860483489205</v>
      </c>
      <c r="DT24" s="19" t="n">
        <f aca="false">DQ24*C24</f>
        <v>407.994864806045</v>
      </c>
      <c r="DU24" s="19" t="n">
        <f aca="false">DN24*C24</f>
        <v>48.4834175718258</v>
      </c>
      <c r="DV24" s="19" t="n">
        <f aca="false">DP24*C24</f>
        <v>207.807728713738</v>
      </c>
      <c r="DW24" s="19" t="n">
        <f aca="false">DO24*C24</f>
        <v>151.703718520481</v>
      </c>
      <c r="DX24" s="57" t="n">
        <f aca="false">DR24*C24</f>
        <v>0.149095293038587</v>
      </c>
      <c r="DY24" s="57" t="n">
        <f aca="false">DS24*C24</f>
        <v>0.186908797568881</v>
      </c>
      <c r="DZ24" s="57" t="n">
        <f aca="false">T24+AS24+BR24+CQ24</f>
        <v>0.00386846439921631</v>
      </c>
      <c r="EA24" s="57" t="n">
        <f aca="false">U24+AT24+BS24+CR24</f>
        <v>0.000686342636757937</v>
      </c>
      <c r="EB24" s="57" t="n">
        <f aca="false">V24+AU24+BT24+CS24</f>
        <v>0.00561140393034996</v>
      </c>
      <c r="EC24" s="57" t="n">
        <f aca="false">G24*dt*C24</f>
        <v>0.158839574643735</v>
      </c>
    </row>
    <row r="25" customFormat="false" ht="15" hidden="false" customHeight="false" outlineLevel="0" collapsed="false">
      <c r="A25" s="8" t="n">
        <v>19</v>
      </c>
      <c r="B25" s="54" t="n">
        <f aca="false">start_age+A25*dt</f>
        <v>74.75</v>
      </c>
      <c r="C25" s="16" t="n">
        <f aca="false">(1+disc_rate)^-(A25*dt)</f>
        <v>0.931721890716781</v>
      </c>
      <c r="D25" s="55" t="n">
        <f aca="false">IF(A25*dt&gt;=wane_start,(1-wane_decay)^(A25*dt-wane_start),1)</f>
        <v>1</v>
      </c>
      <c r="E25" s="25" t="n">
        <f aca="false">MIN(p_nonvasc_death*MIN(EXP(gomp_int+gomp_slope*INT(B25)),1)/qx_ref,0.999)</f>
        <v>0.0501511654557567</v>
      </c>
      <c r="F25" s="55" t="n">
        <f aca="false">rr_stroke_per_decade^((B25-ref_age)/10)</f>
        <v>1.21239279854709</v>
      </c>
      <c r="G25" s="57" t="n">
        <f aca="false">DH24</f>
        <v>0.662978128218625</v>
      </c>
      <c r="H25" s="57" t="n">
        <f aca="false">DI24</f>
        <v>0.031923269817242</v>
      </c>
      <c r="I25" s="57" t="n">
        <f aca="false">DJ24</f>
        <v>0.0124962922046147</v>
      </c>
      <c r="J25" s="57" t="n">
        <f aca="false">DK24</f>
        <v>0.0794429497993394</v>
      </c>
      <c r="K25" s="57" t="n">
        <f aca="false">DL24</f>
        <v>0.213159359960179</v>
      </c>
      <c r="L25" s="57" t="n">
        <f aca="false">1-EXP(LN(1-E25)*dt)</f>
        <v>0.0127807309653863</v>
      </c>
      <c r="M25" s="57" t="n">
        <f aca="false">G25*(1-L25)</f>
        <v>0.654504783125927</v>
      </c>
      <c r="N25" s="57" t="n">
        <f aca="false">IF(Apixaban!$B$2=1,EXP(LN(or_apx_stroke)*D25)*(1-EXP(-r_stroke*F25*dt))/(1-(1-EXP(-r_stroke*F25*dt))+EXP(LN(or_apx_stroke)*D25)*(1-EXP(-r_stroke*F25*dt))),(1-EXP(-r_stroke*F25*dt)))</f>
        <v>0.0038566659709202</v>
      </c>
      <c r="O25" s="57" t="n">
        <f aca="false">IF(Apixaban!$B$2=1,EXP(LN(or_apx_ich)*D25)*(1-EXP(-r_ich*dt))/(1-(1-EXP(-r_ich*dt))+EXP(LN(or_apx_ich)*D25)*(1-EXP(-r_ich*dt))),(1-EXP(-r_ich*dt)))</f>
        <v>0.000843513249640701</v>
      </c>
      <c r="P25" s="57" t="n">
        <f aca="false">IF(Apixaban!$B$2=1,EXP(LN(or_apx_mb)*D25)*(1-EXP(-r_mb*dt))/(1-(1-EXP(-r_mb*dt))+EXP(LN(or_apx_mb)*D25)*(1-EXP(-r_mb*dt))),(1-EXP(-r_mb*dt)))</f>
        <v>0.00669446907979895</v>
      </c>
      <c r="Q25" s="57" t="n">
        <f aca="false">IF(Apixaban!$B$2=1,EXP(LN(or_apx_mi)*D25)*(1-EXP(-r_mi*dt))/(1-(1-EXP(-r_mi*dt))+EXP(LN(or_apx_mi)*D25)*(1-EXP(-r_mi*dt))),(1-EXP(-r_mi*dt)))</f>
        <v>0.00132321915530843</v>
      </c>
      <c r="R25" s="57" t="n">
        <f aca="false">(1-EXP(-r_tia*dt))</f>
        <v>0.0020060281549299</v>
      </c>
      <c r="S25" s="57" t="n">
        <f aca="false">(1-EXP(-r_minor*dt))</f>
        <v>0.0437937690785545</v>
      </c>
      <c r="T25" s="57" t="n">
        <f aca="false">M25*N25</f>
        <v>0.00252420632488627</v>
      </c>
      <c r="U25" s="57" t="n">
        <f aca="false">M25*O25</f>
        <v>0.000552083456519933</v>
      </c>
      <c r="V25" s="57" t="n">
        <f aca="false">M25*P25</f>
        <v>0.00438156203321704</v>
      </c>
      <c r="W25" s="57" t="n">
        <f aca="false">M25*Q25</f>
        <v>0.000866053266273215</v>
      </c>
      <c r="X25" s="57" t="n">
        <f aca="false">M25*R25</f>
        <v>0.00131295502248689</v>
      </c>
      <c r="Y25" s="57" t="n">
        <f aca="false">M25*S25</f>
        <v>0.0286632313330262</v>
      </c>
      <c r="Z25" s="57" t="n">
        <f aca="false">T25*f_stroke_fatal</f>
        <v>0.000598236898998045</v>
      </c>
      <c r="AA25" s="57" t="n">
        <f aca="false">T25*(1-f_stroke_fatal)*f_stroke_major</f>
        <v>0.000641347818820777</v>
      </c>
      <c r="AB25" s="57" t="n">
        <f aca="false">T25*(1-f_stroke_fatal)*(1-f_stroke_major)</f>
        <v>0.00128462160706744</v>
      </c>
      <c r="AC25" s="57" t="n">
        <f aca="false">U25*(1-f_bleed_fatal)</f>
        <v>0.000505708446172258</v>
      </c>
      <c r="AD25" s="57" t="n">
        <f aca="false">V25*(1-f_bleed_fatal)</f>
        <v>0.00401351082242681</v>
      </c>
      <c r="AE25" s="57" t="n">
        <f aca="false">W25*f_mi_fatal</f>
        <v>0.000104792445219059</v>
      </c>
      <c r="AF25" s="57" t="n">
        <f aca="false">W25-AE25</f>
        <v>0.000761260821054156</v>
      </c>
      <c r="AG25" s="57" t="n">
        <f aca="false">M25-T25-U25-V25-AE25</f>
        <v>0.646942138866085</v>
      </c>
      <c r="AH25" s="19" t="n">
        <f aca="false">Z25*c_stroke_fatal+AA25*c_stroke_major+AB25*c_stroke_minor+U25*c_ich+V25*c_major_bleed+AE25*c_mi_fatal+AF25*c_mi_nonfatal+X25*c_tia+Y25*c_minor_bleed</f>
        <v>156.862771508662</v>
      </c>
      <c r="AI25" s="57" t="n">
        <f aca="false">dt*(AF25*dec_mi+AD25*dec_major_bleed+Y25*dec_minor_bleed+X25*dec_tia)</f>
        <v>0.000243064243235132</v>
      </c>
      <c r="AJ25" s="57" t="n">
        <f aca="false">G25*L25+Z25+U25-AC25+V25-AD25+AE25</f>
        <v>0.00959080065805266</v>
      </c>
      <c r="AK25" s="57" t="n">
        <f aca="false">1-EXP(LN(1-E25)*hr_death_prior_stroke*dt)</f>
        <v>0.0291517901413427</v>
      </c>
      <c r="AL25" s="57" t="n">
        <f aca="false">H25*(1-AK25)</f>
        <v>0.0309926493549043</v>
      </c>
      <c r="AM25" s="57" t="n">
        <f aca="false">(1-EXP(-r_stroke*F25*rr_stroke_prior*rr_asa_stroke*dt))</f>
        <v>0.0172727217511767</v>
      </c>
      <c r="AN25" s="57" t="n">
        <f aca="false">(1-EXP(-r_ich*rr_asa_ich*dt))</f>
        <v>0.00102357767802375</v>
      </c>
      <c r="AO25" s="57" t="n">
        <f aca="false">(1-EXP(-r_mb*rr_asa_mb*dt))</f>
        <v>0.00951809672747972</v>
      </c>
      <c r="AP25" s="57" t="n">
        <f aca="false">(1-EXP(-r_mi*rr_asa_mi*dt))</f>
        <v>0.00213413516393479</v>
      </c>
      <c r="AQ25" s="57" t="n">
        <f aca="false">(1-EXP(-r_tia*rr_asa_tia*dt))</f>
        <v>0.00312764565589152</v>
      </c>
      <c r="AR25" s="57" t="n">
        <f aca="false">(1-EXP(-r_minor*rr_asa_minor*dt))</f>
        <v>0.0278181950466747</v>
      </c>
      <c r="AS25" s="57" t="n">
        <f aca="false">AL25*AM25</f>
        <v>0.000535327408639046</v>
      </c>
      <c r="AT25" s="57" t="n">
        <f aca="false">AL25*AN25</f>
        <v>3.1723384062497E-005</v>
      </c>
      <c r="AU25" s="57" t="n">
        <f aca="false">AL25*AO25</f>
        <v>0.000294991034400841</v>
      </c>
      <c r="AV25" s="57" t="n">
        <f aca="false">AL25*AP25</f>
        <v>6.61425028118021E-005</v>
      </c>
      <c r="AW25" s="57" t="n">
        <f aca="false">AL25*AQ25</f>
        <v>9.69340251194354E-005</v>
      </c>
      <c r="AX25" s="57" t="n">
        <f aca="false">AL25*AR25</f>
        <v>0.000862159564767924</v>
      </c>
      <c r="AY25" s="57" t="n">
        <f aca="false">AS25*f_stroke_fatal_recur</f>
        <v>0.000199189975480503</v>
      </c>
      <c r="AZ25" s="57" t="n">
        <f aca="false">AS25*(1-f_stroke_fatal_recur)*f_stroke_major</f>
        <v>0.000111933765241795</v>
      </c>
      <c r="BA25" s="57" t="n">
        <f aca="false">AS25*(1-f_stroke_fatal_recur)*(1-f_stroke_major)</f>
        <v>0.000224203667916749</v>
      </c>
      <c r="BB25" s="57" t="n">
        <f aca="false">AT25*(1-f_bleed_fatal)</f>
        <v>2.90586198012473E-005</v>
      </c>
      <c r="BC25" s="57" t="n">
        <f aca="false">AU25*(1-f_bleed_fatal)</f>
        <v>0.00027021178751117</v>
      </c>
      <c r="BD25" s="57" t="n">
        <f aca="false">AV25*f_mi_fatal</f>
        <v>8.00324284022805E-006</v>
      </c>
      <c r="BE25" s="57" t="n">
        <f aca="false">AV25-BD25</f>
        <v>5.81392599715741E-005</v>
      </c>
      <c r="BF25" s="57" t="n">
        <f aca="false">AL25-AS25-AT25-AU25-BD25</f>
        <v>0.0301226042849616</v>
      </c>
      <c r="BG25" s="19" t="n">
        <f aca="false">AY25*c_stroke_fatal+AZ25*c_stroke_major+BA25*c_stroke_minor+AT25*c_ich+AU25*c_major_bleed+BD25*c_mi_fatal+BE25*c_mi_nonfatal+AW25*c_tia+AX25*c_minor_bleed</f>
        <v>22.6312145704424</v>
      </c>
      <c r="BH25" s="57" t="n">
        <f aca="false">dt*(BE25*dec_mi+BC25*dec_major_bleed+AX25*dec_minor_bleed+AW25*dec_tia)</f>
        <v>1.33297927191898E-005</v>
      </c>
      <c r="BI25" s="57" t="n">
        <f aca="false">H25*AK25+AY25+AT25-BB25+AU25-BC25+BD25</f>
        <v>0.00116525769180935</v>
      </c>
      <c r="BJ25" s="57" t="n">
        <f aca="false">1-EXP(LN(1-E25)*hr_death_prior_stroke*dt)</f>
        <v>0.0291517901413427</v>
      </c>
      <c r="BK25" s="57" t="n">
        <f aca="false">I25*(1-BJ25)</f>
        <v>0.0121320029167209</v>
      </c>
      <c r="BL25" s="57" t="n">
        <f aca="false">(1-EXP(-r_stroke*F25*rr_stroke_prior*rr_asa_stroke*dt))</f>
        <v>0.0172727217511767</v>
      </c>
      <c r="BM25" s="57" t="n">
        <f aca="false">(1-EXP(-r_ich*rr_asa_ich*dt))</f>
        <v>0.00102357767802375</v>
      </c>
      <c r="BN25" s="57" t="n">
        <f aca="false">(1-EXP(-r_mb*rr_asa_mb*dt))</f>
        <v>0.00951809672747972</v>
      </c>
      <c r="BO25" s="57" t="n">
        <f aca="false">(1-EXP(-r_mi*rr_asa_mi*dt))</f>
        <v>0.00213413516393479</v>
      </c>
      <c r="BP25" s="57" t="n">
        <f aca="false">(1-EXP(-r_tia*rr_asa_tia*dt))</f>
        <v>0.00312764565589152</v>
      </c>
      <c r="BQ25" s="57" t="n">
        <f aca="false">(1-EXP(-r_minor*rr_asa_minor*dt))</f>
        <v>0.0278181950466747</v>
      </c>
      <c r="BR25" s="57" t="n">
        <f aca="false">BK25*BL25</f>
        <v>0.000209552710664983</v>
      </c>
      <c r="BS25" s="57" t="n">
        <f aca="false">BK25*BM25</f>
        <v>1.24180473752744E-005</v>
      </c>
      <c r="BT25" s="57" t="n">
        <f aca="false">BK25*BN25</f>
        <v>0.000115473577259415</v>
      </c>
      <c r="BU25" s="57" t="n">
        <f aca="false">BK25*BO25</f>
        <v>2.58913340335334E-005</v>
      </c>
      <c r="BV25" s="57" t="n">
        <f aca="false">BK25*BP25</f>
        <v>3.79446062197452E-005</v>
      </c>
      <c r="BW25" s="57" t="n">
        <f aca="false">BK25*BQ25</f>
        <v>0.000337490423444167</v>
      </c>
      <c r="BX25" s="57" t="n">
        <f aca="false">BR25*f_stroke_fatal_recur</f>
        <v>7.79724681113336E-005</v>
      </c>
      <c r="BY25" s="57" t="n">
        <f aca="false">BR25*(1-f_stroke_fatal_recur)*f_stroke_major</f>
        <v>4.38162207703653E-005</v>
      </c>
      <c r="BZ25" s="57" t="n">
        <f aca="false">BR25*(1-f_stroke_fatal_recur)*(1-f_stroke_major)</f>
        <v>8.77640217832842E-005</v>
      </c>
      <c r="CA25" s="57" t="n">
        <f aca="false">BS25*(1-f_bleed_fatal)</f>
        <v>1.13749313957514E-005</v>
      </c>
      <c r="CB25" s="57" t="n">
        <f aca="false">BT25*(1-f_bleed_fatal)</f>
        <v>0.000105773796769624</v>
      </c>
      <c r="CC25" s="57" t="n">
        <f aca="false">BU25*f_mi_fatal</f>
        <v>3.13285141805755E-006</v>
      </c>
      <c r="CD25" s="57" t="n">
        <f aca="false">BU25-CC25</f>
        <v>2.27584826154759E-005</v>
      </c>
      <c r="CE25" s="57" t="n">
        <f aca="false">BK25-BR25-BS25-BT25-CC25</f>
        <v>0.0117914257300031</v>
      </c>
      <c r="CF25" s="19" t="n">
        <f aca="false">BX25*c_stroke_fatal+BY25*c_stroke_major+BZ25*c_stroke_minor+BS25*c_ich+BT25*c_major_bleed+CC25*c_mi_fatal+CD25*c_mi_nonfatal+BV25*c_tia+BW25*c_minor_bleed</f>
        <v>8.85893806732907</v>
      </c>
      <c r="CG25" s="57" t="n">
        <f aca="false">dt*(CD25*dec_mi+CB25*dec_major_bleed+BW25*dec_minor_bleed+BV25*dec_tia)</f>
        <v>5.21791739378696E-006</v>
      </c>
      <c r="CH25" s="57" t="n">
        <f aca="false">I25*BJ25+BX25+BS25-CA25+BT25-CB25+CC25</f>
        <v>0.000456137503892529</v>
      </c>
      <c r="CI25" s="57" t="n">
        <f aca="false">1-EXP(LN(1-E25)*dt)</f>
        <v>0.0127807309653863</v>
      </c>
      <c r="CJ25" s="57" t="n">
        <f aca="false">J25*(1-CI25)</f>
        <v>0.0784276108308574</v>
      </c>
      <c r="CK25" s="57" t="n">
        <f aca="false">(1-EXP(-r_stroke*F25*rr_asa_stroke*dt))</f>
        <v>0.00788855507327324</v>
      </c>
      <c r="CL25" s="57" t="n">
        <f aca="false">(1-EXP(-r_ich*rr_asa_ich*dt))</f>
        <v>0.00102357767802375</v>
      </c>
      <c r="CM25" s="57" t="n">
        <f aca="false">(1-EXP(-r_mb*rr_asa_mb*dt))</f>
        <v>0.00951809672747972</v>
      </c>
      <c r="CN25" s="57" t="n">
        <f aca="false">(1-EXP(-r_mi*rr_asa_mi*dt))</f>
        <v>0.00213413516393479</v>
      </c>
      <c r="CO25" s="57" t="n">
        <f aca="false">(1-EXP(-r_tia*rr_asa_tia*dt))</f>
        <v>0.00312764565589152</v>
      </c>
      <c r="CP25" s="57" t="n">
        <f aca="false">(1-EXP(-r_minor*rr_asa_minor*dt))</f>
        <v>0.0278181950466747</v>
      </c>
      <c r="CQ25" s="57" t="n">
        <f aca="false">CJ25*CK25</f>
        <v>0.000618680527304459</v>
      </c>
      <c r="CR25" s="57" t="n">
        <f aca="false">CJ25*CL25</f>
        <v>8.0276751787199E-005</v>
      </c>
      <c r="CS25" s="57" t="n">
        <f aca="false">CJ25*CM25</f>
        <v>0.000746481585993237</v>
      </c>
      <c r="CT25" s="57" t="n">
        <f aca="false">CJ25*CN25</f>
        <v>0.000167375122097526</v>
      </c>
      <c r="CU25" s="57" t="n">
        <f aca="false">CJ25*CO25</f>
        <v>0.000245293776317082</v>
      </c>
      <c r="CV25" s="57" t="n">
        <f aca="false">CJ25*CP25</f>
        <v>0.00218171457513749</v>
      </c>
      <c r="CW25" s="57" t="n">
        <f aca="false">CQ25*f_stroke_fatal</f>
        <v>0.000146627284971157</v>
      </c>
      <c r="CX25" s="57" t="n">
        <f aca="false">CQ25*(1-f_stroke_fatal)*f_stroke_major</f>
        <v>0.00015719372969699</v>
      </c>
      <c r="CY25" s="57" t="n">
        <f aca="false">CQ25*(1-f_stroke_fatal)*(1-f_stroke_major)</f>
        <v>0.000314859512636313</v>
      </c>
      <c r="CZ25" s="57" t="n">
        <f aca="false">CR25*(1-f_bleed_fatal)</f>
        <v>7.35335046370743E-005</v>
      </c>
      <c r="DA25" s="57" t="n">
        <f aca="false">CS25*(1-f_bleed_fatal)</f>
        <v>0.000683777132769805</v>
      </c>
      <c r="DB25" s="57" t="n">
        <f aca="false">CT25*f_mi_fatal</f>
        <v>2.02523897738006E-005</v>
      </c>
      <c r="DC25" s="57" t="n">
        <f aca="false">CT25-DB25</f>
        <v>0.000147122732323725</v>
      </c>
      <c r="DD25" s="57" t="n">
        <f aca="false">CJ25-CQ25-CR25-CS25-DB25</f>
        <v>0.0769619195759987</v>
      </c>
      <c r="DE25" s="19" t="n">
        <f aca="false">CW25*c_stroke_fatal+CX25*c_stroke_major+CY25*c_stroke_minor+CR25*c_ich+CS25*c_major_bleed+DB25*c_mi_fatal+DC25*c_mi_nonfatal+CU25*c_tia+CV25*c_minor_bleed</f>
        <v>33.419705010144</v>
      </c>
      <c r="DF25" s="57" t="n">
        <f aca="false">dt*(DC25*dec_mi+DA25*dec_major_bleed+CV25*dec_minor_bleed+CU25*dec_tia)</f>
        <v>3.37313465481836E-005</v>
      </c>
      <c r="DG25" s="57" t="n">
        <f aca="false">J25*CI25+CW25+CR25-CZ25+CS25-DA25+DB25</f>
        <v>0.00125166634360056</v>
      </c>
      <c r="DH25" s="57" t="n">
        <f aca="false">AG25</f>
        <v>0.646942138866085</v>
      </c>
      <c r="DI25" s="57" t="n">
        <f aca="false">AB25+AC25+BF25+BA25+BB25+BC25+CY25+CZ25</f>
        <v>0.0328248014307039</v>
      </c>
      <c r="DJ25" s="57" t="n">
        <f aca="false">AA25+AZ25+BY25+CX25+CE25+BZ25+CA25+CB25</f>
        <v>0.0129506300144817</v>
      </c>
      <c r="DK25" s="57" t="n">
        <f aca="false">AD25+DD25+DA25</f>
        <v>0.0816592075311953</v>
      </c>
      <c r="DL25" s="57" t="n">
        <f aca="false">K25+AJ25+BI25+CH25+DG25</f>
        <v>0.225623222157534</v>
      </c>
      <c r="DM25" s="58" t="n">
        <f aca="false">SUM(DH25:DL25)</f>
        <v>1</v>
      </c>
      <c r="DN25" s="19" t="n">
        <f aca="false">dt*(G25*Apixaban!$H$2+(H25+I25+J25)*c_aspirin)</f>
        <v>50.6564919793392</v>
      </c>
      <c r="DO25" s="19" t="n">
        <f aca="false">dt*(H25*c_lt_minor_stroke+I25*c_lt_major_stroke)</f>
        <v>167.883179418871</v>
      </c>
      <c r="DP25" s="19" t="n">
        <f aca="false">AH25+BG25+CF25+DE25</f>
        <v>221.772629156578</v>
      </c>
      <c r="DQ25" s="19" t="n">
        <f aca="false">DN25+DO25+DP25</f>
        <v>440.312300554788</v>
      </c>
      <c r="DR25" s="57" t="n">
        <f aca="false">dt*(G25*(u_af-dec_per_year_over_70*MAX(B25-ref_age,0))+H25*(u_minor_stroke-dec_per_year_over_70*MAX(B25-ref_age,0))+I25*(u_major_stroke-dec_per_year_over_70*MAX(B25-ref_age,0))+J25*(u_af-dec_per_year_over_70*MAX(B25-ref_age,0)))-AI25-BH25-CG25-DF25</f>
        <v>0.156798636540874</v>
      </c>
      <c r="DS25" s="57" t="n">
        <f aca="false">dt*(G25+H25+I25+J25)</f>
        <v>0.196710160009955</v>
      </c>
      <c r="DT25" s="19" t="n">
        <f aca="false">DQ25*C25</f>
        <v>410.248609178762</v>
      </c>
      <c r="DU25" s="19" t="n">
        <f aca="false">DN25*C25</f>
        <v>47.1977624840693</v>
      </c>
      <c r="DV25" s="19" t="n">
        <f aca="false">DP25*C25</f>
        <v>206.630413346998</v>
      </c>
      <c r="DW25" s="19" t="n">
        <f aca="false">DO25*C25</f>
        <v>156.420433347695</v>
      </c>
      <c r="DX25" s="57" t="n">
        <f aca="false">DR25*C25</f>
        <v>0.146092722099677</v>
      </c>
      <c r="DY25" s="57" t="n">
        <f aca="false">DS25*C25</f>
        <v>0.183279162207676</v>
      </c>
      <c r="DZ25" s="57" t="n">
        <f aca="false">T25+AS25+BR25+CQ25</f>
        <v>0.00388776697149475</v>
      </c>
      <c r="EA25" s="57" t="n">
        <f aca="false">U25+AT25+BS25+CR25</f>
        <v>0.000676501639744903</v>
      </c>
      <c r="EB25" s="57" t="n">
        <f aca="false">V25+AU25+BT25+CS25</f>
        <v>0.00553850823087053</v>
      </c>
      <c r="EC25" s="57" t="n">
        <f aca="false">G25*dt*C25</f>
        <v>0.154427808781932</v>
      </c>
    </row>
    <row r="26" customFormat="false" ht="15" hidden="false" customHeight="false" outlineLevel="0" collapsed="false">
      <c r="A26" s="8" t="n">
        <v>20</v>
      </c>
      <c r="B26" s="54" t="n">
        <f aca="false">start_age+A26*dt</f>
        <v>75</v>
      </c>
      <c r="C26" s="16" t="n">
        <f aca="false">(1+disc_rate)^-(A26*dt)</f>
        <v>0.92826032540564</v>
      </c>
      <c r="D26" s="55" t="n">
        <f aca="false">IF(A26*dt&gt;=wane_start,(1-wane_decay)^(A26*dt-wane_start),1)</f>
        <v>1</v>
      </c>
      <c r="E26" s="25" t="n">
        <f aca="false">MIN(p_nonvasc_death*MIN(EXP(gomp_int+gomp_slope*INT(B26)),1)/qx_ref,0.999)</f>
        <v>0.0556830227001195</v>
      </c>
      <c r="F26" s="55" t="n">
        <f aca="false">rr_stroke_per_decade^((B26-ref_age)/10)</f>
        <v>1.22474487139159</v>
      </c>
      <c r="G26" s="57" t="n">
        <f aca="false">DH25</f>
        <v>0.646942138866085</v>
      </c>
      <c r="H26" s="57" t="n">
        <f aca="false">DI25</f>
        <v>0.0328248014307039</v>
      </c>
      <c r="I26" s="57" t="n">
        <f aca="false">DJ25</f>
        <v>0.0129506300144817</v>
      </c>
      <c r="J26" s="57" t="n">
        <f aca="false">DK25</f>
        <v>0.0816592075311953</v>
      </c>
      <c r="K26" s="57" t="n">
        <f aca="false">DL25</f>
        <v>0.225623222157534</v>
      </c>
      <c r="L26" s="57" t="n">
        <f aca="false">1-EXP(LN(1-E26)*dt)</f>
        <v>0.0142212559150164</v>
      </c>
      <c r="M26" s="57" t="n">
        <f aca="false">G26*(1-L26)</f>
        <v>0.637741809147062</v>
      </c>
      <c r="N26" s="57" t="n">
        <f aca="false">IF(Apixaban!$B$2=1,EXP(LN(or_apx_stroke)*D26)*(1-EXP(-r_stroke*F26*dt))/(1-(1-EXP(-r_stroke*F26*dt))+EXP(LN(or_apx_stroke)*D26)*(1-EXP(-r_stroke*F26*dt))),(1-EXP(-r_stroke*F26*dt)))</f>
        <v>0.00389590201542985</v>
      </c>
      <c r="O26" s="57" t="n">
        <f aca="false">IF(Apixaban!$B$2=1,EXP(LN(or_apx_ich)*D26)*(1-EXP(-r_ich*dt))/(1-(1-EXP(-r_ich*dt))+EXP(LN(or_apx_ich)*D26)*(1-EXP(-r_ich*dt))),(1-EXP(-r_ich*dt)))</f>
        <v>0.000843513249640701</v>
      </c>
      <c r="P26" s="57" t="n">
        <f aca="false">IF(Apixaban!$B$2=1,EXP(LN(or_apx_mb)*D26)*(1-EXP(-r_mb*dt))/(1-(1-EXP(-r_mb*dt))+EXP(LN(or_apx_mb)*D26)*(1-EXP(-r_mb*dt))),(1-EXP(-r_mb*dt)))</f>
        <v>0.00669446907979895</v>
      </c>
      <c r="Q26" s="57" t="n">
        <f aca="false">IF(Apixaban!$B$2=1,EXP(LN(or_apx_mi)*D26)*(1-EXP(-r_mi*dt))/(1-(1-EXP(-r_mi*dt))+EXP(LN(or_apx_mi)*D26)*(1-EXP(-r_mi*dt))),(1-EXP(-r_mi*dt)))</f>
        <v>0.00132321915530843</v>
      </c>
      <c r="R26" s="57" t="n">
        <f aca="false">(1-EXP(-r_tia*dt))</f>
        <v>0.0020060281549299</v>
      </c>
      <c r="S26" s="57" t="n">
        <f aca="false">(1-EXP(-r_minor*dt))</f>
        <v>0.0437937690785545</v>
      </c>
      <c r="T26" s="57" t="n">
        <f aca="false">M26*N26</f>
        <v>0.00248457959957992</v>
      </c>
      <c r="U26" s="57" t="n">
        <f aca="false">M26*O26</f>
        <v>0.000537943665865378</v>
      </c>
      <c r="V26" s="57" t="n">
        <f aca="false">M26*P26</f>
        <v>0.00426934282223005</v>
      </c>
      <c r="W26" s="57" t="n">
        <f aca="false">M26*Q26</f>
        <v>0.000843872178004444</v>
      </c>
      <c r="X26" s="57" t="n">
        <f aca="false">M26*R26</f>
        <v>0.00127932802472493</v>
      </c>
      <c r="Y26" s="57" t="n">
        <f aca="false">M26*S26</f>
        <v>0.027929117521526</v>
      </c>
      <c r="Z26" s="57" t="n">
        <f aca="false">T26*f_stroke_fatal</f>
        <v>0.000588845365100441</v>
      </c>
      <c r="AA26" s="57" t="n">
        <f aca="false">T26*(1-f_stroke_fatal)*f_stroke_major</f>
        <v>0.000631279500081666</v>
      </c>
      <c r="AB26" s="57" t="n">
        <f aca="false">T26*(1-f_stroke_fatal)*(1-f_stroke_major)</f>
        <v>0.00126445473439781</v>
      </c>
      <c r="AC26" s="57" t="n">
        <f aca="false">U26*(1-f_bleed_fatal)</f>
        <v>0.000492756397932686</v>
      </c>
      <c r="AD26" s="57" t="n">
        <f aca="false">V26*(1-f_bleed_fatal)</f>
        <v>0.00391071802516273</v>
      </c>
      <c r="AE26" s="57" t="n">
        <f aca="false">W26*f_mi_fatal</f>
        <v>0.000102108533538538</v>
      </c>
      <c r="AF26" s="57" t="n">
        <f aca="false">W26-AE26</f>
        <v>0.000741763644465907</v>
      </c>
      <c r="AG26" s="57" t="n">
        <f aca="false">M26-T26-U26-V26-AE26</f>
        <v>0.630347834525848</v>
      </c>
      <c r="AH26" s="19" t="n">
        <f aca="false">Z26*c_stroke_fatal+AA26*c_stroke_major+AB26*c_stroke_minor+U26*c_ich+V26*c_major_bleed+AE26*c_mi_fatal+AF26*c_mi_nonfatal+X26*c_tia+Y26*c_minor_bleed</f>
        <v>153.769771580336</v>
      </c>
      <c r="AI26" s="57" t="n">
        <f aca="false">dt*(AF26*dec_mi+AD26*dec_major_bleed+Y26*dec_minor_bleed+X26*dec_tia)</f>
        <v>0.000236838957049929</v>
      </c>
      <c r="AJ26" s="57" t="n">
        <f aca="false">G26*L26+Z26+U26-AC26+V26-AD26+AE26</f>
        <v>0.0102950956826617</v>
      </c>
      <c r="AK26" s="57" t="n">
        <f aca="false">1-EXP(LN(1-E26)*hr_death_prior_stroke*dt)</f>
        <v>0.0324069647074854</v>
      </c>
      <c r="AL26" s="57" t="n">
        <f aca="false">H26*(1-AK26)</f>
        <v>0.0317610492492089</v>
      </c>
      <c r="AM26" s="57" t="n">
        <f aca="false">(1-EXP(-r_stroke*F26*rr_stroke_prior*rr_asa_stroke*dt))</f>
        <v>0.0174471551884765</v>
      </c>
      <c r="AN26" s="57" t="n">
        <f aca="false">(1-EXP(-r_ich*rr_asa_ich*dt))</f>
        <v>0.00102357767802375</v>
      </c>
      <c r="AO26" s="57" t="n">
        <f aca="false">(1-EXP(-r_mb*rr_asa_mb*dt))</f>
        <v>0.00951809672747972</v>
      </c>
      <c r="AP26" s="57" t="n">
        <f aca="false">(1-EXP(-r_mi*rr_asa_mi*dt))</f>
        <v>0.00213413516393479</v>
      </c>
      <c r="AQ26" s="57" t="n">
        <f aca="false">(1-EXP(-r_tia*rr_asa_tia*dt))</f>
        <v>0.00312764565589152</v>
      </c>
      <c r="AR26" s="57" t="n">
        <f aca="false">(1-EXP(-r_minor*rr_asa_minor*dt))</f>
        <v>0.0278181950466747</v>
      </c>
      <c r="AS26" s="57" t="n">
        <f aca="false">AL26*AM26</f>
        <v>0.000554139955199792</v>
      </c>
      <c r="AT26" s="57" t="n">
        <f aca="false">AL26*AN26</f>
        <v>3.25099010421031E-005</v>
      </c>
      <c r="AU26" s="57" t="n">
        <f aca="false">AL26*AO26</f>
        <v>0.000302304738920217</v>
      </c>
      <c r="AV26" s="57" t="n">
        <f aca="false">AL26*AP26</f>
        <v>6.77823720462014E-005</v>
      </c>
      <c r="AW26" s="57" t="n">
        <f aca="false">AL26*AQ26</f>
        <v>9.93373077108447E-005</v>
      </c>
      <c r="AX26" s="57" t="n">
        <f aca="false">AL26*AR26</f>
        <v>0.000883535062901534</v>
      </c>
      <c r="AY26" s="57" t="n">
        <f aca="false">AS26*f_stroke_fatal_recur</f>
        <v>0.000206189935930291</v>
      </c>
      <c r="AZ26" s="57" t="n">
        <f aca="false">AS26*(1-f_stroke_fatal_recur)*f_stroke_major</f>
        <v>0.000115867356416744</v>
      </c>
      <c r="BA26" s="57" t="n">
        <f aca="false">AS26*(1-f_stroke_fatal_recur)*(1-f_stroke_major)</f>
        <v>0.000232082662852758</v>
      </c>
      <c r="BB26" s="57" t="n">
        <f aca="false">AT26*(1-f_bleed_fatal)</f>
        <v>2.97790693545664E-005</v>
      </c>
      <c r="BC26" s="57" t="n">
        <f aca="false">AU26*(1-f_bleed_fatal)</f>
        <v>0.000276911140850919</v>
      </c>
      <c r="BD26" s="57" t="n">
        <f aca="false">AV26*f_mi_fatal</f>
        <v>8.20166701759037E-006</v>
      </c>
      <c r="BE26" s="57" t="n">
        <f aca="false">AV26-BD26</f>
        <v>5.9580705028611E-005</v>
      </c>
      <c r="BF26" s="57" t="n">
        <f aca="false">AL26-AS26-AT26-AU26-BD26</f>
        <v>0.0308638929870292</v>
      </c>
      <c r="BG26" s="19" t="n">
        <f aca="false">AY26*c_stroke_fatal+AZ26*c_stroke_major+BA26*c_stroke_minor+AT26*c_ich+AU26*c_major_bleed+BD26*c_mi_fatal+BE26*c_mi_nonfatal+AW26*c_tia+AX26*c_minor_bleed</f>
        <v>23.383332353633</v>
      </c>
      <c r="BH26" s="57" t="n">
        <f aca="false">dt*(BE26*dec_mi+BC26*dec_major_bleed+AX26*dec_minor_bleed+AW26*dec_tia)</f>
        <v>1.36602778996995E-005</v>
      </c>
      <c r="BI26" s="57" t="n">
        <f aca="false">H26*AK26+AY26+AT26-BB26+AU26-BC26+BD26</f>
        <v>0.00130626821419975</v>
      </c>
      <c r="BJ26" s="57" t="n">
        <f aca="false">1-EXP(LN(1-E26)*hr_death_prior_stroke*dt)</f>
        <v>0.0324069647074854</v>
      </c>
      <c r="BK26" s="57" t="n">
        <f aca="false">I26*(1-BJ26)</f>
        <v>0.0125309394046627</v>
      </c>
      <c r="BL26" s="57" t="n">
        <f aca="false">(1-EXP(-r_stroke*F26*rr_stroke_prior*rr_asa_stroke*dt))</f>
        <v>0.0174471551884765</v>
      </c>
      <c r="BM26" s="57" t="n">
        <f aca="false">(1-EXP(-r_ich*rr_asa_ich*dt))</f>
        <v>0.00102357767802375</v>
      </c>
      <c r="BN26" s="57" t="n">
        <f aca="false">(1-EXP(-r_mb*rr_asa_mb*dt))</f>
        <v>0.00951809672747972</v>
      </c>
      <c r="BO26" s="57" t="n">
        <f aca="false">(1-EXP(-r_mi*rr_asa_mi*dt))</f>
        <v>0.00213413516393479</v>
      </c>
      <c r="BP26" s="57" t="n">
        <f aca="false">(1-EXP(-r_tia*rr_asa_tia*dt))</f>
        <v>0.00312764565589152</v>
      </c>
      <c r="BQ26" s="57" t="n">
        <f aca="false">(1-EXP(-r_minor*rr_asa_minor*dt))</f>
        <v>0.0278181950466747</v>
      </c>
      <c r="BR26" s="57" t="n">
        <f aca="false">BK26*BL26</f>
        <v>0.000218629244450546</v>
      </c>
      <c r="BS26" s="57" t="n">
        <f aca="false">BK26*BM26</f>
        <v>1.28263898592809E-005</v>
      </c>
      <c r="BT26" s="57" t="n">
        <f aca="false">BK26*BN26</f>
        <v>0.000119270693339767</v>
      </c>
      <c r="BU26" s="57" t="n">
        <f aca="false">BK26*BO26</f>
        <v>2.67427184206268E-005</v>
      </c>
      <c r="BV26" s="57" t="n">
        <f aca="false">BK26*BP26</f>
        <v>3.91923381932332E-005</v>
      </c>
      <c r="BW26" s="57" t="n">
        <f aca="false">BK26*BQ26</f>
        <v>0.000348588116476969</v>
      </c>
      <c r="BX26" s="57" t="n">
        <f aca="false">BR26*f_stroke_fatal_recur</f>
        <v>8.13497555676035E-005</v>
      </c>
      <c r="BY26" s="57" t="n">
        <f aca="false">BR26*(1-f_stroke_fatal_recur)*f_stroke_major</f>
        <v>4.57140697980197E-005</v>
      </c>
      <c r="BZ26" s="57" t="n">
        <f aca="false">BR26*(1-f_stroke_fatal_recur)*(1-f_stroke_major)</f>
        <v>9.15654190849224E-005</v>
      </c>
      <c r="CA26" s="57" t="n">
        <f aca="false">BS26*(1-f_bleed_fatal)</f>
        <v>1.17489731111013E-005</v>
      </c>
      <c r="CB26" s="57" t="n">
        <f aca="false">BT26*(1-f_bleed_fatal)</f>
        <v>0.000109251955099226</v>
      </c>
      <c r="CC26" s="57" t="n">
        <f aca="false">BU26*f_mi_fatal</f>
        <v>3.23586892889584E-006</v>
      </c>
      <c r="CD26" s="57" t="n">
        <f aca="false">BU26-CC26</f>
        <v>2.35068494917309E-005</v>
      </c>
      <c r="CE26" s="57" t="n">
        <f aca="false">BK26-BR26-BS26-BT26-CC26</f>
        <v>0.0121769772080842</v>
      </c>
      <c r="CF26" s="19" t="n">
        <f aca="false">BX26*c_stroke_fatal+BY26*c_stroke_major+BZ26*c_stroke_minor+BS26*c_ich+BT26*c_major_bleed+CC26*c_mi_fatal+CD26*c_mi_nonfatal+BV26*c_tia+BW26*c_minor_bleed</f>
        <v>9.22561211701037</v>
      </c>
      <c r="CG26" s="57" t="n">
        <f aca="false">dt*(CD26*dec_mi+CB26*dec_major_bleed+BW26*dec_minor_bleed+BV26*dec_tia)</f>
        <v>5.3894981009247E-006</v>
      </c>
      <c r="CH26" s="57" t="n">
        <f aca="false">I26*BJ26+BX26+BS26-CA26+BT26-CB26+CC26</f>
        <v>0.000515372389304229</v>
      </c>
      <c r="CI26" s="57" t="n">
        <f aca="false">1-EXP(LN(1-E26)*dt)</f>
        <v>0.0142212559150164</v>
      </c>
      <c r="CJ26" s="57" t="n">
        <f aca="false">J26*(1-CI26)</f>
        <v>0.0804979110430767</v>
      </c>
      <c r="CK26" s="57" t="n">
        <f aca="false">(1-EXP(-r_stroke*F26*rr_asa_stroke*dt))</f>
        <v>0.0079686040033552</v>
      </c>
      <c r="CL26" s="57" t="n">
        <f aca="false">(1-EXP(-r_ich*rr_asa_ich*dt))</f>
        <v>0.00102357767802375</v>
      </c>
      <c r="CM26" s="57" t="n">
        <f aca="false">(1-EXP(-r_mb*rr_asa_mb*dt))</f>
        <v>0.00951809672747972</v>
      </c>
      <c r="CN26" s="57" t="n">
        <f aca="false">(1-EXP(-r_mi*rr_asa_mi*dt))</f>
        <v>0.00213413516393479</v>
      </c>
      <c r="CO26" s="57" t="n">
        <f aca="false">(1-EXP(-r_tia*rr_asa_tia*dt))</f>
        <v>0.00312764565589152</v>
      </c>
      <c r="CP26" s="57" t="n">
        <f aca="false">(1-EXP(-r_minor*rr_asa_minor*dt))</f>
        <v>0.0278181950466747</v>
      </c>
      <c r="CQ26" s="57" t="n">
        <f aca="false">CJ26*CK26</f>
        <v>0.000641455976199592</v>
      </c>
      <c r="CR26" s="57" t="n">
        <f aca="false">CJ26*CL26</f>
        <v>8.23958648712345E-005</v>
      </c>
      <c r="CS26" s="57" t="n">
        <f aca="false">CJ26*CM26</f>
        <v>0.000766186903668062</v>
      </c>
      <c r="CT26" s="57" t="n">
        <f aca="false">CJ26*CN26</f>
        <v>0.000171793422580325</v>
      </c>
      <c r="CU26" s="57" t="n">
        <f aca="false">CJ26*CO26</f>
        <v>0.000251768941782221</v>
      </c>
      <c r="CV26" s="57" t="n">
        <f aca="false">CJ26*CP26</f>
        <v>0.00223930659024618</v>
      </c>
      <c r="CW26" s="57" t="n">
        <f aca="false">CQ26*f_stroke_fatal</f>
        <v>0.000152025066359303</v>
      </c>
      <c r="CX26" s="57" t="n">
        <f aca="false">CQ26*(1-f_stroke_fatal)*f_stroke_major</f>
        <v>0.000162980492976816</v>
      </c>
      <c r="CY26" s="57" t="n">
        <f aca="false">CQ26*(1-f_stroke_fatal)*(1-f_stroke_major)</f>
        <v>0.000326450416863472</v>
      </c>
      <c r="CZ26" s="57" t="n">
        <f aca="false">CR26*(1-f_bleed_fatal)</f>
        <v>7.54746122220508E-005</v>
      </c>
      <c r="DA26" s="57" t="n">
        <f aca="false">CS26*(1-f_bleed_fatal)</f>
        <v>0.000701827203759945</v>
      </c>
      <c r="DB26" s="57" t="n">
        <f aca="false">CT26*f_mi_fatal</f>
        <v>2.07870041322193E-005</v>
      </c>
      <c r="DC26" s="57" t="n">
        <f aca="false">CT26-DB26</f>
        <v>0.000151006418448106</v>
      </c>
      <c r="DD26" s="57" t="n">
        <f aca="false">CJ26-CQ26-CR26-CS26-DB26</f>
        <v>0.0789870852942056</v>
      </c>
      <c r="DE26" s="19" t="n">
        <f aca="false">CW26*c_stroke_fatal+CX26*c_stroke_major+CY26*c_stroke_minor+CR26*c_ich+CS26*c_major_bleed+DB26*c_mi_fatal+DC26*c_mi_nonfatal+CU26*c_tia+CV26*c_minor_bleed</f>
        <v>34.5399869036359</v>
      </c>
      <c r="DF26" s="57" t="n">
        <f aca="false">dt*(DC26*dec_mi+DA26*dec_major_bleed+CV26*dec_minor_bleed+CU26*dec_tia)</f>
        <v>3.46217729321743E-005</v>
      </c>
      <c r="DG26" s="57" t="n">
        <f aca="false">J26*CI26+CW26+CR26-CZ26+CS26-DA26+DB26</f>
        <v>0.00140538951116739</v>
      </c>
      <c r="DH26" s="57" t="n">
        <f aca="false">AG26</f>
        <v>0.630347834525848</v>
      </c>
      <c r="DI26" s="57" t="n">
        <f aca="false">AB26+AC26+BF26+BA26+BB26+BC26+CY26+CZ26</f>
        <v>0.0335618020215034</v>
      </c>
      <c r="DJ26" s="57" t="n">
        <f aca="false">AA26+AZ26+BY26+CX26+CE26+BZ26+CA26+CB26</f>
        <v>0.0133453849746527</v>
      </c>
      <c r="DK26" s="57" t="n">
        <f aca="false">AD26+DD26+DA26</f>
        <v>0.0835996305231283</v>
      </c>
      <c r="DL26" s="57" t="n">
        <f aca="false">K26+AJ26+BI26+CH26+DG26</f>
        <v>0.239145347954867</v>
      </c>
      <c r="DM26" s="58" t="n">
        <f aca="false">SUM(DH26:DL26)</f>
        <v>1</v>
      </c>
      <c r="DN26" s="19" t="n">
        <f aca="false">dt*(G26*Apixaban!$H$2+(H26+I26+J26)*c_aspirin)</f>
        <v>49.4953269087045</v>
      </c>
      <c r="DO26" s="19" t="n">
        <f aca="false">dt*(H26*c_lt_minor_stroke+I26*c_lt_major_stroke)</f>
        <v>173.286530770265</v>
      </c>
      <c r="DP26" s="19" t="n">
        <f aca="false">AH26+BG26+CF26+DE26</f>
        <v>220.918702954615</v>
      </c>
      <c r="DQ26" s="19" t="n">
        <f aca="false">DN26+DO26+DP26</f>
        <v>443.700560633584</v>
      </c>
      <c r="DR26" s="57" t="n">
        <f aca="false">dt*(G26*(u_af-dec_per_year_over_70*MAX(B26-ref_age,0))+H26*(u_minor_stroke-dec_per_year_over_70*MAX(B26-ref_age,0))+I26*(u_major_stroke-dec_per_year_over_70*MAX(B26-ref_age,0))+J26*(u_af-dec_per_year_over_70*MAX(B26-ref_age,0)))-AI26-BH26-CG26-DF26</f>
        <v>0.15420204571146</v>
      </c>
      <c r="DS26" s="57" t="n">
        <f aca="false">dt*(G26+H26+I26+J26)</f>
        <v>0.193594194460616</v>
      </c>
      <c r="DT26" s="19" t="n">
        <f aca="false">DQ26*C26</f>
        <v>411.869626796396</v>
      </c>
      <c r="DU26" s="19" t="n">
        <f aca="false">DN26*C26</f>
        <v>45.9445482623325</v>
      </c>
      <c r="DV26" s="19" t="n">
        <f aca="false">DP26*C26</f>
        <v>205.070067092843</v>
      </c>
      <c r="DW26" s="19" t="n">
        <f aca="false">DO26*C26</f>
        <v>160.85501144122</v>
      </c>
      <c r="DX26" s="57" t="n">
        <f aca="false">DR26*C26</f>
        <v>0.143139641130335</v>
      </c>
      <c r="DY26" s="57" t="n">
        <f aca="false">DS26*C26</f>
        <v>0.179705809946654</v>
      </c>
      <c r="DZ26" s="57" t="n">
        <f aca="false">T26+AS26+BR26+CQ26</f>
        <v>0.00389880477542985</v>
      </c>
      <c r="EA26" s="57" t="n">
        <f aca="false">U26+AT26+BS26+CR26</f>
        <v>0.000665675821637996</v>
      </c>
      <c r="EB26" s="57" t="n">
        <f aca="false">V26+AU26+BT26+CS26</f>
        <v>0.0054571051581581</v>
      </c>
      <c r="EC26" s="57" t="n">
        <f aca="false">G26*dt*C26</f>
        <v>0.150132680085613</v>
      </c>
    </row>
    <row r="27" customFormat="false" ht="15" hidden="false" customHeight="false" outlineLevel="0" collapsed="false">
      <c r="A27" s="8" t="n">
        <v>21</v>
      </c>
      <c r="B27" s="54" t="n">
        <f aca="false">start_age+A27*dt</f>
        <v>75.25</v>
      </c>
      <c r="C27" s="16" t="n">
        <f aca="false">(1+disc_rate)^-(A27*dt)</f>
        <v>0.924811620621361</v>
      </c>
      <c r="D27" s="55" t="n">
        <f aca="false">IF(A27*dt&gt;=wane_start,(1-wane_decay)^(A27*dt-wane_start),1)</f>
        <v>1</v>
      </c>
      <c r="E27" s="25" t="n">
        <f aca="false">MIN(p_nonvasc_death*MIN(EXP(gomp_int+gomp_slope*INT(B27)),1)/qx_ref,0.999)</f>
        <v>0.0556830227001195</v>
      </c>
      <c r="F27" s="55" t="n">
        <f aca="false">rr_stroke_per_decade^((B27-ref_age)/10)</f>
        <v>1.23722278934482</v>
      </c>
      <c r="G27" s="57" t="n">
        <f aca="false">DH26</f>
        <v>0.630347834525848</v>
      </c>
      <c r="H27" s="57" t="n">
        <f aca="false">DI26</f>
        <v>0.0335618020215034</v>
      </c>
      <c r="I27" s="57" t="n">
        <f aca="false">DJ26</f>
        <v>0.0133453849746527</v>
      </c>
      <c r="J27" s="57" t="n">
        <f aca="false">DK26</f>
        <v>0.0835996305231283</v>
      </c>
      <c r="K27" s="57" t="n">
        <f aca="false">DL26</f>
        <v>0.239145347954867</v>
      </c>
      <c r="L27" s="57" t="n">
        <f aca="false">1-EXP(LN(1-E27)*dt)</f>
        <v>0.0142212559150164</v>
      </c>
      <c r="M27" s="57" t="n">
        <f aca="false">G27*(1-L27)</f>
        <v>0.62138349665558</v>
      </c>
      <c r="N27" s="57" t="n">
        <f aca="false">IF(Apixaban!$B$2=1,EXP(LN(or_apx_stroke)*D27)*(1-EXP(-r_stroke*F27*dt))/(1-(1-EXP(-r_stroke*F27*dt))+EXP(LN(or_apx_stroke)*D27)*(1-EXP(-r_stroke*F27*dt))),(1-EXP(-r_stroke*F27*dt)))</f>
        <v>0.00393553664963646</v>
      </c>
      <c r="O27" s="57" t="n">
        <f aca="false">IF(Apixaban!$B$2=1,EXP(LN(or_apx_ich)*D27)*(1-EXP(-r_ich*dt))/(1-(1-EXP(-r_ich*dt))+EXP(LN(or_apx_ich)*D27)*(1-EXP(-r_ich*dt))),(1-EXP(-r_ich*dt)))</f>
        <v>0.000843513249640701</v>
      </c>
      <c r="P27" s="57" t="n">
        <f aca="false">IF(Apixaban!$B$2=1,EXP(LN(or_apx_mb)*D27)*(1-EXP(-r_mb*dt))/(1-(1-EXP(-r_mb*dt))+EXP(LN(or_apx_mb)*D27)*(1-EXP(-r_mb*dt))),(1-EXP(-r_mb*dt)))</f>
        <v>0.00669446907979895</v>
      </c>
      <c r="Q27" s="57" t="n">
        <f aca="false">IF(Apixaban!$B$2=1,EXP(LN(or_apx_mi)*D27)*(1-EXP(-r_mi*dt))/(1-(1-EXP(-r_mi*dt))+EXP(LN(or_apx_mi)*D27)*(1-EXP(-r_mi*dt))),(1-EXP(-r_mi*dt)))</f>
        <v>0.00132321915530843</v>
      </c>
      <c r="R27" s="57" t="n">
        <f aca="false">(1-EXP(-r_tia*dt))</f>
        <v>0.0020060281549299</v>
      </c>
      <c r="S27" s="57" t="n">
        <f aca="false">(1-EXP(-r_minor*dt))</f>
        <v>0.0437937690785545</v>
      </c>
      <c r="T27" s="57" t="n">
        <f aca="false">M27*N27</f>
        <v>0.00244547752456729</v>
      </c>
      <c r="U27" s="57" t="n">
        <f aca="false">M27*O27</f>
        <v>0.000524145212537049</v>
      </c>
      <c r="V27" s="57" t="n">
        <f aca="false">M27*P27</f>
        <v>0.00415983260505813</v>
      </c>
      <c r="W27" s="57" t="n">
        <f aca="false">M27*Q27</f>
        <v>0.000822226545567194</v>
      </c>
      <c r="X27" s="57" t="n">
        <f aca="false">M27*R27</f>
        <v>0.00124651278929988</v>
      </c>
      <c r="Y27" s="57" t="n">
        <f aca="false">M27*S27</f>
        <v>0.0272127253617592</v>
      </c>
      <c r="Z27" s="57" t="n">
        <f aca="false">T27*f_stroke_fatal</f>
        <v>0.000579578173322447</v>
      </c>
      <c r="AA27" s="57" t="n">
        <f aca="false">T27*(1-f_stroke_fatal)*f_stroke_major</f>
        <v>0.000621344483964532</v>
      </c>
      <c r="AB27" s="57" t="n">
        <f aca="false">T27*(1-f_stroke_fatal)*(1-f_stroke_major)</f>
        <v>0.00124455486728031</v>
      </c>
      <c r="AC27" s="57" t="n">
        <f aca="false">U27*(1-f_bleed_fatal)</f>
        <v>0.000480117014683937</v>
      </c>
      <c r="AD27" s="57" t="n">
        <f aca="false">V27*(1-f_bleed_fatal)</f>
        <v>0.00381040666623325</v>
      </c>
      <c r="AE27" s="57" t="n">
        <f aca="false">W27*f_mi_fatal</f>
        <v>9.94894120136304E-005</v>
      </c>
      <c r="AF27" s="57" t="n">
        <f aca="false">W27-AE27</f>
        <v>0.000722737133553563</v>
      </c>
      <c r="AG27" s="57" t="n">
        <f aca="false">M27-T27-U27-V27-AE27</f>
        <v>0.614154551901403</v>
      </c>
      <c r="AH27" s="19" t="n">
        <f aca="false">Z27*c_stroke_fatal+AA27*c_stroke_major+AB27*c_stroke_minor+U27*c_ich+V27*c_major_bleed+AE27*c_mi_fatal+AF27*c_mi_nonfatal+X27*c_tia+Y27*c_minor_bleed</f>
        <v>150.735477873146</v>
      </c>
      <c r="AI27" s="57" t="n">
        <f aca="false">dt*(AF27*dec_mi+AD27*dec_major_bleed+Y27*dec_minor_bleed+X27*dec_tia)</f>
        <v>0.000230763950497103</v>
      </c>
      <c r="AJ27" s="57" t="n">
        <f aca="false">G27*L27+Z27+U27-AC27+V27-AD27+AE27</f>
        <v>0.0100368595922826</v>
      </c>
      <c r="AK27" s="57" t="n">
        <f aca="false">1-EXP(LN(1-E27)*hr_death_prior_stroke*dt)</f>
        <v>0.0324069647074854</v>
      </c>
      <c r="AL27" s="57" t="n">
        <f aca="false">H27*(1-AK27)</f>
        <v>0.032474165887873</v>
      </c>
      <c r="AM27" s="57" t="n">
        <f aca="false">(1-EXP(-r_stroke*F27*rr_stroke_prior*rr_asa_stroke*dt))</f>
        <v>0.0176233343479968</v>
      </c>
      <c r="AN27" s="57" t="n">
        <f aca="false">(1-EXP(-r_ich*rr_asa_ich*dt))</f>
        <v>0.00102357767802375</v>
      </c>
      <c r="AO27" s="57" t="n">
        <f aca="false">(1-EXP(-r_mb*rr_asa_mb*dt))</f>
        <v>0.00951809672747972</v>
      </c>
      <c r="AP27" s="57" t="n">
        <f aca="false">(1-EXP(-r_mi*rr_asa_mi*dt))</f>
        <v>0.00213413516393479</v>
      </c>
      <c r="AQ27" s="57" t="n">
        <f aca="false">(1-EXP(-r_tia*rr_asa_tia*dt))</f>
        <v>0.00312764565589152</v>
      </c>
      <c r="AR27" s="57" t="n">
        <f aca="false">(1-EXP(-r_minor*rr_asa_minor*dt))</f>
        <v>0.0278181950466747</v>
      </c>
      <c r="AS27" s="57" t="n">
        <f aca="false">AL27*AM27</f>
        <v>0.000572303083114297</v>
      </c>
      <c r="AT27" s="57" t="n">
        <f aca="false">AL27*AN27</f>
        <v>3.3239831315267E-005</v>
      </c>
      <c r="AU27" s="57" t="n">
        <f aca="false">AL27*AO27</f>
        <v>0.000309092252064997</v>
      </c>
      <c r="AV27" s="57" t="n">
        <f aca="false">AL27*AP27</f>
        <v>6.93042593407614E-005</v>
      </c>
      <c r="AW27" s="57" t="n">
        <f aca="false">AL27*AQ27</f>
        <v>0.000101567683867906</v>
      </c>
      <c r="AX27" s="57" t="n">
        <f aca="false">AL27*AR27</f>
        <v>0.000903372680646921</v>
      </c>
      <c r="AY27" s="57" t="n">
        <f aca="false">AS27*f_stroke_fatal_recur</f>
        <v>0.000212948254195999</v>
      </c>
      <c r="AZ27" s="57" t="n">
        <f aca="false">AS27*(1-f_stroke_fatal_recur)*f_stroke_major</f>
        <v>0.000119665158029793</v>
      </c>
      <c r="BA27" s="57" t="n">
        <f aca="false">AS27*(1-f_stroke_fatal_recur)*(1-f_stroke_major)</f>
        <v>0.000239689670888505</v>
      </c>
      <c r="BB27" s="57" t="n">
        <f aca="false">AT27*(1-f_bleed_fatal)</f>
        <v>3.04476854847845E-005</v>
      </c>
      <c r="BC27" s="57" t="n">
        <f aca="false">AU27*(1-f_bleed_fatal)</f>
        <v>0.000283128502891537</v>
      </c>
      <c r="BD27" s="57" t="n">
        <f aca="false">AV27*f_mi_fatal</f>
        <v>8.38581538023213E-006</v>
      </c>
      <c r="BE27" s="57" t="n">
        <f aca="false">AV27-BD27</f>
        <v>6.09184439605293E-005</v>
      </c>
      <c r="BF27" s="57" t="n">
        <f aca="false">AL27-AS27-AT27-AU27-BD27</f>
        <v>0.0315511449059982</v>
      </c>
      <c r="BG27" s="19" t="n">
        <f aca="false">AY27*c_stroke_fatal+AZ27*c_stroke_major+BA27*c_stroke_minor+AT27*c_ich+AU27*c_major_bleed+BD27*c_mi_fatal+BE27*c_mi_nonfatal+AW27*c_tia+AX27*c_minor_bleed</f>
        <v>24.1056141876365</v>
      </c>
      <c r="BH27" s="57" t="n">
        <f aca="false">dt*(BE27*dec_mi+BC27*dec_major_bleed+AX27*dec_minor_bleed+AW27*dec_tia)</f>
        <v>1.3966986011973E-005</v>
      </c>
      <c r="BI27" s="57" t="n">
        <f aca="false">H27*AK27+AY27+AT27-BB27+AU27-BC27+BD27</f>
        <v>0.00133772609821065</v>
      </c>
      <c r="BJ27" s="57" t="n">
        <f aca="false">1-EXP(LN(1-E27)*hr_death_prior_stroke*dt)</f>
        <v>0.0324069647074854</v>
      </c>
      <c r="BK27" s="57" t="n">
        <f aca="false">I27*(1-BJ27)</f>
        <v>0.0129129015547713</v>
      </c>
      <c r="BL27" s="57" t="n">
        <f aca="false">(1-EXP(-r_stroke*F27*rr_stroke_prior*rr_asa_stroke*dt))</f>
        <v>0.0176233343479968</v>
      </c>
      <c r="BM27" s="57" t="n">
        <f aca="false">(1-EXP(-r_ich*rr_asa_ich*dt))</f>
        <v>0.00102357767802375</v>
      </c>
      <c r="BN27" s="57" t="n">
        <f aca="false">(1-EXP(-r_mb*rr_asa_mb*dt))</f>
        <v>0.00951809672747972</v>
      </c>
      <c r="BO27" s="57" t="n">
        <f aca="false">(1-EXP(-r_mi*rr_asa_mi*dt))</f>
        <v>0.00213413516393479</v>
      </c>
      <c r="BP27" s="57" t="n">
        <f aca="false">(1-EXP(-r_tia*rr_asa_tia*dt))</f>
        <v>0.00312764565589152</v>
      </c>
      <c r="BQ27" s="57" t="n">
        <f aca="false">(1-EXP(-r_minor*rr_asa_minor*dt))</f>
        <v>0.0278181950466747</v>
      </c>
      <c r="BR27" s="57" t="n">
        <f aca="false">BK27*BL27</f>
        <v>0.000227568381502503</v>
      </c>
      <c r="BS27" s="57" t="n">
        <f aca="false">BK27*BM27</f>
        <v>1.32173577899821E-005</v>
      </c>
      <c r="BT27" s="57" t="n">
        <f aca="false">BK27*BN27</f>
        <v>0.000122906246030737</v>
      </c>
      <c r="BU27" s="57" t="n">
        <f aca="false">BK27*BO27</f>
        <v>2.75578772764657E-005</v>
      </c>
      <c r="BV27" s="57" t="n">
        <f aca="false">BK27*BP27</f>
        <v>4.03869804527354E-005</v>
      </c>
      <c r="BW27" s="57" t="n">
        <f aca="false">BK27*BQ27</f>
        <v>0.000359213614069138</v>
      </c>
      <c r="BX27" s="57" t="n">
        <f aca="false">BR27*f_stroke_fatal_recur</f>
        <v>8.46759190732663E-005</v>
      </c>
      <c r="BY27" s="57" t="n">
        <f aca="false">BR27*(1-f_stroke_fatal_recur)*f_stroke_major</f>
        <v>4.75831899889358E-005</v>
      </c>
      <c r="BZ27" s="57" t="n">
        <f aca="false">BR27*(1-f_stroke_fatal_recur)*(1-f_stroke_major)</f>
        <v>9.53092724403007E-005</v>
      </c>
      <c r="CA27" s="57" t="n">
        <f aca="false">BS27*(1-f_bleed_fatal)</f>
        <v>1.21070997356236E-005</v>
      </c>
      <c r="CB27" s="57" t="n">
        <f aca="false">BT27*(1-f_bleed_fatal)</f>
        <v>0.000112582121364155</v>
      </c>
      <c r="CC27" s="57" t="n">
        <f aca="false">BU27*f_mi_fatal</f>
        <v>3.33450315045235E-006</v>
      </c>
      <c r="CD27" s="57" t="n">
        <f aca="false">BU27-CC27</f>
        <v>2.42233741260134E-005</v>
      </c>
      <c r="CE27" s="57" t="n">
        <f aca="false">BK27-BR27-BS27-BT27-CC27</f>
        <v>0.0125458750662977</v>
      </c>
      <c r="CF27" s="19" t="n">
        <f aca="false">BX27*c_stroke_fatal+BY27*c_stroke_major+BZ27*c_stroke_minor+BS27*c_ich+BT27*c_major_bleed+CC27*c_mi_fatal+CD27*c_mi_nonfatal+BV27*c_tia+BW27*c_minor_bleed</f>
        <v>9.5852630671721</v>
      </c>
      <c r="CG27" s="57" t="n">
        <f aca="false">dt*(CD27*dec_mi+CB27*dec_major_bleed+BW27*dec_minor_bleed+BV27*dec_tia)</f>
        <v>5.55377822519612E-006</v>
      </c>
      <c r="CH27" s="57" t="n">
        <f aca="false">I27*BJ27+BX27+BS27-CA27+BT27-CB27+CC27</f>
        <v>0.000531928224826035</v>
      </c>
      <c r="CI27" s="57" t="n">
        <f aca="false">1-EXP(LN(1-E27)*dt)</f>
        <v>0.0142212559150164</v>
      </c>
      <c r="CJ27" s="57" t="n">
        <f aca="false">J27*(1-CI27)</f>
        <v>0.0824107387830581</v>
      </c>
      <c r="CK27" s="57" t="n">
        <f aca="false">(1-EXP(-r_stroke*F27*rr_asa_stroke*dt))</f>
        <v>0.00804946192831324</v>
      </c>
      <c r="CL27" s="57" t="n">
        <f aca="false">(1-EXP(-r_ich*rr_asa_ich*dt))</f>
        <v>0.00102357767802375</v>
      </c>
      <c r="CM27" s="57" t="n">
        <f aca="false">(1-EXP(-r_mb*rr_asa_mb*dt))</f>
        <v>0.00951809672747972</v>
      </c>
      <c r="CN27" s="57" t="n">
        <f aca="false">(1-EXP(-r_mi*rr_asa_mi*dt))</f>
        <v>0.00213413516393479</v>
      </c>
      <c r="CO27" s="57" t="n">
        <f aca="false">(1-EXP(-r_tia*rr_asa_tia*dt))</f>
        <v>0.00312764565589152</v>
      </c>
      <c r="CP27" s="57" t="n">
        <f aca="false">(1-EXP(-r_minor*rr_asa_minor*dt))</f>
        <v>0.0278181950466747</v>
      </c>
      <c r="CQ27" s="57" t="n">
        <f aca="false">CJ27*CK27</f>
        <v>0.000663362104318393</v>
      </c>
      <c r="CR27" s="57" t="n">
        <f aca="false">CJ27*CL27</f>
        <v>8.43537926477841E-005</v>
      </c>
      <c r="CS27" s="57" t="n">
        <f aca="false">CJ27*CM27</f>
        <v>0.000784393383120211</v>
      </c>
      <c r="CT27" s="57" t="n">
        <f aca="false">CJ27*CN27</f>
        <v>0.000175875655522769</v>
      </c>
      <c r="CU27" s="57" t="n">
        <f aca="false">CJ27*CO27</f>
        <v>0.000257751589153642</v>
      </c>
      <c r="CV27" s="57" t="n">
        <f aca="false">CJ27*CP27</f>
        <v>0.00229251800540767</v>
      </c>
      <c r="CW27" s="57" t="n">
        <f aca="false">CQ27*f_stroke_fatal</f>
        <v>0.000157216818723459</v>
      </c>
      <c r="CX27" s="57" t="n">
        <f aca="false">CQ27*(1-f_stroke_fatal)*f_stroke_major</f>
        <v>0.000168546380103113</v>
      </c>
      <c r="CY27" s="57" t="n">
        <f aca="false">CQ27*(1-f_stroke_fatal)*(1-f_stroke_major)</f>
        <v>0.000337598905491821</v>
      </c>
      <c r="CZ27" s="57" t="n">
        <f aca="false">CR27*(1-f_bleed_fatal)</f>
        <v>7.72680740653702E-005</v>
      </c>
      <c r="DA27" s="57" t="n">
        <f aca="false">CS27*(1-f_bleed_fatal)</f>
        <v>0.000718504338938113</v>
      </c>
      <c r="DB27" s="57" t="n">
        <f aca="false">CT27*f_mi_fatal</f>
        <v>2.1280954318255E-005</v>
      </c>
      <c r="DC27" s="57" t="n">
        <f aca="false">CT27-DB27</f>
        <v>0.000154594701204514</v>
      </c>
      <c r="DD27" s="57" t="n">
        <f aca="false">CJ27-CQ27-CR27-CS27-DB27</f>
        <v>0.0808573485486534</v>
      </c>
      <c r="DE27" s="19" t="n">
        <f aca="false">CW27*c_stroke_fatal+CX27*c_stroke_major+CY27*c_stroke_minor+CR27*c_ich+CS27*c_major_bleed+DB27*c_mi_fatal+DC27*c_mi_nonfatal+CU27*c_tia+CV27*c_minor_bleed</f>
        <v>35.6069444855566</v>
      </c>
      <c r="DF27" s="57" t="n">
        <f aca="false">dt*(DC27*dec_mi+DA27*dec_major_bleed+CV27*dec_minor_bleed+CU27*dec_tia)</f>
        <v>3.54444711464989E-005</v>
      </c>
      <c r="DG27" s="57" t="n">
        <f aca="false">J27*CI27+CW27+CR27-CZ27+CS27-DA27+DB27</f>
        <v>0.00144036427587645</v>
      </c>
      <c r="DH27" s="57" t="n">
        <f aca="false">AG27</f>
        <v>0.614154551901403</v>
      </c>
      <c r="DI27" s="57" t="n">
        <f aca="false">AB27+AC27+BF27+BA27+BB27+BC27+CY27+CZ27</f>
        <v>0.0342439496267844</v>
      </c>
      <c r="DJ27" s="57" t="n">
        <f aca="false">AA27+AZ27+BY27+CX27+CE27+BZ27+CA27+CB27</f>
        <v>0.0137230127719241</v>
      </c>
      <c r="DK27" s="57" t="n">
        <f aca="false">AD27+DD27+DA27</f>
        <v>0.0853862595538248</v>
      </c>
      <c r="DL27" s="57" t="n">
        <f aca="false">K27+AJ27+BI27+CH27+DG27</f>
        <v>0.252492226146063</v>
      </c>
      <c r="DM27" s="58" t="n">
        <f aca="false">SUM(DH27:DL27)</f>
        <v>1</v>
      </c>
      <c r="DN27" s="19" t="n">
        <f aca="false">dt*(G27*Apixaban!$H$2+(H27+I27+J27)*c_aspirin)</f>
        <v>48.2876409466558</v>
      </c>
      <c r="DO27" s="19" t="n">
        <f aca="false">dt*(H27*c_lt_minor_stroke+I27*c_lt_major_stroke)</f>
        <v>177.856104131137</v>
      </c>
      <c r="DP27" s="19" t="n">
        <f aca="false">AH27+BG27+CF27+DE27</f>
        <v>220.033299613512</v>
      </c>
      <c r="DQ27" s="19" t="n">
        <f aca="false">DN27+DO27+DP27</f>
        <v>446.177044691305</v>
      </c>
      <c r="DR27" s="57" t="n">
        <f aca="false">dt*(G27*(u_af-dec_per_year_over_70*MAX(B27-ref_age,0))+H27*(u_minor_stroke-dec_per_year_over_70*MAX(B27-ref_age,0))+I27*(u_major_stroke-dec_per_year_over_70*MAX(B27-ref_age,0))+J27*(u_af-dec_per_year_over_70*MAX(B27-ref_age,0)))-AI27-BH27-CG27-DF27</f>
        <v>0.151401538824277</v>
      </c>
      <c r="DS27" s="57" t="n">
        <f aca="false">dt*(G27+H27+I27+J27)</f>
        <v>0.190213663011283</v>
      </c>
      <c r="DT27" s="19" t="n">
        <f aca="false">DQ27*C27</f>
        <v>412.629715785015</v>
      </c>
      <c r="DU27" s="19" t="n">
        <f aca="false">DN27*C27</f>
        <v>44.6569714798591</v>
      </c>
      <c r="DV27" s="19" t="n">
        <f aca="false">DP27*C27</f>
        <v>203.489352406237</v>
      </c>
      <c r="DW27" s="19" t="n">
        <f aca="false">DO27*C27</f>
        <v>164.483391898919</v>
      </c>
      <c r="DX27" s="57" t="n">
        <f aca="false">DR27*C27</f>
        <v>0.140017902484647</v>
      </c>
      <c r="DY27" s="57" t="n">
        <f aca="false">DS27*C27</f>
        <v>0.17591180595379</v>
      </c>
      <c r="DZ27" s="57" t="n">
        <f aca="false">T27+AS27+BR27+CQ27</f>
        <v>0.00390871109350248</v>
      </c>
      <c r="EA27" s="57" t="n">
        <f aca="false">U27+AT27+BS27+CR27</f>
        <v>0.000654956194290082</v>
      </c>
      <c r="EB27" s="57" t="n">
        <f aca="false">V27+AU27+BT27+CS27</f>
        <v>0.00537622448627408</v>
      </c>
      <c r="EC27" s="57" t="n">
        <f aca="false">G27*dt*C27</f>
        <v>0.145738250600754</v>
      </c>
    </row>
    <row r="28" customFormat="false" ht="15" hidden="false" customHeight="false" outlineLevel="0" collapsed="false">
      <c r="A28" s="8" t="n">
        <v>22</v>
      </c>
      <c r="B28" s="54" t="n">
        <f aca="false">start_age+A28*dt</f>
        <v>75.5</v>
      </c>
      <c r="C28" s="16" t="n">
        <f aca="false">(1+disc_rate)^-(A28*dt)</f>
        <v>0.921375728584071</v>
      </c>
      <c r="D28" s="55" t="n">
        <f aca="false">IF(A28*dt&gt;=wane_start,(1-wane_decay)^(A28*dt-wane_start),1)</f>
        <v>1</v>
      </c>
      <c r="E28" s="25" t="n">
        <f aca="false">MIN(p_nonvasc_death*MIN(EXP(gomp_int+gomp_slope*INT(B28)),1)/qx_ref,0.999)</f>
        <v>0.0556830227001195</v>
      </c>
      <c r="F28" s="55" t="n">
        <f aca="false">rr_stroke_per_decade^((B28-ref_age)/10)</f>
        <v>1.24982783453907</v>
      </c>
      <c r="G28" s="57" t="n">
        <f aca="false">DH27</f>
        <v>0.614154551901403</v>
      </c>
      <c r="H28" s="57" t="n">
        <f aca="false">DI27</f>
        <v>0.0342439496267844</v>
      </c>
      <c r="I28" s="57" t="n">
        <f aca="false">DJ27</f>
        <v>0.0137230127719241</v>
      </c>
      <c r="J28" s="57" t="n">
        <f aca="false">DK27</f>
        <v>0.0853862595538248</v>
      </c>
      <c r="K28" s="57" t="n">
        <f aca="false">DL27</f>
        <v>0.252492226146063</v>
      </c>
      <c r="L28" s="57" t="n">
        <f aca="false">1-EXP(LN(1-E28)*dt)</f>
        <v>0.0142212559150164</v>
      </c>
      <c r="M28" s="57" t="n">
        <f aca="false">G28*(1-L28)</f>
        <v>0.605420502847441</v>
      </c>
      <c r="N28" s="57" t="n">
        <f aca="false">IF(Apixaban!$B$2=1,EXP(LN(or_apx_stroke)*D28)*(1-EXP(-r_stroke*F28*dt))/(1-(1-EXP(-r_stroke*F28*dt))+EXP(LN(or_apx_stroke)*D28)*(1-EXP(-r_stroke*F28*dt))),(1-EXP(-r_stroke*F28*dt)))</f>
        <v>0.00397557391080749</v>
      </c>
      <c r="O28" s="57" t="n">
        <f aca="false">IF(Apixaban!$B$2=1,EXP(LN(or_apx_ich)*D28)*(1-EXP(-r_ich*dt))/(1-(1-EXP(-r_ich*dt))+EXP(LN(or_apx_ich)*D28)*(1-EXP(-r_ich*dt))),(1-EXP(-r_ich*dt)))</f>
        <v>0.000843513249640701</v>
      </c>
      <c r="P28" s="57" t="n">
        <f aca="false">IF(Apixaban!$B$2=1,EXP(LN(or_apx_mb)*D28)*(1-EXP(-r_mb*dt))/(1-(1-EXP(-r_mb*dt))+EXP(LN(or_apx_mb)*D28)*(1-EXP(-r_mb*dt))),(1-EXP(-r_mb*dt)))</f>
        <v>0.00669446907979895</v>
      </c>
      <c r="Q28" s="57" t="n">
        <f aca="false">IF(Apixaban!$B$2=1,EXP(LN(or_apx_mi)*D28)*(1-EXP(-r_mi*dt))/(1-(1-EXP(-r_mi*dt))+EXP(LN(or_apx_mi)*D28)*(1-EXP(-r_mi*dt))),(1-EXP(-r_mi*dt)))</f>
        <v>0.00132321915530843</v>
      </c>
      <c r="R28" s="57" t="n">
        <f aca="false">(1-EXP(-r_tia*dt))</f>
        <v>0.0020060281549299</v>
      </c>
      <c r="S28" s="57" t="n">
        <f aca="false">(1-EXP(-r_minor*dt))</f>
        <v>0.0437937690785545</v>
      </c>
      <c r="T28" s="57" t="n">
        <f aca="false">M28*N28</f>
        <v>0.00240689395618824</v>
      </c>
      <c r="U28" s="57" t="n">
        <f aca="false">M28*O28</f>
        <v>0.000510680215755952</v>
      </c>
      <c r="V28" s="57" t="n">
        <f aca="false">M28*P28</f>
        <v>0.00405296883658853</v>
      </c>
      <c r="W28" s="57" t="n">
        <f aca="false">M28*Q28</f>
        <v>0.000801104006384195</v>
      </c>
      <c r="X28" s="57" t="n">
        <f aca="false">M28*R28</f>
        <v>0.00121449057428378</v>
      </c>
      <c r="Y28" s="57" t="n">
        <f aca="false">M28*S28</f>
        <v>0.0265136456971232</v>
      </c>
      <c r="Z28" s="57" t="n">
        <f aca="false">T28*f_stroke_fatal</f>
        <v>0.000570433867616613</v>
      </c>
      <c r="AA28" s="57" t="n">
        <f aca="false">T28*(1-f_stroke_fatal)*f_stroke_major</f>
        <v>0.000611541209494352</v>
      </c>
      <c r="AB28" s="57" t="n">
        <f aca="false">T28*(1-f_stroke_fatal)*(1-f_stroke_major)</f>
        <v>0.00122491887907728</v>
      </c>
      <c r="AC28" s="57" t="n">
        <f aca="false">U28*(1-f_bleed_fatal)</f>
        <v>0.000467783077632452</v>
      </c>
      <c r="AD28" s="57" t="n">
        <f aca="false">V28*(1-f_bleed_fatal)</f>
        <v>0.00371251945431509</v>
      </c>
      <c r="AE28" s="57" t="n">
        <f aca="false">W28*f_mi_fatal</f>
        <v>9.69335847724876E-005</v>
      </c>
      <c r="AF28" s="57" t="n">
        <f aca="false">W28-AE28</f>
        <v>0.000704170421611708</v>
      </c>
      <c r="AG28" s="57" t="n">
        <f aca="false">M28-T28-U28-V28-AE28</f>
        <v>0.598353026254136</v>
      </c>
      <c r="AH28" s="19" t="n">
        <f aca="false">Z28*c_stroke_fatal+AA28*c_stroke_major+AB28*c_stroke_minor+U28*c_ich+V28*c_major_bleed+AE28*c_mi_fatal+AF28*c_mi_nonfatal+X28*c_tia+Y28*c_minor_bleed</f>
        <v>147.758755537461</v>
      </c>
      <c r="AI28" s="57" t="n">
        <f aca="false">dt*(AF28*dec_mi+AD28*dec_major_bleed+Y28*dec_minor_bleed+X28*dec_tia)</f>
        <v>0.000224835753928071</v>
      </c>
      <c r="AJ28" s="57" t="n">
        <f aca="false">G28*L28+Z28+U28-AC28+V28-AD28+AE28</f>
        <v>0.00978476302674814</v>
      </c>
      <c r="AK28" s="57" t="n">
        <f aca="false">1-EXP(LN(1-E28)*hr_death_prior_stroke*dt)</f>
        <v>0.0324069647074854</v>
      </c>
      <c r="AL28" s="57" t="n">
        <f aca="false">H28*(1-AK28)</f>
        <v>0.0331342071597843</v>
      </c>
      <c r="AM28" s="57" t="n">
        <f aca="false">(1-EXP(-r_stroke*F28*rr_stroke_prior*rr_asa_stroke*dt))</f>
        <v>0.017801276377392</v>
      </c>
      <c r="AN28" s="57" t="n">
        <f aca="false">(1-EXP(-r_ich*rr_asa_ich*dt))</f>
        <v>0.00102357767802375</v>
      </c>
      <c r="AO28" s="57" t="n">
        <f aca="false">(1-EXP(-r_mb*rr_asa_mb*dt))</f>
        <v>0.00951809672747972</v>
      </c>
      <c r="AP28" s="57" t="n">
        <f aca="false">(1-EXP(-r_mi*rr_asa_mi*dt))</f>
        <v>0.00213413516393479</v>
      </c>
      <c r="AQ28" s="57" t="n">
        <f aca="false">(1-EXP(-r_tia*rr_asa_tia*dt))</f>
        <v>0.00312764565589152</v>
      </c>
      <c r="AR28" s="57" t="n">
        <f aca="false">(1-EXP(-r_minor*rr_asa_minor*dt))</f>
        <v>0.0278181950466747</v>
      </c>
      <c r="AS28" s="57" t="n">
        <f aca="false">AL28*AM28</f>
        <v>0.000589831179197083</v>
      </c>
      <c r="AT28" s="57" t="n">
        <f aca="false">AL28*AN28</f>
        <v>3.39154348277698E-005</v>
      </c>
      <c r="AU28" s="57" t="n">
        <f aca="false">AL28*AO28</f>
        <v>0.000315374588735178</v>
      </c>
      <c r="AV28" s="57" t="n">
        <f aca="false">AL28*AP28</f>
        <v>7.07128766287957E-005</v>
      </c>
      <c r="AW28" s="57" t="n">
        <f aca="false">AL28*AQ28</f>
        <v>0.000103632059084709</v>
      </c>
      <c r="AX28" s="57" t="n">
        <f aca="false">AL28*AR28</f>
        <v>0.000921733837487806</v>
      </c>
      <c r="AY28" s="57" t="n">
        <f aca="false">AS28*f_stroke_fatal_recur</f>
        <v>0.000219470283467443</v>
      </c>
      <c r="AZ28" s="57" t="n">
        <f aca="false">AS28*(1-f_stroke_fatal_recur)*f_stroke_major</f>
        <v>0.00012333017827797</v>
      </c>
      <c r="BA28" s="57" t="n">
        <f aca="false">AS28*(1-f_stroke_fatal_recur)*(1-f_stroke_major)</f>
        <v>0.00024703071745167</v>
      </c>
      <c r="BB28" s="57" t="n">
        <f aca="false">AT28*(1-f_bleed_fatal)</f>
        <v>3.10665383022372E-005</v>
      </c>
      <c r="BC28" s="57" t="n">
        <f aca="false">AU28*(1-f_bleed_fatal)</f>
        <v>0.000288883123281423</v>
      </c>
      <c r="BD28" s="57" t="n">
        <f aca="false">AV28*f_mi_fatal</f>
        <v>8.55625807208427E-006</v>
      </c>
      <c r="BE28" s="57" t="n">
        <f aca="false">AV28-BD28</f>
        <v>6.21566185567114E-005</v>
      </c>
      <c r="BF28" s="57" t="n">
        <f aca="false">AL28-AS28-AT28-AU28-BD28</f>
        <v>0.0321865296989522</v>
      </c>
      <c r="BG28" s="19" t="n">
        <f aca="false">AY28*c_stroke_fatal+AZ28*c_stroke_major+BA28*c_stroke_minor+AT28*c_ich+AU28*c_major_bleed+BD28*c_mi_fatal+BE28*c_mi_nonfatal+AW28*c_tia+AX28*c_minor_bleed</f>
        <v>24.7988534324747</v>
      </c>
      <c r="BH28" s="57" t="n">
        <f aca="false">dt*(BE28*dec_mi+BC28*dec_major_bleed+AX28*dec_minor_bleed+AW28*dec_tia)</f>
        <v>1.42508666586366E-005</v>
      </c>
      <c r="BI28" s="57" t="n">
        <f aca="false">H28*AK28+AY28+AT28-BB28+AU28-BC28+BD28</f>
        <v>0.00136710937051892</v>
      </c>
      <c r="BJ28" s="57" t="n">
        <f aca="false">1-EXP(LN(1-E28)*hr_death_prior_stroke*dt)</f>
        <v>0.0324069647074854</v>
      </c>
      <c r="BK28" s="57" t="n">
        <f aca="false">I28*(1-BJ28)</f>
        <v>0.013278291581344</v>
      </c>
      <c r="BL28" s="57" t="n">
        <f aca="false">(1-EXP(-r_stroke*F28*rr_stroke_prior*rr_asa_stroke*dt))</f>
        <v>0.017801276377392</v>
      </c>
      <c r="BM28" s="57" t="n">
        <f aca="false">(1-EXP(-r_ich*rr_asa_ich*dt))</f>
        <v>0.00102357767802375</v>
      </c>
      <c r="BN28" s="57" t="n">
        <f aca="false">(1-EXP(-r_mb*rr_asa_mb*dt))</f>
        <v>0.00951809672747972</v>
      </c>
      <c r="BO28" s="57" t="n">
        <f aca="false">(1-EXP(-r_mi*rr_asa_mi*dt))</f>
        <v>0.00213413516393479</v>
      </c>
      <c r="BP28" s="57" t="n">
        <f aca="false">(1-EXP(-r_tia*rr_asa_tia*dt))</f>
        <v>0.00312764565589152</v>
      </c>
      <c r="BQ28" s="57" t="n">
        <f aca="false">(1-EXP(-r_minor*rr_asa_minor*dt))</f>
        <v>0.0278181950466747</v>
      </c>
      <c r="BR28" s="57" t="n">
        <f aca="false">BK28*BL28</f>
        <v>0.000236370538259102</v>
      </c>
      <c r="BS28" s="57" t="n">
        <f aca="false">BK28*BM28</f>
        <v>1.35913628649543E-005</v>
      </c>
      <c r="BT28" s="57" t="n">
        <f aca="false">BK28*BN28</f>
        <v>0.000126384063646912</v>
      </c>
      <c r="BU28" s="57" t="n">
        <f aca="false">BK28*BO28</f>
        <v>2.83376689807255E-005</v>
      </c>
      <c r="BV28" s="57" t="n">
        <f aca="false">BK28*BP28</f>
        <v>4.15297909820515E-005</v>
      </c>
      <c r="BW28" s="57" t="n">
        <f aca="false">BK28*BQ28</f>
        <v>0.000369378105096446</v>
      </c>
      <c r="BX28" s="57" t="n">
        <f aca="false">BR28*f_stroke_fatal_recur</f>
        <v>8.79511135808294E-005</v>
      </c>
      <c r="BY28" s="57" t="n">
        <f aca="false">BR28*(1-f_stroke_fatal_recur)*f_stroke_major</f>
        <v>4.94236684178649E-005</v>
      </c>
      <c r="BZ28" s="57" t="n">
        <f aca="false">BR28*(1-f_stroke_fatal_recur)*(1-f_stroke_major)</f>
        <v>9.89957562604081E-005</v>
      </c>
      <c r="CA28" s="57" t="n">
        <f aca="false">BS28*(1-f_bleed_fatal)</f>
        <v>1.24496883842982E-005</v>
      </c>
      <c r="CB28" s="57" t="n">
        <f aca="false">BT28*(1-f_bleed_fatal)</f>
        <v>0.000115767802300571</v>
      </c>
      <c r="CC28" s="57" t="n">
        <f aca="false">BU28*f_mi_fatal</f>
        <v>3.42885794666779E-006</v>
      </c>
      <c r="CD28" s="57" t="n">
        <f aca="false">BU28-CC28</f>
        <v>2.49088110340577E-005</v>
      </c>
      <c r="CE28" s="57" t="n">
        <f aca="false">BK28-BR28-BS28-BT28-CC28</f>
        <v>0.0128985167586264</v>
      </c>
      <c r="CF28" s="19" t="n">
        <f aca="false">BX28*c_stroke_fatal+BY28*c_stroke_major+BZ28*c_stroke_minor+BS28*c_ich+BT28*c_major_bleed+CC28*c_mi_fatal+CD28*c_mi_nonfatal+BV28*c_tia+BW28*c_minor_bleed</f>
        <v>9.93795943785472</v>
      </c>
      <c r="CG28" s="57" t="n">
        <f aca="false">dt*(CD28*dec_mi+CB28*dec_major_bleed+BW28*dec_minor_bleed+BV28*dec_tia)</f>
        <v>5.71093075707872E-006</v>
      </c>
      <c r="CH28" s="57" t="n">
        <f aca="false">I28*BJ28+BX28+BS28-CA28+BT28-CB28+CC28</f>
        <v>0.00054785909793461</v>
      </c>
      <c r="CI28" s="57" t="n">
        <f aca="false">1-EXP(LN(1-E28)*dt)</f>
        <v>0.0142212559150164</v>
      </c>
      <c r="CJ28" s="57" t="n">
        <f aca="false">J28*(1-CI28)</f>
        <v>0.0841719597050838</v>
      </c>
      <c r="CK28" s="57" t="n">
        <f aca="false">(1-EXP(-r_stroke*F28*rr_asa_stroke*dt))</f>
        <v>0.00813113695657108</v>
      </c>
      <c r="CL28" s="57" t="n">
        <f aca="false">(1-EXP(-r_ich*rr_asa_ich*dt))</f>
        <v>0.00102357767802375</v>
      </c>
      <c r="CM28" s="57" t="n">
        <f aca="false">(1-EXP(-r_mb*rr_asa_mb*dt))</f>
        <v>0.00951809672747972</v>
      </c>
      <c r="CN28" s="57" t="n">
        <f aca="false">(1-EXP(-r_mi*rr_asa_mi*dt))</f>
        <v>0.00213413516393479</v>
      </c>
      <c r="CO28" s="57" t="n">
        <f aca="false">(1-EXP(-r_tia*rr_asa_tia*dt))</f>
        <v>0.00312764565589152</v>
      </c>
      <c r="CP28" s="57" t="n">
        <f aca="false">(1-EXP(-r_minor*rr_asa_minor*dt))</f>
        <v>0.0278181950466747</v>
      </c>
      <c r="CQ28" s="57" t="n">
        <f aca="false">CJ28*CK28</f>
        <v>0.000684413732265019</v>
      </c>
      <c r="CR28" s="57" t="n">
        <f aca="false">CJ28*CL28</f>
        <v>8.6156539069638E-005</v>
      </c>
      <c r="CS28" s="57" t="n">
        <f aca="false">CJ28*CM28</f>
        <v>0.000801156854214513</v>
      </c>
      <c r="CT28" s="57" t="n">
        <f aca="false">CJ28*CN28</f>
        <v>0.000179634339023922</v>
      </c>
      <c r="CU28" s="57" t="n">
        <f aca="false">CJ28*CO28</f>
        <v>0.000263260064119482</v>
      </c>
      <c r="CV28" s="57" t="n">
        <f aca="false">CJ28*CP28</f>
        <v>0.00234151199253687</v>
      </c>
      <c r="CW28" s="57" t="n">
        <f aca="false">CQ28*f_stroke_fatal</f>
        <v>0.00016220605454681</v>
      </c>
      <c r="CX28" s="57" t="n">
        <f aca="false">CQ28*(1-f_stroke_fatal)*f_stroke_major</f>
        <v>0.000173895156680164</v>
      </c>
      <c r="CY28" s="57" t="n">
        <f aca="false">CQ28*(1-f_stroke_fatal)*(1-f_stroke_major)</f>
        <v>0.000348312521038046</v>
      </c>
      <c r="CZ28" s="57" t="n">
        <f aca="false">CR28*(1-f_bleed_fatal)</f>
        <v>7.89193897877884E-005</v>
      </c>
      <c r="DA28" s="57" t="n">
        <f aca="false">CS28*(1-f_bleed_fatal)</f>
        <v>0.000733859678460494</v>
      </c>
      <c r="DB28" s="57" t="n">
        <f aca="false">CT28*f_mi_fatal</f>
        <v>2.17357550218945E-005</v>
      </c>
      <c r="DC28" s="57" t="n">
        <f aca="false">CT28-DB28</f>
        <v>0.000157898584002027</v>
      </c>
      <c r="DD28" s="57" t="n">
        <f aca="false">CJ28-CQ28-CR28-CS28-DB28</f>
        <v>0.0825784968245128</v>
      </c>
      <c r="DE28" s="19" t="n">
        <f aca="false">CW28*c_stroke_fatal+CX28*c_stroke_major+CY28*c_stroke_minor+CR28*c_ich+CS28*c_major_bleed+DB28*c_mi_fatal+DC28*c_mi_nonfatal+CU28*c_tia+CV28*c_minor_bleed</f>
        <v>36.6219152008919</v>
      </c>
      <c r="DF28" s="57" t="n">
        <f aca="false">dt*(DC28*dec_mi+DA28*dec_major_bleed+CV28*dec_minor_bleed+CU28*dec_tia)</f>
        <v>3.62019639814762E-005</v>
      </c>
      <c r="DG28" s="57" t="n">
        <f aca="false">J28*CI28+CW28+CR28-CZ28+CS28-DA28+DB28</f>
        <v>0.00147277598334553</v>
      </c>
      <c r="DH28" s="57" t="n">
        <f aca="false">AG28</f>
        <v>0.598353026254136</v>
      </c>
      <c r="DI28" s="57" t="n">
        <f aca="false">AB28+AC28+BF28+BA28+BB28+BC28+CY28+CZ28</f>
        <v>0.0348734439455231</v>
      </c>
      <c r="DJ28" s="57" t="n">
        <f aca="false">AA28+AZ28+BY28+CX28+CE28+BZ28+CA28+CB28</f>
        <v>0.014083920218442</v>
      </c>
      <c r="DK28" s="57" t="n">
        <f aca="false">AD28+DD28+DA28</f>
        <v>0.0870248759572884</v>
      </c>
      <c r="DL28" s="57" t="n">
        <f aca="false">K28+AJ28+BI28+CH28+DG28</f>
        <v>0.26566473362461</v>
      </c>
      <c r="DM28" s="58" t="n">
        <f aca="false">SUM(DH28:DL28)</f>
        <v>1</v>
      </c>
      <c r="DN28" s="19" t="n">
        <f aca="false">dt*(G28*Apixaban!$H$2+(H28+I28+J28)*c_aspirin)</f>
        <v>47.1076612529986</v>
      </c>
      <c r="DO28" s="19" t="n">
        <f aca="false">dt*(H28*c_lt_minor_stroke+I28*c_lt_major_stroke)</f>
        <v>182.165574200812</v>
      </c>
      <c r="DP28" s="19" t="n">
        <f aca="false">AH28+BG28+CF28+DE28</f>
        <v>219.117483608683</v>
      </c>
      <c r="DQ28" s="19" t="n">
        <f aca="false">DN28+DO28+DP28</f>
        <v>448.390719062493</v>
      </c>
      <c r="DR28" s="57" t="n">
        <f aca="false">dt*(G28*(u_af-dec_per_year_over_70*MAX(B28-ref_age,0))+H28*(u_minor_stroke-dec_per_year_over_70*MAX(B28-ref_age,0))+I28*(u_major_stroke-dec_per_year_over_70*MAX(B28-ref_age,0))+J28*(u_af-dec_per_year_over_70*MAX(B28-ref_age,0)))-AI28-BH28-CG28-DF28</f>
        <v>0.148639755146542</v>
      </c>
      <c r="DS28" s="57" t="n">
        <f aca="false">dt*(G28+H28+I28+J28)</f>
        <v>0.186876943463484</v>
      </c>
      <c r="DT28" s="19" t="n">
        <f aca="false">DQ28*C28</f>
        <v>413.13632546654</v>
      </c>
      <c r="DU28" s="19" t="n">
        <f aca="false">DN28*C28</f>
        <v>43.4038557088732</v>
      </c>
      <c r="DV28" s="19" t="n">
        <f aca="false">DP28*C28</f>
        <v>201.889531105458</v>
      </c>
      <c r="DW28" s="19" t="n">
        <f aca="false">DO28*C28</f>
        <v>167.842938652209</v>
      </c>
      <c r="DX28" s="57" t="n">
        <f aca="false">DR28*C28</f>
        <v>0.136953062694703</v>
      </c>
      <c r="DY28" s="57" t="n">
        <f aca="false">DS28*C28</f>
        <v>0.172183879939232</v>
      </c>
      <c r="DZ28" s="57" t="n">
        <f aca="false">T28+AS28+BR28+CQ28</f>
        <v>0.00391750940590944</v>
      </c>
      <c r="EA28" s="57" t="n">
        <f aca="false">U28+AT28+BS28+CR28</f>
        <v>0.000644343552518314</v>
      </c>
      <c r="EB28" s="57" t="n">
        <f aca="false">V28+AU28+BT28+CS28</f>
        <v>0.00529588434318513</v>
      </c>
      <c r="EC28" s="57" t="n">
        <f aca="false">G28*dt*C28</f>
        <v>0.141466774430345</v>
      </c>
    </row>
    <row r="29" customFormat="false" ht="15" hidden="false" customHeight="false" outlineLevel="0" collapsed="false">
      <c r="A29" s="8" t="n">
        <v>23</v>
      </c>
      <c r="B29" s="54" t="n">
        <f aca="false">start_age+A29*dt</f>
        <v>75.75</v>
      </c>
      <c r="C29" s="16" t="n">
        <f aca="false">(1+disc_rate)^-(A29*dt)</f>
        <v>0.91795260169141</v>
      </c>
      <c r="D29" s="55" t="n">
        <f aca="false">IF(A29*dt&gt;=wane_start,(1-wane_decay)^(A29*dt-wane_start),1)</f>
        <v>1</v>
      </c>
      <c r="E29" s="25" t="n">
        <f aca="false">MIN(p_nonvasc_death*MIN(EXP(gomp_int+gomp_slope*INT(B29)),1)/qx_ref,0.999)</f>
        <v>0.0556830227001195</v>
      </c>
      <c r="F29" s="55" t="n">
        <f aca="false">rr_stroke_per_decade^((B29-ref_age)/10)</f>
        <v>1.26256130216921</v>
      </c>
      <c r="G29" s="57" t="n">
        <f aca="false">DH28</f>
        <v>0.598353026254136</v>
      </c>
      <c r="H29" s="57" t="n">
        <f aca="false">DI28</f>
        <v>0.0348734439455231</v>
      </c>
      <c r="I29" s="57" t="n">
        <f aca="false">DJ28</f>
        <v>0.014083920218442</v>
      </c>
      <c r="J29" s="57" t="n">
        <f aca="false">DK28</f>
        <v>0.0870248759572884</v>
      </c>
      <c r="K29" s="57" t="n">
        <f aca="false">DL28</f>
        <v>0.26566473362461</v>
      </c>
      <c r="L29" s="57" t="n">
        <f aca="false">1-EXP(LN(1-E29)*dt)</f>
        <v>0.0142212559150164</v>
      </c>
      <c r="M29" s="57" t="n">
        <f aca="false">G29*(1-L29)</f>
        <v>0.589843694740251</v>
      </c>
      <c r="N29" s="57" t="n">
        <f aca="false">IF(Apixaban!$B$2=1,EXP(LN(or_apx_stroke)*D29)*(1-EXP(-r_stroke*F29*dt))/(1-(1-EXP(-r_stroke*F29*dt))+EXP(LN(or_apx_stroke)*D29)*(1-EXP(-r_stroke*F29*dt))),(1-EXP(-r_stroke*F29*dt)))</f>
        <v>0.00401601787685892</v>
      </c>
      <c r="O29" s="57" t="n">
        <f aca="false">IF(Apixaban!$B$2=1,EXP(LN(or_apx_ich)*D29)*(1-EXP(-r_ich*dt))/(1-(1-EXP(-r_ich*dt))+EXP(LN(or_apx_ich)*D29)*(1-EXP(-r_ich*dt))),(1-EXP(-r_ich*dt)))</f>
        <v>0.000843513249640701</v>
      </c>
      <c r="P29" s="57" t="n">
        <f aca="false">IF(Apixaban!$B$2=1,EXP(LN(or_apx_mb)*D29)*(1-EXP(-r_mb*dt))/(1-(1-EXP(-r_mb*dt))+EXP(LN(or_apx_mb)*D29)*(1-EXP(-r_mb*dt))),(1-EXP(-r_mb*dt)))</f>
        <v>0.00669446907979895</v>
      </c>
      <c r="Q29" s="57" t="n">
        <f aca="false">IF(Apixaban!$B$2=1,EXP(LN(or_apx_mi)*D29)*(1-EXP(-r_mi*dt))/(1-(1-EXP(-r_mi*dt))+EXP(LN(or_apx_mi)*D29)*(1-EXP(-r_mi*dt))),(1-EXP(-r_mi*dt)))</f>
        <v>0.00132321915530843</v>
      </c>
      <c r="R29" s="57" t="n">
        <f aca="false">(1-EXP(-r_tia*dt))</f>
        <v>0.0020060281549299</v>
      </c>
      <c r="S29" s="57" t="n">
        <f aca="false">(1-EXP(-r_minor*dt))</f>
        <v>0.0437937690785545</v>
      </c>
      <c r="T29" s="57" t="n">
        <f aca="false">M29*N29</f>
        <v>0.00236882282262936</v>
      </c>
      <c r="U29" s="57" t="n">
        <f aca="false">M29*O29</f>
        <v>0.000497540971730427</v>
      </c>
      <c r="V29" s="57" t="n">
        <f aca="false">M29*P29</f>
        <v>0.00394869037635298</v>
      </c>
      <c r="W29" s="57" t="n">
        <f aca="false">M29*Q29</f>
        <v>0.000780492475518198</v>
      </c>
      <c r="X29" s="57" t="n">
        <f aca="false">M29*R29</f>
        <v>0.00118324305865682</v>
      </c>
      <c r="Y29" s="57" t="n">
        <f aca="false">M29*S29</f>
        <v>0.0258314785598959</v>
      </c>
      <c r="Z29" s="57" t="n">
        <f aca="false">T29*f_stroke_fatal</f>
        <v>0.000561411008963159</v>
      </c>
      <c r="AA29" s="57" t="n">
        <f aca="false">T29*(1-f_stroke_fatal)*f_stroke_major</f>
        <v>0.000601868133950846</v>
      </c>
      <c r="AB29" s="57" t="n">
        <f aca="false">T29*(1-f_stroke_fatal)*(1-f_stroke_major)</f>
        <v>0.00120554367971536</v>
      </c>
      <c r="AC29" s="57" t="n">
        <f aca="false">U29*(1-f_bleed_fatal)</f>
        <v>0.000455747530105071</v>
      </c>
      <c r="AD29" s="57" t="n">
        <f aca="false">V29*(1-f_bleed_fatal)</f>
        <v>0.00361700038473933</v>
      </c>
      <c r="AE29" s="57" t="n">
        <f aca="false">W29*f_mi_fatal</f>
        <v>9.4439589537702E-005</v>
      </c>
      <c r="AF29" s="57" t="n">
        <f aca="false">W29-AE29</f>
        <v>0.000686052885980496</v>
      </c>
      <c r="AG29" s="57" t="n">
        <f aca="false">M29-T29-U29-V29-AE29</f>
        <v>0.582934200980001</v>
      </c>
      <c r="AH29" s="19" t="n">
        <f aca="false">Z29*c_stroke_fatal+AA29*c_stroke_major+AB29*c_stroke_minor+U29*c_ich+V29*c_major_bleed+AE29*c_mi_fatal+AF29*c_mi_nonfatal+X29*c_tia+Y29*c_minor_bleed</f>
        <v>144.838492766935</v>
      </c>
      <c r="AI29" s="57" t="n">
        <f aca="false">dt*(AF29*dec_mi+AD29*dec_major_bleed+Y29*dec_minor_bleed+X29*dec_tia)</f>
        <v>0.00021905097561597</v>
      </c>
      <c r="AJ29" s="57" t="n">
        <f aca="false">G29*L29+Z29+U29-AC29+V29-AD29+AE29</f>
        <v>0.00953866554562449</v>
      </c>
      <c r="AK29" s="57" t="n">
        <f aca="false">1-EXP(LN(1-E29)*hr_death_prior_stroke*dt)</f>
        <v>0.0324069647074854</v>
      </c>
      <c r="AL29" s="57" t="n">
        <f aca="false">H29*(1-AK29)</f>
        <v>0.0337433014783521</v>
      </c>
      <c r="AM29" s="57" t="n">
        <f aca="false">(1-EXP(-r_stroke*F29*rr_stroke_prior*rr_asa_stroke*dt))</f>
        <v>0.0179809985861282</v>
      </c>
      <c r="AN29" s="57" t="n">
        <f aca="false">(1-EXP(-r_ich*rr_asa_ich*dt))</f>
        <v>0.00102357767802375</v>
      </c>
      <c r="AO29" s="57" t="n">
        <f aca="false">(1-EXP(-r_mb*rr_asa_mb*dt))</f>
        <v>0.00951809672747972</v>
      </c>
      <c r="AP29" s="57" t="n">
        <f aca="false">(1-EXP(-r_mi*rr_asa_mi*dt))</f>
        <v>0.00213413516393479</v>
      </c>
      <c r="AQ29" s="57" t="n">
        <f aca="false">(1-EXP(-r_tia*rr_asa_tia*dt))</f>
        <v>0.00312764565589152</v>
      </c>
      <c r="AR29" s="57" t="n">
        <f aca="false">(1-EXP(-r_minor*rr_asa_minor*dt))</f>
        <v>0.0278181950466747</v>
      </c>
      <c r="AS29" s="57" t="n">
        <f aca="false">AL29*AM29</f>
        <v>0.000606738256173547</v>
      </c>
      <c r="AT29" s="57" t="n">
        <f aca="false">AL29*AN29</f>
        <v>3.45388901760668E-005</v>
      </c>
      <c r="AU29" s="57" t="n">
        <f aca="false">AL29*AO29</f>
        <v>0.000321172007375464</v>
      </c>
      <c r="AV29" s="57" t="n">
        <f aca="false">AL29*AP29</f>
        <v>7.2012766232204E-005</v>
      </c>
      <c r="AW29" s="57" t="n">
        <f aca="false">AL29*AQ29</f>
        <v>0.000105537090284206</v>
      </c>
      <c r="AX29" s="57" t="n">
        <f aca="false">AL29*AR29</f>
        <v>0.000938677742043545</v>
      </c>
      <c r="AY29" s="57" t="n">
        <f aca="false">AS29*f_stroke_fatal_recur</f>
        <v>0.000225761237739615</v>
      </c>
      <c r="AZ29" s="57" t="n">
        <f aca="false">AS29*(1-f_stroke_fatal_recur)*f_stroke_major</f>
        <v>0.000126865347138499</v>
      </c>
      <c r="BA29" s="57" t="n">
        <f aca="false">AS29*(1-f_stroke_fatal_recur)*(1-f_stroke_major)</f>
        <v>0.000254111671295433</v>
      </c>
      <c r="BB29" s="57" t="n">
        <f aca="false">AT29*(1-f_bleed_fatal)</f>
        <v>3.16376234012772E-005</v>
      </c>
      <c r="BC29" s="57" t="n">
        <f aca="false">AU29*(1-f_bleed_fatal)</f>
        <v>0.000294193558755925</v>
      </c>
      <c r="BD29" s="57" t="n">
        <f aca="false">AV29*f_mi_fatal</f>
        <v>8.71354471409668E-006</v>
      </c>
      <c r="BE29" s="57" t="n">
        <f aca="false">AV29-BD29</f>
        <v>6.32992215181073E-005</v>
      </c>
      <c r="BF29" s="57" t="n">
        <f aca="false">AL29-AS29-AT29-AU29-BD29</f>
        <v>0.0327721387799129</v>
      </c>
      <c r="BG29" s="19" t="n">
        <f aca="false">AY29*c_stroke_fatal+AZ29*c_stroke_major+BA29*c_stroke_minor+AT29*c_ich+AU29*c_major_bleed+BD29*c_mi_fatal+BE29*c_mi_nonfatal+AW29*c_tia+AX29*c_minor_bleed</f>
        <v>25.4638198477503</v>
      </c>
      <c r="BH29" s="57" t="n">
        <f aca="false">dt*(BE29*dec_mi+BC29*dec_major_bleed+AX29*dec_minor_bleed+AW29*dec_tia)</f>
        <v>1.4512835260287E-005</v>
      </c>
      <c r="BI29" s="57" t="n">
        <f aca="false">H29*AK29+AY29+AT29-BB29+AU29-BC29+BD29</f>
        <v>0.00139449696501908</v>
      </c>
      <c r="BJ29" s="57" t="n">
        <f aca="false">1-EXP(LN(1-E29)*hr_death_prior_stroke*dt)</f>
        <v>0.0324069647074854</v>
      </c>
      <c r="BK29" s="57" t="n">
        <f aca="false">I29*(1-BJ29)</f>
        <v>0.0136275031129799</v>
      </c>
      <c r="BL29" s="57" t="n">
        <f aca="false">(1-EXP(-r_stroke*F29*rr_stroke_prior*rr_asa_stroke*dt))</f>
        <v>0.0179809985861282</v>
      </c>
      <c r="BM29" s="57" t="n">
        <f aca="false">(1-EXP(-r_ich*rr_asa_ich*dt))</f>
        <v>0.00102357767802375</v>
      </c>
      <c r="BN29" s="57" t="n">
        <f aca="false">(1-EXP(-r_mb*rr_asa_mb*dt))</f>
        <v>0.00951809672747972</v>
      </c>
      <c r="BO29" s="57" t="n">
        <f aca="false">(1-EXP(-r_mi*rr_asa_mi*dt))</f>
        <v>0.00213413516393479</v>
      </c>
      <c r="BP29" s="57" t="n">
        <f aca="false">(1-EXP(-r_tia*rr_asa_tia*dt))</f>
        <v>0.00312764565589152</v>
      </c>
      <c r="BQ29" s="57" t="n">
        <f aca="false">(1-EXP(-r_minor*rr_asa_minor*dt))</f>
        <v>0.0278181950466747</v>
      </c>
      <c r="BR29" s="57" t="n">
        <f aca="false">BK29*BL29</f>
        <v>0.00024503611420695</v>
      </c>
      <c r="BS29" s="57" t="n">
        <f aca="false">BK29*BM29</f>
        <v>1.39488079936453E-005</v>
      </c>
      <c r="BT29" s="57" t="n">
        <f aca="false">BK29*BN29</f>
        <v>0.000129707892783374</v>
      </c>
      <c r="BU29" s="57" t="n">
        <f aca="false">BK29*BO29</f>
        <v>2.90829335900412E-005</v>
      </c>
      <c r="BV29" s="57" t="n">
        <f aca="false">BK29*BP29</f>
        <v>4.26220009119597E-005</v>
      </c>
      <c r="BW29" s="57" t="n">
        <f aca="false">BK29*BQ29</f>
        <v>0.000379092539596042</v>
      </c>
      <c r="BX29" s="57" t="n">
        <f aca="false">BR29*f_stroke_fatal_recur</f>
        <v>9.11754877352639E-005</v>
      </c>
      <c r="BY29" s="57" t="n">
        <f aca="false">BR29*(1-f_stroke_fatal_recur)*f_stroke_major</f>
        <v>5.12355886150713E-005</v>
      </c>
      <c r="BZ29" s="57" t="n">
        <f aca="false">BR29*(1-f_stroke_fatal_recur)*(1-f_stroke_major)</f>
        <v>0.000102625037856614</v>
      </c>
      <c r="CA29" s="57" t="n">
        <f aca="false">BS29*(1-f_bleed_fatal)</f>
        <v>1.27771081221791E-005</v>
      </c>
      <c r="CB29" s="57" t="n">
        <f aca="false">BT29*(1-f_bleed_fatal)</f>
        <v>0.00011881242978957</v>
      </c>
      <c r="CC29" s="57" t="n">
        <f aca="false">BU29*f_mi_fatal</f>
        <v>3.51903496439499E-006</v>
      </c>
      <c r="CD29" s="57" t="n">
        <f aca="false">BU29-CC29</f>
        <v>2.55638986256462E-005</v>
      </c>
      <c r="CE29" s="57" t="n">
        <f aca="false">BK29-BR29-BS29-BT29-CC29</f>
        <v>0.0132352912630315</v>
      </c>
      <c r="CF29" s="19" t="n">
        <f aca="false">BX29*c_stroke_fatal+BY29*c_stroke_major+BZ29*c_stroke_minor+BS29*c_ich+BT29*c_major_bleed+CC29*c_mi_fatal+CD29*c_mi_nonfatal+BV29*c_tia+BW29*c_minor_bleed</f>
        <v>10.2837680084801</v>
      </c>
      <c r="CG29" s="57" t="n">
        <f aca="false">dt*(CD29*dec_mi+CB29*dec_major_bleed+BW29*dec_minor_bleed+BV29*dec_tia)</f>
        <v>5.86112499438166E-006</v>
      </c>
      <c r="CH29" s="57" t="n">
        <f aca="false">I29*BJ29+BX29+BS29-CA29+BT29-CB29+CC29</f>
        <v>0.000563178791027018</v>
      </c>
      <c r="CI29" s="57" t="n">
        <f aca="false">1-EXP(LN(1-E29)*dt)</f>
        <v>0.0142212559150164</v>
      </c>
      <c r="CJ29" s="57" t="n">
        <f aca="false">J29*(1-CI29)</f>
        <v>0.0857872729253272</v>
      </c>
      <c r="CK29" s="57" t="n">
        <f aca="false">(1-EXP(-r_stroke*F29*rr_asa_stroke*dt))</f>
        <v>0.00821363727643965</v>
      </c>
      <c r="CL29" s="57" t="n">
        <f aca="false">(1-EXP(-r_ich*rr_asa_ich*dt))</f>
        <v>0.00102357767802375</v>
      </c>
      <c r="CM29" s="57" t="n">
        <f aca="false">(1-EXP(-r_mb*rr_asa_mb*dt))</f>
        <v>0.00951809672747972</v>
      </c>
      <c r="CN29" s="57" t="n">
        <f aca="false">(1-EXP(-r_mi*rr_asa_mi*dt))</f>
        <v>0.00213413516393479</v>
      </c>
      <c r="CO29" s="57" t="n">
        <f aca="false">(1-EXP(-r_tia*rr_asa_tia*dt))</f>
        <v>0.00312764565589152</v>
      </c>
      <c r="CP29" s="57" t="n">
        <f aca="false">(1-EXP(-r_minor*rr_asa_minor*dt))</f>
        <v>0.0278181950466747</v>
      </c>
      <c r="CQ29" s="57" t="n">
        <f aca="false">CJ29*CK29</f>
        <v>0.000704625542743569</v>
      </c>
      <c r="CR29" s="57" t="n">
        <f aca="false">CJ29*CL29</f>
        <v>8.78099376248958E-005</v>
      </c>
      <c r="CS29" s="57" t="n">
        <f aca="false">CJ29*CM29</f>
        <v>0.000816531561689966</v>
      </c>
      <c r="CT29" s="57" t="n">
        <f aca="false">CJ29*CN29</f>
        <v>0.000183081635768012</v>
      </c>
      <c r="CU29" s="57" t="n">
        <f aca="false">CJ29*CO29</f>
        <v>0.00026831219149568</v>
      </c>
      <c r="CV29" s="57" t="n">
        <f aca="false">CJ29*CP29</f>
        <v>0.00238644709075907</v>
      </c>
      <c r="CW29" s="57" t="n">
        <f aca="false">CQ29*f_stroke_fatal</f>
        <v>0.000166996253630226</v>
      </c>
      <c r="CX29" s="57" t="n">
        <f aca="false">CQ29*(1-f_stroke_fatal)*f_stroke_major</f>
        <v>0.000179030553274743</v>
      </c>
      <c r="CY29" s="57" t="n">
        <f aca="false">CQ29*(1-f_stroke_fatal)*(1-f_stroke_major)</f>
        <v>0.0003585987358386</v>
      </c>
      <c r="CZ29" s="57" t="n">
        <f aca="false">CR29*(1-f_bleed_fatal)</f>
        <v>8.04339028644045E-005</v>
      </c>
      <c r="DA29" s="57" t="n">
        <f aca="false">CS29*(1-f_bleed_fatal)</f>
        <v>0.000747942910508009</v>
      </c>
      <c r="DB29" s="57" t="n">
        <f aca="false">CT29*f_mi_fatal</f>
        <v>2.21528779279294E-005</v>
      </c>
      <c r="DC29" s="57" t="n">
        <f aca="false">CT29-DB29</f>
        <v>0.000160928757840082</v>
      </c>
      <c r="DD29" s="57" t="n">
        <f aca="false">CJ29-CQ29-CR29-CS29-DB29</f>
        <v>0.0841561530053408</v>
      </c>
      <c r="DE29" s="19" t="n">
        <f aca="false">CW29*c_stroke_fatal+CX29*c_stroke_major+CY29*c_stroke_minor+CR29*c_ich+CS29*c_major_bleed+DB29*c_mi_fatal+DC29*c_mi_nonfatal+CU29*c_tia+CV29*c_minor_bleed</f>
        <v>37.5862089738163</v>
      </c>
      <c r="DF29" s="57" t="n">
        <f aca="false">dt*(DC29*dec_mi+DA29*dec_major_bleed+CV29*dec_minor_bleed+CU29*dec_tia)</f>
        <v>3.68967026001675E-005</v>
      </c>
      <c r="DG29" s="57" t="n">
        <f aca="false">J29*CI29+CW29+CR29-CZ29+CS29-DA29+DB29</f>
        <v>0.00150271684946176</v>
      </c>
      <c r="DH29" s="57" t="n">
        <f aca="false">AG29</f>
        <v>0.582934200980001</v>
      </c>
      <c r="DI29" s="57" t="n">
        <f aca="false">AB29+AC29+BF29+BA29+BB29+BC29+CY29+CZ29</f>
        <v>0.035452405481889</v>
      </c>
      <c r="DJ29" s="57" t="n">
        <f aca="false">AA29+AZ29+BY29+CX29+CE29+BZ29+CA29+CB29</f>
        <v>0.0144285054617791</v>
      </c>
      <c r="DK29" s="57" t="n">
        <f aca="false">AD29+DD29+DA29</f>
        <v>0.0885210963005882</v>
      </c>
      <c r="DL29" s="57" t="n">
        <f aca="false">K29+AJ29+BI29+CH29+DG29</f>
        <v>0.278663791775743</v>
      </c>
      <c r="DM29" s="58" t="n">
        <f aca="false">SUM(DH29:DL29)</f>
        <v>1</v>
      </c>
      <c r="DN29" s="19" t="n">
        <f aca="false">dt*(G29*Apixaban!$H$2+(H29+I29+J29)*c_aspirin)</f>
        <v>45.9547786913732</v>
      </c>
      <c r="DO29" s="19" t="n">
        <f aca="false">dt*(H29*c_lt_minor_stroke+I29*c_lt_major_stroke)</f>
        <v>186.223543444655</v>
      </c>
      <c r="DP29" s="19" t="n">
        <f aca="false">AH29+BG29+CF29+DE29</f>
        <v>218.172289596982</v>
      </c>
      <c r="DQ29" s="19" t="n">
        <f aca="false">DN29+DO29+DP29</f>
        <v>450.35061173301</v>
      </c>
      <c r="DR29" s="57" t="n">
        <f aca="false">dt*(G29*(u_af-dec_per_year_over_70*MAX(B29-ref_age,0))+H29*(u_minor_stroke-dec_per_year_over_70*MAX(B29-ref_age,0))+I29*(u_major_stroke-dec_per_year_over_70*MAX(B29-ref_age,0))+J29*(u_af-dec_per_year_over_70*MAX(B29-ref_age,0)))-AI29-BH29-CG29-DF29</f>
        <v>0.145916426251121</v>
      </c>
      <c r="DS29" s="57" t="n">
        <f aca="false">dt*(G29+H29+I29+J29)</f>
        <v>0.183583816593847</v>
      </c>
      <c r="DT29" s="19" t="n">
        <f aca="false">DQ29*C29</f>
        <v>413.400515713634</v>
      </c>
      <c r="DU29" s="19" t="n">
        <f aca="false">DN29*C29</f>
        <v>42.184308659899</v>
      </c>
      <c r="DV29" s="19" t="n">
        <f aca="false">DP29*C29</f>
        <v>200.271820852521</v>
      </c>
      <c r="DW29" s="19" t="n">
        <f aca="false">DO29*C29</f>
        <v>170.944386201214</v>
      </c>
      <c r="DX29" s="57" t="n">
        <f aca="false">DR29*C29</f>
        <v>0.13394436310673</v>
      </c>
      <c r="DY29" s="57" t="n">
        <f aca="false">DS29*C29</f>
        <v>0.168521242070761</v>
      </c>
      <c r="DZ29" s="57" t="n">
        <f aca="false">T29+AS29+BR29+CQ29</f>
        <v>0.00392522273575343</v>
      </c>
      <c r="EA29" s="57" t="n">
        <f aca="false">U29+AT29+BS29+CR29</f>
        <v>0.000633838607525035</v>
      </c>
      <c r="EB29" s="57" t="n">
        <f aca="false">V29+AU29+BT29+CS29</f>
        <v>0.00521610183820179</v>
      </c>
      <c r="EC29" s="57" t="n">
        <f aca="false">G29*dt*C29</f>
        <v>0.137314929294978</v>
      </c>
    </row>
    <row r="30" customFormat="false" ht="15" hidden="false" customHeight="false" outlineLevel="0" collapsed="false">
      <c r="A30" s="8" t="n">
        <v>24</v>
      </c>
      <c r="B30" s="54" t="n">
        <f aca="false">start_age+A30*dt</f>
        <v>76</v>
      </c>
      <c r="C30" s="16" t="n">
        <f aca="false">(1+disc_rate)^-(A30*dt)</f>
        <v>0.914542192517872</v>
      </c>
      <c r="D30" s="55" t="n">
        <f aca="false">IF(A30*dt&gt;=wane_start,(1-wane_decay)^(A30*dt-wane_start),1)</f>
        <v>1</v>
      </c>
      <c r="E30" s="25" t="n">
        <f aca="false">MIN(p_nonvasc_death*MIN(EXP(gomp_int+gomp_slope*INT(B30)),1)/qx_ref,0.999)</f>
        <v>0.061825064060722</v>
      </c>
      <c r="F30" s="55" t="n">
        <f aca="false">rr_stroke_per_decade^((B30-ref_age)/10)</f>
        <v>1.27542450062579</v>
      </c>
      <c r="G30" s="57" t="n">
        <f aca="false">DH29</f>
        <v>0.582934200980001</v>
      </c>
      <c r="H30" s="57" t="n">
        <f aca="false">DI29</f>
        <v>0.035452405481889</v>
      </c>
      <c r="I30" s="57" t="n">
        <f aca="false">DJ29</f>
        <v>0.0144285054617791</v>
      </c>
      <c r="J30" s="57" t="n">
        <f aca="false">DK29</f>
        <v>0.0885210963005882</v>
      </c>
      <c r="K30" s="57" t="n">
        <f aca="false">DL29</f>
        <v>0.278663791775743</v>
      </c>
      <c r="L30" s="57" t="n">
        <f aca="false">1-EXP(LN(1-E30)*dt)</f>
        <v>0.0158281098993188</v>
      </c>
      <c r="M30" s="57" t="n">
        <f aca="false">G30*(1-L30)</f>
        <v>0.573707454382818</v>
      </c>
      <c r="N30" s="57" t="n">
        <f aca="false">IF(Apixaban!$B$2=1,EXP(LN(or_apx_stroke)*D30)*(1-EXP(-r_stroke*F30*dt))/(1-(1-EXP(-r_stroke*F30*dt))+EXP(LN(or_apx_stroke)*D30)*(1-EXP(-r_stroke*F30*dt))),(1-EXP(-r_stroke*F30*dt)))</f>
        <v>0.004056872666759</v>
      </c>
      <c r="O30" s="57" t="n">
        <f aca="false">IF(Apixaban!$B$2=1,EXP(LN(or_apx_ich)*D30)*(1-EXP(-r_ich*dt))/(1-(1-EXP(-r_ich*dt))+EXP(LN(or_apx_ich)*D30)*(1-EXP(-r_ich*dt))),(1-EXP(-r_ich*dt)))</f>
        <v>0.000843513249640701</v>
      </c>
      <c r="P30" s="57" t="n">
        <f aca="false">IF(Apixaban!$B$2=1,EXP(LN(or_apx_mb)*D30)*(1-EXP(-r_mb*dt))/(1-(1-EXP(-r_mb*dt))+EXP(LN(or_apx_mb)*D30)*(1-EXP(-r_mb*dt))),(1-EXP(-r_mb*dt)))</f>
        <v>0.00669446907979895</v>
      </c>
      <c r="Q30" s="57" t="n">
        <f aca="false">IF(Apixaban!$B$2=1,EXP(LN(or_apx_mi)*D30)*(1-EXP(-r_mi*dt))/(1-(1-EXP(-r_mi*dt))+EXP(LN(or_apx_mi)*D30)*(1-EXP(-r_mi*dt))),(1-EXP(-r_mi*dt)))</f>
        <v>0.00132321915530843</v>
      </c>
      <c r="R30" s="57" t="n">
        <f aca="false">(1-EXP(-r_tia*dt))</f>
        <v>0.0020060281549299</v>
      </c>
      <c r="S30" s="57" t="n">
        <f aca="false">(1-EXP(-r_minor*dt))</f>
        <v>0.0437937690785545</v>
      </c>
      <c r="T30" s="57" t="n">
        <f aca="false">M30*N30</f>
        <v>0.00232745809040154</v>
      </c>
      <c r="U30" s="57" t="n">
        <f aca="false">M30*O30</f>
        <v>0.000483929839189545</v>
      </c>
      <c r="V30" s="57" t="n">
        <f aca="false">M30*P30</f>
        <v>0.00384066681421594</v>
      </c>
      <c r="W30" s="57" t="n">
        <f aca="false">M30*Q30</f>
        <v>0.000759140693182581</v>
      </c>
      <c r="X30" s="57" t="n">
        <f aca="false">M30*R30</f>
        <v>0.00115087330618509</v>
      </c>
      <c r="Y30" s="57" t="n">
        <f aca="false">M30*S30</f>
        <v>0.0251248117758865</v>
      </c>
      <c r="Z30" s="57" t="n">
        <f aca="false">T30*f_stroke_fatal</f>
        <v>0.000551607567425165</v>
      </c>
      <c r="AA30" s="57" t="n">
        <f aca="false">T30*(1-f_stroke_fatal)*f_stroke_major</f>
        <v>0.000591358224151133</v>
      </c>
      <c r="AB30" s="57" t="n">
        <f aca="false">T30*(1-f_stroke_fatal)*(1-f_stroke_major)</f>
        <v>0.00118449229882524</v>
      </c>
      <c r="AC30" s="57" t="n">
        <f aca="false">U30*(1-f_bleed_fatal)</f>
        <v>0.000443279732697623</v>
      </c>
      <c r="AD30" s="57" t="n">
        <f aca="false">V30*(1-f_bleed_fatal)</f>
        <v>0.0035180508018218</v>
      </c>
      <c r="AE30" s="57" t="n">
        <f aca="false">W30*f_mi_fatal</f>
        <v>9.18560238750923E-005</v>
      </c>
      <c r="AF30" s="57" t="n">
        <f aca="false">W30-AE30</f>
        <v>0.000667284669307489</v>
      </c>
      <c r="AG30" s="57" t="n">
        <f aca="false">M30-T30-U30-V30-AE30</f>
        <v>0.566963543615136</v>
      </c>
      <c r="AH30" s="19" t="n">
        <f aca="false">Z30*c_stroke_fatal+AA30*c_stroke_major+AB30*c_stroke_minor+U30*c_ich+V30*c_major_bleed+AE30*c_mi_fatal+AF30*c_mi_nonfatal+X30*c_tia+Y30*c_minor_bleed</f>
        <v>141.742178358158</v>
      </c>
      <c r="AI30" s="57" t="n">
        <f aca="false">dt*(AF30*dec_mi+AD30*dec_major_bleed+Y30*dec_minor_bleed+X30*dec_tia)</f>
        <v>0.000213058440263658</v>
      </c>
      <c r="AJ30" s="57" t="n">
        <f aca="false">G30*L30+Z30+U30-AC30+V30-AD30+AE30</f>
        <v>0.0102334763073694</v>
      </c>
      <c r="AK30" s="57" t="n">
        <f aca="false">1-EXP(LN(1-E30)*hr_death_prior_stroke*dt)</f>
        <v>0.0360307062977862</v>
      </c>
      <c r="AL30" s="57" t="n">
        <f aca="false">H30*(1-AK30)</f>
        <v>0.034175030272421</v>
      </c>
      <c r="AM30" s="57" t="n">
        <f aca="false">(1-EXP(-r_stroke*F30*rr_stroke_prior*rr_asa_stroke*dt))</f>
        <v>0.0181625184468738</v>
      </c>
      <c r="AN30" s="57" t="n">
        <f aca="false">(1-EXP(-r_ich*rr_asa_ich*dt))</f>
        <v>0.00102357767802375</v>
      </c>
      <c r="AO30" s="57" t="n">
        <f aca="false">(1-EXP(-r_mb*rr_asa_mb*dt))</f>
        <v>0.00951809672747972</v>
      </c>
      <c r="AP30" s="57" t="n">
        <f aca="false">(1-EXP(-r_mi*rr_asa_mi*dt))</f>
        <v>0.00213413516393479</v>
      </c>
      <c r="AQ30" s="57" t="n">
        <f aca="false">(1-EXP(-r_tia*rr_asa_tia*dt))</f>
        <v>0.00312764565589152</v>
      </c>
      <c r="AR30" s="57" t="n">
        <f aca="false">(1-EXP(-r_minor*rr_asa_minor*dt))</f>
        <v>0.0278181950466747</v>
      </c>
      <c r="AS30" s="57" t="n">
        <f aca="false">AL30*AM30</f>
        <v>0.000620704617745316</v>
      </c>
      <c r="AT30" s="57" t="n">
        <f aca="false">AL30*AN30</f>
        <v>3.49807981326359E-005</v>
      </c>
      <c r="AU30" s="57" t="n">
        <f aca="false">AL30*AO30</f>
        <v>0.000325281243797451</v>
      </c>
      <c r="AV30" s="57" t="n">
        <f aca="false">AL30*AP30</f>
        <v>7.29341338329097E-005</v>
      </c>
      <c r="AW30" s="57" t="n">
        <f aca="false">AL30*AQ30</f>
        <v>0.000106887384971499</v>
      </c>
      <c r="AX30" s="57" t="n">
        <f aca="false">AL30*AR30</f>
        <v>0.00095068765784422</v>
      </c>
      <c r="AY30" s="57" t="n">
        <f aca="false">AS30*f_stroke_fatal_recur</f>
        <v>0.000230957981216855</v>
      </c>
      <c r="AZ30" s="57" t="n">
        <f aca="false">AS30*(1-f_stroke_fatal_recur)*f_stroke_major</f>
        <v>0.000129785629963978</v>
      </c>
      <c r="BA30" s="57" t="n">
        <f aca="false">AS30*(1-f_stroke_fatal_recur)*(1-f_stroke_major)</f>
        <v>0.000259961006564484</v>
      </c>
      <c r="BB30" s="57" t="n">
        <f aca="false">AT30*(1-f_bleed_fatal)</f>
        <v>3.20424110894945E-005</v>
      </c>
      <c r="BC30" s="57" t="n">
        <f aca="false">AU30*(1-f_bleed_fatal)</f>
        <v>0.000297957619318465</v>
      </c>
      <c r="BD30" s="57" t="n">
        <f aca="false">AV30*f_mi_fatal</f>
        <v>8.82503019378207E-006</v>
      </c>
      <c r="BE30" s="57" t="n">
        <f aca="false">AV30-BD30</f>
        <v>6.41091036391276E-005</v>
      </c>
      <c r="BF30" s="57" t="n">
        <f aca="false">AL30-AS30-AT30-AU30-BD30</f>
        <v>0.0331852385825518</v>
      </c>
      <c r="BG30" s="19" t="n">
        <f aca="false">AY30*c_stroke_fatal+AZ30*c_stroke_major+BA30*c_stroke_minor+AT30*c_ich+AU30*c_major_bleed+BD30*c_mi_fatal+BE30*c_mi_nonfatal+AW30*c_tia+AX30*c_minor_bleed</f>
        <v>26.0035082599709</v>
      </c>
      <c r="BH30" s="57" t="n">
        <f aca="false">dt*(BE30*dec_mi+BC30*dec_major_bleed+AX30*dec_minor_bleed+AW30*dec_tia)</f>
        <v>1.46985197840572E-005</v>
      </c>
      <c r="BI30" s="57" t="n">
        <f aca="false">H30*AK30+AY30+AT30-BB30+AU30-BC30+BD30</f>
        <v>0.00154742023240073</v>
      </c>
      <c r="BJ30" s="57" t="n">
        <f aca="false">1-EXP(LN(1-E30)*hr_death_prior_stroke*dt)</f>
        <v>0.0360307062977862</v>
      </c>
      <c r="BK30" s="57" t="n">
        <f aca="false">I30*(1-BJ30)</f>
        <v>0.0139086362191697</v>
      </c>
      <c r="BL30" s="57" t="n">
        <f aca="false">(1-EXP(-r_stroke*F30*rr_stroke_prior*rr_asa_stroke*dt))</f>
        <v>0.0181625184468738</v>
      </c>
      <c r="BM30" s="57" t="n">
        <f aca="false">(1-EXP(-r_ich*rr_asa_ich*dt))</f>
        <v>0.00102357767802375</v>
      </c>
      <c r="BN30" s="57" t="n">
        <f aca="false">(1-EXP(-r_mb*rr_asa_mb*dt))</f>
        <v>0.00951809672747972</v>
      </c>
      <c r="BO30" s="57" t="n">
        <f aca="false">(1-EXP(-r_mi*rr_asa_mi*dt))</f>
        <v>0.00213413516393479</v>
      </c>
      <c r="BP30" s="57" t="n">
        <f aca="false">(1-EXP(-r_tia*rr_asa_tia*dt))</f>
        <v>0.00312764565589152</v>
      </c>
      <c r="BQ30" s="57" t="n">
        <f aca="false">(1-EXP(-r_minor*rr_asa_minor*dt))</f>
        <v>0.0278181950466747</v>
      </c>
      <c r="BR30" s="57" t="n">
        <f aca="false">BK30*BL30</f>
        <v>0.000252615861901526</v>
      </c>
      <c r="BS30" s="57" t="n">
        <f aca="false">BK30*BM30</f>
        <v>1.42365695656947E-005</v>
      </c>
      <c r="BT30" s="57" t="n">
        <f aca="false">BK30*BN30</f>
        <v>0.000132383744881385</v>
      </c>
      <c r="BU30" s="57" t="n">
        <f aca="false">BK30*BO30</f>
        <v>2.96829096377071E-005</v>
      </c>
      <c r="BV30" s="57" t="n">
        <f aca="false">BK30*BP30</f>
        <v>4.35012856502615E-005</v>
      </c>
      <c r="BW30" s="57" t="n">
        <f aca="false">BK30*BQ30</f>
        <v>0.000386913155178107</v>
      </c>
      <c r="BX30" s="57" t="n">
        <f aca="false">BR30*f_stroke_fatal_recur</f>
        <v>9.39958360549389E-005</v>
      </c>
      <c r="BY30" s="57" t="n">
        <f aca="false">BR30*(1-f_stroke_fatal_recur)*f_stroke_major</f>
        <v>5.28204686069136E-005</v>
      </c>
      <c r="BZ30" s="57" t="n">
        <f aca="false">BR30*(1-f_stroke_fatal_recur)*(1-f_stroke_major)</f>
        <v>0.000105799557239674</v>
      </c>
      <c r="CA30" s="57" t="n">
        <f aca="false">BS30*(1-f_bleed_fatal)</f>
        <v>1.30406977221763E-005</v>
      </c>
      <c r="CB30" s="57" t="n">
        <f aca="false">BT30*(1-f_bleed_fatal)</f>
        <v>0.000121263510311349</v>
      </c>
      <c r="CC30" s="57" t="n">
        <f aca="false">BU30*f_mi_fatal</f>
        <v>3.59163206616256E-006</v>
      </c>
      <c r="CD30" s="57" t="n">
        <f aca="false">BU30-CC30</f>
        <v>2.60912775715445E-005</v>
      </c>
      <c r="CE30" s="57" t="n">
        <f aca="false">BK30-BR30-BS30-BT30-CC30</f>
        <v>0.0135058084107549</v>
      </c>
      <c r="CF30" s="19" t="n">
        <f aca="false">BX30*c_stroke_fatal+BY30*c_stroke_major+BZ30*c_stroke_minor+BS30*c_ich+BT30*c_major_bleed+CC30*c_mi_fatal+CD30*c_mi_nonfatal+BV30*c_tia+BW30*c_minor_bleed</f>
        <v>10.5829704883093</v>
      </c>
      <c r="CG30" s="57" t="n">
        <f aca="false">dt*(CD30*dec_mi+CB30*dec_major_bleed+BW30*dec_minor_bleed+BV30*dec_tia)</f>
        <v>5.98203902109487E-006</v>
      </c>
      <c r="CH30" s="57" t="n">
        <f aca="false">I30*BJ30+BX30+BS30-CA30+BT30-CB30+CC30</f>
        <v>0.000629772817144021</v>
      </c>
      <c r="CI30" s="57" t="n">
        <f aca="false">1-EXP(LN(1-E30)*dt)</f>
        <v>0.0158281098993188</v>
      </c>
      <c r="CJ30" s="57" t="n">
        <f aca="false">J30*(1-CI30)</f>
        <v>0.0871199746599343</v>
      </c>
      <c r="CK30" s="57" t="n">
        <f aca="false">(1-EXP(-r_stroke*F30*rr_asa_stroke*dt))</f>
        <v>0.008296971156876</v>
      </c>
      <c r="CL30" s="57" t="n">
        <f aca="false">(1-EXP(-r_ich*rr_asa_ich*dt))</f>
        <v>0.00102357767802375</v>
      </c>
      <c r="CM30" s="57" t="n">
        <f aca="false">(1-EXP(-r_mb*rr_asa_mb*dt))</f>
        <v>0.00951809672747972</v>
      </c>
      <c r="CN30" s="57" t="n">
        <f aca="false">(1-EXP(-r_mi*rr_asa_mi*dt))</f>
        <v>0.00213413516393479</v>
      </c>
      <c r="CO30" s="57" t="n">
        <f aca="false">(1-EXP(-r_tia*rr_asa_tia*dt))</f>
        <v>0.00312764565589152</v>
      </c>
      <c r="CP30" s="57" t="n">
        <f aca="false">(1-EXP(-r_minor*rr_asa_minor*dt))</f>
        <v>0.0278181950466747</v>
      </c>
      <c r="CQ30" s="57" t="n">
        <f aca="false">CJ30*CK30</f>
        <v>0.000722831916941242</v>
      </c>
      <c r="CR30" s="57" t="n">
        <f aca="false">CJ30*CL30</f>
        <v>8.91740613719031E-005</v>
      </c>
      <c r="CS30" s="57" t="n">
        <f aca="false">CJ30*CM30</f>
        <v>0.000829216345708836</v>
      </c>
      <c r="CT30" s="57" t="n">
        <f aca="false">CJ30*CN30</f>
        <v>0.000185925801402874</v>
      </c>
      <c r="CU30" s="57" t="n">
        <f aca="false">CJ30*CO30</f>
        <v>0.000272480410286523</v>
      </c>
      <c r="CV30" s="57" t="n">
        <f aca="false">CJ30*CP30</f>
        <v>0.00242352044755141</v>
      </c>
      <c r="CW30" s="57" t="n">
        <f aca="false">CQ30*f_stroke_fatal</f>
        <v>0.000171311164315074</v>
      </c>
      <c r="CX30" s="57" t="n">
        <f aca="false">CQ30*(1-f_stroke_fatal)*f_stroke_major</f>
        <v>0.000183656410624514</v>
      </c>
      <c r="CY30" s="57" t="n">
        <f aca="false">CQ30*(1-f_stroke_fatal)*(1-f_stroke_major)</f>
        <v>0.000367864342001654</v>
      </c>
      <c r="CZ30" s="57" t="n">
        <f aca="false">CR30*(1-f_bleed_fatal)</f>
        <v>8.16834402166632E-005</v>
      </c>
      <c r="DA30" s="57" t="n">
        <f aca="false">CS30*(1-f_bleed_fatal)</f>
        <v>0.000759562172669294</v>
      </c>
      <c r="DB30" s="57" t="n">
        <f aca="false">CT30*f_mi_fatal</f>
        <v>2.24970219697477E-005</v>
      </c>
      <c r="DC30" s="57" t="n">
        <f aca="false">CT30-DB30</f>
        <v>0.000163428779433126</v>
      </c>
      <c r="DD30" s="57" t="n">
        <f aca="false">CJ30-CQ30-CR30-CS30-DB30</f>
        <v>0.0854562553139425</v>
      </c>
      <c r="DE30" s="19" t="n">
        <f aca="false">CW30*c_stroke_fatal+CX30*c_stroke_major+CY30*c_stroke_minor+CR30*c_ich+CS30*c_major_bleed+DB30*c_mi_fatal+DC30*c_mi_nonfatal+CU30*c_tia+CV30*c_minor_bleed</f>
        <v>38.4383506576422</v>
      </c>
      <c r="DF30" s="57" t="n">
        <f aca="false">dt*(DC30*dec_mi+DA30*dec_major_bleed+CV30*dec_minor_bleed+CU30*dec_tia)</f>
        <v>3.7469891348099E-005</v>
      </c>
      <c r="DG30" s="57" t="n">
        <f aca="false">J30*CI30+CW30+CR30-CZ30+CS30-DA30+DB30</f>
        <v>0.0016720746211335</v>
      </c>
      <c r="DH30" s="57" t="n">
        <f aca="false">AG30</f>
        <v>0.566963543615136</v>
      </c>
      <c r="DI30" s="57" t="n">
        <f aca="false">AB30+AC30+BF30+BA30+BB30+BC30+CY30+CZ30</f>
        <v>0.0358525194332654</v>
      </c>
      <c r="DJ30" s="57" t="n">
        <f aca="false">AA30+AZ30+BY30+CX30+CE30+BZ30+CA30+CB30</f>
        <v>0.0147035329093747</v>
      </c>
      <c r="DK30" s="57" t="n">
        <f aca="false">AD30+DD30+DA30</f>
        <v>0.0897338682884336</v>
      </c>
      <c r="DL30" s="57" t="n">
        <f aca="false">K30+AJ30+BI30+CH30+DG30</f>
        <v>0.29274653575379</v>
      </c>
      <c r="DM30" s="58" t="n">
        <f aca="false">SUM(DH30:DL30)</f>
        <v>1</v>
      </c>
      <c r="DN30" s="19" t="n">
        <f aca="false">dt*(G30*Apixaban!$H$2+(H30+I30+J30)*c_aspirin)</f>
        <v>44.8283971833064</v>
      </c>
      <c r="DO30" s="19" t="n">
        <f aca="false">dt*(H30*c_lt_minor_stroke+I30*c_lt_major_stroke)</f>
        <v>190.038343669548</v>
      </c>
      <c r="DP30" s="19" t="n">
        <f aca="false">AH30+BG30+CF30+DE30</f>
        <v>216.76700776408</v>
      </c>
      <c r="DQ30" s="19" t="n">
        <f aca="false">DN30+DO30+DP30</f>
        <v>451.633748616935</v>
      </c>
      <c r="DR30" s="57" t="n">
        <f aca="false">dt*(G30*(u_af-dec_per_year_over_70*MAX(B30-ref_age,0))+H30*(u_minor_stroke-dec_per_year_over_70*MAX(B30-ref_age,0))+I30*(u_major_stroke-dec_per_year_over_70*MAX(B30-ref_age,0))+J30*(u_af-dec_per_year_over_70*MAX(B30-ref_age,0)))-AI30-BH30-CG30-DF30</f>
        <v>0.143231763815326</v>
      </c>
      <c r="DS30" s="57" t="n">
        <f aca="false">dt*(G30+H30+I30+J30)</f>
        <v>0.180334052056064</v>
      </c>
      <c r="DT30" s="19" t="n">
        <f aca="false">DQ30*C30</f>
        <v>413.038118675197</v>
      </c>
      <c r="DU30" s="19" t="n">
        <f aca="false">DN30*C30</f>
        <v>40.997460647083</v>
      </c>
      <c r="DV30" s="19" t="n">
        <f aca="false">DP30*C30</f>
        <v>198.2425745461</v>
      </c>
      <c r="DW30" s="19" t="n">
        <f aca="false">DO30*C30</f>
        <v>173.798083482014</v>
      </c>
      <c r="DX30" s="57" t="n">
        <f aca="false">DR30*C30</f>
        <v>0.13099149131787</v>
      </c>
      <c r="DY30" s="57" t="n">
        <f aca="false">DS30*C30</f>
        <v>0.164923099352985</v>
      </c>
      <c r="DZ30" s="57" t="n">
        <f aca="false">T30+AS30+BR30+CQ30</f>
        <v>0.00392361048698962</v>
      </c>
      <c r="EA30" s="57" t="n">
        <f aca="false">U30+AT30+BS30+CR30</f>
        <v>0.000622321268259778</v>
      </c>
      <c r="EB30" s="57" t="n">
        <f aca="false">V30+AU30+BT30+CS30</f>
        <v>0.00512754814860361</v>
      </c>
      <c r="EC30" s="57" t="n">
        <f aca="false">G30*dt*C30</f>
        <v>0.133279480564476</v>
      </c>
    </row>
    <row r="31" customFormat="false" ht="15" hidden="false" customHeight="false" outlineLevel="0" collapsed="false">
      <c r="A31" s="8" t="n">
        <v>25</v>
      </c>
      <c r="B31" s="54" t="n">
        <f aca="false">start_age+A31*dt</f>
        <v>76.25</v>
      </c>
      <c r="C31" s="16" t="n">
        <f aca="false">(1+disc_rate)^-(A31*dt)</f>
        <v>0.911144453814149</v>
      </c>
      <c r="D31" s="55" t="n">
        <f aca="false">IF(A31*dt&gt;=wane_start,(1-wane_decay)^(A31*dt-wane_start),1)</f>
        <v>1</v>
      </c>
      <c r="E31" s="25" t="n">
        <f aca="false">MIN(p_nonvasc_death*MIN(EXP(gomp_int+gomp_slope*INT(B31)),1)/qx_ref,0.999)</f>
        <v>0.061825064060722</v>
      </c>
      <c r="F31" s="55" t="n">
        <f aca="false">rr_stroke_per_decade^((B31-ref_age)/10)</f>
        <v>1.28841875162949</v>
      </c>
      <c r="G31" s="57" t="n">
        <f aca="false">DH30</f>
        <v>0.566963543615136</v>
      </c>
      <c r="H31" s="57" t="n">
        <f aca="false">DI30</f>
        <v>0.0358525194332654</v>
      </c>
      <c r="I31" s="57" t="n">
        <f aca="false">DJ30</f>
        <v>0.0147035329093747</v>
      </c>
      <c r="J31" s="57" t="n">
        <f aca="false">DK30</f>
        <v>0.0897338682884336</v>
      </c>
      <c r="K31" s="57" t="n">
        <f aca="false">DL30</f>
        <v>0.29274653575379</v>
      </c>
      <c r="L31" s="57" t="n">
        <f aca="false">1-EXP(LN(1-E31)*dt)</f>
        <v>0.0158281098993188</v>
      </c>
      <c r="M31" s="57" t="n">
        <f aca="false">G31*(1-L31)</f>
        <v>0.557989582337888</v>
      </c>
      <c r="N31" s="57" t="n">
        <f aca="false">IF(Apixaban!$B$2=1,EXP(LN(or_apx_stroke)*D31)*(1-EXP(-r_stroke*F31*dt))/(1-(1-EXP(-r_stroke*F31*dt))+EXP(LN(or_apx_stroke)*D31)*(1-EXP(-r_stroke*F31*dt))),(1-EXP(-r_stroke*F31*dt)))</f>
        <v>0.00409814244093706</v>
      </c>
      <c r="O31" s="57" t="n">
        <f aca="false">IF(Apixaban!$B$2=1,EXP(LN(or_apx_ich)*D31)*(1-EXP(-r_ich*dt))/(1-(1-EXP(-r_ich*dt))+EXP(LN(or_apx_ich)*D31)*(1-EXP(-r_ich*dt))),(1-EXP(-r_ich*dt)))</f>
        <v>0.000843513249640701</v>
      </c>
      <c r="P31" s="57" t="n">
        <f aca="false">IF(Apixaban!$B$2=1,EXP(LN(or_apx_mb)*D31)*(1-EXP(-r_mb*dt))/(1-(1-EXP(-r_mb*dt))+EXP(LN(or_apx_mb)*D31)*(1-EXP(-r_mb*dt))),(1-EXP(-r_mb*dt)))</f>
        <v>0.00669446907979895</v>
      </c>
      <c r="Q31" s="57" t="n">
        <f aca="false">IF(Apixaban!$B$2=1,EXP(LN(or_apx_mi)*D31)*(1-EXP(-r_mi*dt))/(1-(1-EXP(-r_mi*dt))+EXP(LN(or_apx_mi)*D31)*(1-EXP(-r_mi*dt))),(1-EXP(-r_mi*dt)))</f>
        <v>0.00132321915530843</v>
      </c>
      <c r="R31" s="57" t="n">
        <f aca="false">(1-EXP(-r_tia*dt))</f>
        <v>0.0020060281549299</v>
      </c>
      <c r="S31" s="57" t="n">
        <f aca="false">(1-EXP(-r_minor*dt))</f>
        <v>0.0437937690785545</v>
      </c>
      <c r="T31" s="57" t="n">
        <f aca="false">M31*N31</f>
        <v>0.00228672078897964</v>
      </c>
      <c r="U31" s="57" t="n">
        <f aca="false">M31*O31</f>
        <v>0.000470671605863489</v>
      </c>
      <c r="V31" s="57" t="n">
        <f aca="false">M31*P31</f>
        <v>0.00373544400581092</v>
      </c>
      <c r="W31" s="57" t="n">
        <f aca="false">M31*Q31</f>
        <v>0.000738342503812043</v>
      </c>
      <c r="X31" s="57" t="n">
        <f aca="false">M31*R31</f>
        <v>0.00111934281232738</v>
      </c>
      <c r="Y31" s="57" t="n">
        <f aca="false">M31*S31</f>
        <v>0.0244364669171445</v>
      </c>
      <c r="Z31" s="57" t="n">
        <f aca="false">T31*f_stroke_fatal</f>
        <v>0.000541952826988175</v>
      </c>
      <c r="AA31" s="57" t="n">
        <f aca="false">T31*(1-f_stroke_fatal)*f_stroke_major</f>
        <v>0.000581007731343158</v>
      </c>
      <c r="AB31" s="57" t="n">
        <f aca="false">T31*(1-f_stroke_fatal)*(1-f_stroke_major)</f>
        <v>0.00116376023064831</v>
      </c>
      <c r="AC31" s="57" t="n">
        <f aca="false">U31*(1-f_bleed_fatal)</f>
        <v>0.000431135190970956</v>
      </c>
      <c r="AD31" s="57" t="n">
        <f aca="false">V31*(1-f_bleed_fatal)</f>
        <v>0.00342166670932281</v>
      </c>
      <c r="AE31" s="57" t="n">
        <f aca="false">W31*f_mi_fatal</f>
        <v>8.93394429612572E-005</v>
      </c>
      <c r="AF31" s="57" t="n">
        <f aca="false">W31-AE31</f>
        <v>0.000649003060850786</v>
      </c>
      <c r="AG31" s="57" t="n">
        <f aca="false">M31-T31-U31-V31-AE31</f>
        <v>0.551407406494273</v>
      </c>
      <c r="AH31" s="19" t="n">
        <f aca="false">Z31*c_stroke_fatal+AA31*c_stroke_major+AB31*c_stroke_minor+U31*c_ich+V31*c_major_bleed+AE31*c_mi_fatal+AF31*c_mi_nonfatal+X31*c_tia+Y31*c_minor_bleed</f>
        <v>138.709699582138</v>
      </c>
      <c r="AI31" s="57" t="n">
        <f aca="false">dt*(AF31*dec_mi+AD31*dec_major_bleed+Y31*dec_minor_bleed+X31*dec_tia)</f>
        <v>0.000207221274864161</v>
      </c>
      <c r="AJ31" s="57" t="n">
        <f aca="false">G31*L31+Z31+U31-AC31+V31-AD31+AE31</f>
        <v>0.00995856725857769</v>
      </c>
      <c r="AK31" s="57" t="n">
        <f aca="false">1-EXP(LN(1-E31)*hr_death_prior_stroke*dt)</f>
        <v>0.0360307062977862</v>
      </c>
      <c r="AL31" s="57" t="n">
        <f aca="false">H31*(1-AK31)</f>
        <v>0.0345607278355298</v>
      </c>
      <c r="AM31" s="57" t="n">
        <f aca="false">(1-EXP(-r_stroke*F31*rr_stroke_prior*rr_asa_stroke*dt))</f>
        <v>0.0183458535968978</v>
      </c>
      <c r="AN31" s="57" t="n">
        <f aca="false">(1-EXP(-r_ich*rr_asa_ich*dt))</f>
        <v>0.00102357767802375</v>
      </c>
      <c r="AO31" s="57" t="n">
        <f aca="false">(1-EXP(-r_mb*rr_asa_mb*dt))</f>
        <v>0.00951809672747972</v>
      </c>
      <c r="AP31" s="57" t="n">
        <f aca="false">(1-EXP(-r_mi*rr_asa_mi*dt))</f>
        <v>0.00213413516393479</v>
      </c>
      <c r="AQ31" s="57" t="n">
        <f aca="false">(1-EXP(-r_tia*rr_asa_tia*dt))</f>
        <v>0.00312764565589152</v>
      </c>
      <c r="AR31" s="57" t="n">
        <f aca="false">(1-EXP(-r_minor*rr_asa_minor*dt))</f>
        <v>0.0278181950466747</v>
      </c>
      <c r="AS31" s="57" t="n">
        <f aca="false">AL31*AM31</f>
        <v>0.000634046053072859</v>
      </c>
      <c r="AT31" s="57" t="n">
        <f aca="false">AL31*AN31</f>
        <v>3.53755895487022E-005</v>
      </c>
      <c r="AU31" s="57" t="n">
        <f aca="false">AL31*AO31</f>
        <v>0.000328952350510673</v>
      </c>
      <c r="AV31" s="57" t="n">
        <f aca="false">AL31*AP31</f>
        <v>7.37572645649841E-005</v>
      </c>
      <c r="AW31" s="57" t="n">
        <f aca="false">AL31*AQ31</f>
        <v>0.000108093710279244</v>
      </c>
      <c r="AX31" s="57" t="n">
        <f aca="false">AL31*AR31</f>
        <v>0.000961417067883807</v>
      </c>
      <c r="AY31" s="57" t="n">
        <f aca="false">AS31*f_stroke_fatal_recur</f>
        <v>0.00023592219588788</v>
      </c>
      <c r="AZ31" s="57" t="n">
        <f aca="false">AS31*(1-f_stroke_fatal_recur)*f_stroke_major</f>
        <v>0.000132575244442598</v>
      </c>
      <c r="BA31" s="57" t="n">
        <f aca="false">AS31*(1-f_stroke_fatal_recur)*(1-f_stroke_major)</f>
        <v>0.000265548612742381</v>
      </c>
      <c r="BB31" s="57" t="n">
        <f aca="false">AT31*(1-f_bleed_fatal)</f>
        <v>3.24040400266112E-005</v>
      </c>
      <c r="BC31" s="57" t="n">
        <f aca="false">AU31*(1-f_bleed_fatal)</f>
        <v>0.000301320353067777</v>
      </c>
      <c r="BD31" s="57" t="n">
        <f aca="false">AV31*f_mi_fatal</f>
        <v>8.92462901236307E-006</v>
      </c>
      <c r="BE31" s="57" t="n">
        <f aca="false">AV31-BD31</f>
        <v>6.4832635552621E-005</v>
      </c>
      <c r="BF31" s="57" t="n">
        <f aca="false">AL31-AS31-AT31-AU31-BD31</f>
        <v>0.0335534292133852</v>
      </c>
      <c r="BG31" s="19" t="n">
        <f aca="false">AY31*c_stroke_fatal+AZ31*c_stroke_major+BA31*c_stroke_minor+AT31*c_ich+AU31*c_major_bleed+BD31*c_mi_fatal+BE31*c_mi_nonfatal+AW31*c_tia+AX31*c_minor_bleed</f>
        <v>26.5154510692369</v>
      </c>
      <c r="BH31" s="57" t="n">
        <f aca="false">dt*(BE31*dec_mi+BC31*dec_major_bleed+AX31*dec_minor_bleed+AW31*dec_tia)</f>
        <v>1.48644064918912E-005</v>
      </c>
      <c r="BI31" s="57" t="n">
        <f aca="false">H31*AK31+AY31+AT31-BB31+AU31-BC31+BD31</f>
        <v>0.00156724196960089</v>
      </c>
      <c r="BJ31" s="57" t="n">
        <f aca="false">1-EXP(LN(1-E31)*hr_death_prior_stroke*dt)</f>
        <v>0.0360307062977862</v>
      </c>
      <c r="BK31" s="57" t="n">
        <f aca="false">I31*(1-BJ31)</f>
        <v>0.0141737542335771</v>
      </c>
      <c r="BL31" s="57" t="n">
        <f aca="false">(1-EXP(-r_stroke*F31*rr_stroke_prior*rr_asa_stroke*dt))</f>
        <v>0.0183458535968978</v>
      </c>
      <c r="BM31" s="57" t="n">
        <f aca="false">(1-EXP(-r_ich*rr_asa_ich*dt))</f>
        <v>0.00102357767802375</v>
      </c>
      <c r="BN31" s="57" t="n">
        <f aca="false">(1-EXP(-r_mb*rr_asa_mb*dt))</f>
        <v>0.00951809672747972</v>
      </c>
      <c r="BO31" s="57" t="n">
        <f aca="false">(1-EXP(-r_mi*rr_asa_mi*dt))</f>
        <v>0.00213413516393479</v>
      </c>
      <c r="BP31" s="57" t="n">
        <f aca="false">(1-EXP(-r_tia*rr_asa_tia*dt))</f>
        <v>0.00312764565589152</v>
      </c>
      <c r="BQ31" s="57" t="n">
        <f aca="false">(1-EXP(-r_minor*rr_asa_minor*dt))</f>
        <v>0.0278181950466747</v>
      </c>
      <c r="BR31" s="57" t="n">
        <f aca="false">BK31*BL31</f>
        <v>0.000260029620087616</v>
      </c>
      <c r="BS31" s="57" t="n">
        <f aca="false">BK31*BM31</f>
        <v>1.45079384472841E-005</v>
      </c>
      <c r="BT31" s="57" t="n">
        <f aca="false">BK31*BN31</f>
        <v>0.000134907163786712</v>
      </c>
      <c r="BU31" s="57" t="n">
        <f aca="false">BK31*BO31</f>
        <v>3.02487073148466E-005</v>
      </c>
      <c r="BV31" s="57" t="n">
        <f aca="false">BK31*BP31</f>
        <v>4.43304808563216E-005</v>
      </c>
      <c r="BW31" s="57" t="n">
        <f aca="false">BK31*BQ31</f>
        <v>0.000394288259813281</v>
      </c>
      <c r="BX31" s="57" t="n">
        <f aca="false">BR31*f_stroke_fatal_recur</f>
        <v>9.67544213384012E-005</v>
      </c>
      <c r="BY31" s="57" t="n">
        <f aca="false">BR31*(1-f_stroke_fatal_recur)*f_stroke_major</f>
        <v>5.43706411834887E-005</v>
      </c>
      <c r="BZ31" s="57" t="n">
        <f aca="false">BR31*(1-f_stroke_fatal_recur)*(1-f_stroke_major)</f>
        <v>0.000108904557565727</v>
      </c>
      <c r="CA31" s="57" t="n">
        <f aca="false">BS31*(1-f_bleed_fatal)</f>
        <v>1.32892716177123E-005</v>
      </c>
      <c r="CB31" s="57" t="n">
        <f aca="false">BT31*(1-f_bleed_fatal)</f>
        <v>0.000123574962028629</v>
      </c>
      <c r="CC31" s="57" t="n">
        <f aca="false">BU31*f_mi_fatal</f>
        <v>3.66009358509644E-006</v>
      </c>
      <c r="CD31" s="57" t="n">
        <f aca="false">BU31-CC31</f>
        <v>2.65886137297502E-005</v>
      </c>
      <c r="CE31" s="57" t="n">
        <f aca="false">BK31-BR31-BS31-BT31-CC31</f>
        <v>0.0137606494176704</v>
      </c>
      <c r="CF31" s="19" t="n">
        <f aca="false">BX31*c_stroke_fatal+BY31*c_stroke_major+BZ31*c_stroke_minor+BS31*c_ich+BT31*c_major_bleed+CC31*c_mi_fatal+CD31*c_mi_nonfatal+BV31*c_tia+BW31*c_minor_bleed</f>
        <v>10.8742931756617</v>
      </c>
      <c r="CG31" s="57" t="n">
        <f aca="false">dt*(CD31*dec_mi+CB31*dec_major_bleed+BW31*dec_minor_bleed+BV31*dec_tia)</f>
        <v>6.09606503215659E-006</v>
      </c>
      <c r="CH31" s="57" t="n">
        <f aca="false">I31*BJ31+BX31+BS31-CA31+BT31-CB31+CC31</f>
        <v>0.000642744059308665</v>
      </c>
      <c r="CI31" s="57" t="n">
        <f aca="false">1-EXP(LN(1-E31)*dt)</f>
        <v>0.0158281098993188</v>
      </c>
      <c r="CJ31" s="57" t="n">
        <f aca="false">J31*(1-CI31)</f>
        <v>0.0883135507594733</v>
      </c>
      <c r="CK31" s="57" t="n">
        <f aca="false">(1-EXP(-r_stroke*F31*rr_asa_stroke*dt))</f>
        <v>0.00838114694824876</v>
      </c>
      <c r="CL31" s="57" t="n">
        <f aca="false">(1-EXP(-r_ich*rr_asa_ich*dt))</f>
        <v>0.00102357767802375</v>
      </c>
      <c r="CM31" s="57" t="n">
        <f aca="false">(1-EXP(-r_mb*rr_asa_mb*dt))</f>
        <v>0.00951809672747972</v>
      </c>
      <c r="CN31" s="57" t="n">
        <f aca="false">(1-EXP(-r_mi*rr_asa_mi*dt))</f>
        <v>0.00213413516393479</v>
      </c>
      <c r="CO31" s="57" t="n">
        <f aca="false">(1-EXP(-r_tia*rr_asa_tia*dt))</f>
        <v>0.00312764565589152</v>
      </c>
      <c r="CP31" s="57" t="n">
        <f aca="false">(1-EXP(-r_minor*rr_asa_minor*dt))</f>
        <v>0.0278181950466747</v>
      </c>
      <c r="CQ31" s="57" t="n">
        <f aca="false">CJ31*CK31</f>
        <v>0.000740168846436772</v>
      </c>
      <c r="CR31" s="57" t="n">
        <f aca="false">CJ31*CL31</f>
        <v>9.03957792244139E-005</v>
      </c>
      <c r="CS31" s="57" t="n">
        <f aca="false">CJ31*CM31</f>
        <v>0.000840576918475857</v>
      </c>
      <c r="CT31" s="57" t="n">
        <f aca="false">CJ31*CN31</f>
        <v>0.000188473054127732</v>
      </c>
      <c r="CU31" s="57" t="n">
        <f aca="false">CJ31*CO31</f>
        <v>0.000276213493389222</v>
      </c>
      <c r="CV31" s="57" t="n">
        <f aca="false">CJ31*CP31</f>
        <v>0.00245672358029144</v>
      </c>
      <c r="CW31" s="57" t="n">
        <f aca="false">CQ31*f_stroke_fatal</f>
        <v>0.000175420016605515</v>
      </c>
      <c r="CX31" s="57" t="n">
        <f aca="false">CQ31*(1-f_stroke_fatal)*f_stroke_major</f>
        <v>0.000188061360333809</v>
      </c>
      <c r="CY31" s="57" t="n">
        <f aca="false">CQ31*(1-f_stroke_fatal)*(1-f_stroke_major)</f>
        <v>0.000376687469497448</v>
      </c>
      <c r="CZ31" s="57" t="n">
        <f aca="false">CR31*(1-f_bleed_fatal)</f>
        <v>8.28025337695632E-005</v>
      </c>
      <c r="DA31" s="57" t="n">
        <f aca="false">CS31*(1-f_bleed_fatal)</f>
        <v>0.000769968457323885</v>
      </c>
      <c r="DB31" s="57" t="n">
        <f aca="false">CT31*f_mi_fatal</f>
        <v>2.28052395494556E-005</v>
      </c>
      <c r="DC31" s="57" t="n">
        <f aca="false">CT31-DB31</f>
        <v>0.000165667814578277</v>
      </c>
      <c r="DD31" s="57" t="n">
        <f aca="false">CJ31-CQ31-CR31-CS31-DB31</f>
        <v>0.0866196039757868</v>
      </c>
      <c r="DE31" s="19" t="n">
        <f aca="false">CW31*c_stroke_fatal+CX31*c_stroke_major+CY31*c_stroke_minor+CR31*c_ich+CS31*c_major_bleed+DB31*c_mi_fatal+DC31*c_mi_nonfatal+CU31*c_tia+CV31*c_minor_bleed</f>
        <v>39.2396340042244</v>
      </c>
      <c r="DF31" s="57" t="n">
        <f aca="false">dt*(DC31*dec_mi+DA31*dec_major_bleed+CV31*dec_minor_bleed+CU31*dec_tia)</f>
        <v>3.79832428147401E-005</v>
      </c>
      <c r="DG31" s="57" t="n">
        <f aca="false">J31*CI31+CW31+CR31-CZ31+CS31-DA31+DB31</f>
        <v>0.00169674449172212</v>
      </c>
      <c r="DH31" s="57" t="n">
        <f aca="false">AG31</f>
        <v>0.551407406494273</v>
      </c>
      <c r="DI31" s="57" t="n">
        <f aca="false">AB31+AC31+BF31+BA31+BB31+BC31+CY31+CZ31</f>
        <v>0.0362070876441082</v>
      </c>
      <c r="DJ31" s="57" t="n">
        <f aca="false">AA31+AZ31+BY31+CX31+CE31+BZ31+CA31+CB31</f>
        <v>0.0149624331861856</v>
      </c>
      <c r="DK31" s="57" t="n">
        <f aca="false">AD31+DD31+DA31</f>
        <v>0.0908112391424335</v>
      </c>
      <c r="DL31" s="57" t="n">
        <f aca="false">K31+AJ31+BI31+CH31+DG31</f>
        <v>0.306611833533</v>
      </c>
      <c r="DM31" s="58" t="n">
        <f aca="false">SUM(DH31:DL31)</f>
        <v>1</v>
      </c>
      <c r="DN31" s="19" t="n">
        <f aca="false">dt*(G31*Apixaban!$H$2+(H31+I31+J31)*c_aspirin)</f>
        <v>43.6556669105277</v>
      </c>
      <c r="DO31" s="19" t="n">
        <f aca="false">dt*(H31*c_lt_minor_stroke+I31*c_lt_major_stroke)</f>
        <v>192.915540620315</v>
      </c>
      <c r="DP31" s="19" t="n">
        <f aca="false">AH31+BG31+CF31+DE31</f>
        <v>215.339077831261</v>
      </c>
      <c r="DQ31" s="19" t="n">
        <f aca="false">DN31+DO31+DP31</f>
        <v>451.910285362104</v>
      </c>
      <c r="DR31" s="57" t="n">
        <f aca="false">dt*(G31*(u_af-dec_per_year_over_70*MAX(B31-ref_age,0))+H31*(u_minor_stroke-dec_per_year_over_70*MAX(B31-ref_age,0))+I31*(u_major_stroke-dec_per_year_over_70*MAX(B31-ref_age,0))+J31*(u_af-dec_per_year_over_70*MAX(B31-ref_age,0)))-AI31-BH31-CG31-DF31</f>
        <v>0.140339532850435</v>
      </c>
      <c r="DS31" s="57" t="n">
        <f aca="false">dt*(G31+H31+I31+J31)</f>
        <v>0.176813366061552</v>
      </c>
      <c r="DT31" s="19" t="n">
        <f aca="false">DQ31*C31</f>
        <v>411.75555012925</v>
      </c>
      <c r="DU31" s="19" t="n">
        <f aca="false">DN31*C31</f>
        <v>39.7766187830852</v>
      </c>
      <c r="DV31" s="19" t="n">
        <f aca="false">DP31*C31</f>
        <v>196.205006455406</v>
      </c>
      <c r="DW31" s="19" t="n">
        <f aca="false">DO31*C31</f>
        <v>175.773924890758</v>
      </c>
      <c r="DX31" s="57" t="n">
        <f aca="false">DR31*C31</f>
        <v>0.127869587007542</v>
      </c>
      <c r="DY31" s="57" t="n">
        <f aca="false">DS31*C31</f>
        <v>0.161102517847194</v>
      </c>
      <c r="DZ31" s="57" t="n">
        <f aca="false">T31+AS31+BR31+CQ31</f>
        <v>0.00392096530857689</v>
      </c>
      <c r="EA31" s="57" t="n">
        <f aca="false">U31+AT31+BS31+CR31</f>
        <v>0.00061095091308389</v>
      </c>
      <c r="EB31" s="57" t="n">
        <f aca="false">V31+AU31+BT31+CS31</f>
        <v>0.00503988043858417</v>
      </c>
      <c r="EC31" s="57" t="n">
        <f aca="false">G31*dt*C31</f>
        <v>0.129146422069937</v>
      </c>
    </row>
    <row r="32" customFormat="false" ht="15" hidden="false" customHeight="false" outlineLevel="0" collapsed="false">
      <c r="A32" s="8" t="n">
        <v>26</v>
      </c>
      <c r="B32" s="54" t="n">
        <f aca="false">start_age+A32*dt</f>
        <v>76.5</v>
      </c>
      <c r="C32" s="16" t="n">
        <f aca="false">(1+disc_rate)^-(A32*dt)</f>
        <v>0.907759338506474</v>
      </c>
      <c r="D32" s="55" t="n">
        <f aca="false">IF(A32*dt&gt;=wane_start,(1-wane_decay)^(A32*dt-wane_start),1)</f>
        <v>1</v>
      </c>
      <c r="E32" s="25" t="n">
        <f aca="false">MIN(p_nonvasc_death*MIN(EXP(gomp_int+gomp_slope*INT(B32)),1)/qx_ref,0.999)</f>
        <v>0.061825064060722</v>
      </c>
      <c r="F32" s="55" t="n">
        <f aca="false">rr_stroke_per_decade^((B32-ref_age)/10)</f>
        <v>1.30154539036688</v>
      </c>
      <c r="G32" s="57" t="n">
        <f aca="false">DH31</f>
        <v>0.551407406494273</v>
      </c>
      <c r="H32" s="57" t="n">
        <f aca="false">DI31</f>
        <v>0.0362070876441082</v>
      </c>
      <c r="I32" s="57" t="n">
        <f aca="false">DJ31</f>
        <v>0.0149624331861856</v>
      </c>
      <c r="J32" s="57" t="n">
        <f aca="false">DK31</f>
        <v>0.0908112391424335</v>
      </c>
      <c r="K32" s="57" t="n">
        <f aca="false">DL31</f>
        <v>0.306611833533</v>
      </c>
      <c r="L32" s="57" t="n">
        <f aca="false">1-EXP(LN(1-E32)*dt)</f>
        <v>0.0158281098993188</v>
      </c>
      <c r="M32" s="57" t="n">
        <f aca="false">G32*(1-L32)</f>
        <v>0.542679669464983</v>
      </c>
      <c r="N32" s="57" t="n">
        <f aca="false">IF(Apixaban!$B$2=1,EXP(LN(or_apx_stroke)*D32)*(1-EXP(-r_stroke*F32*dt))/(1-(1-EXP(-r_stroke*F32*dt))+EXP(LN(or_apx_stroke)*D32)*(1-EXP(-r_stroke*F32*dt))),(1-EXP(-r_stroke*F32*dt)))</f>
        <v>0.00413983140169507</v>
      </c>
      <c r="O32" s="57" t="n">
        <f aca="false">IF(Apixaban!$B$2=1,EXP(LN(or_apx_ich)*D32)*(1-EXP(-r_ich*dt))/(1-(1-EXP(-r_ich*dt))+EXP(LN(or_apx_ich)*D32)*(1-EXP(-r_ich*dt))),(1-EXP(-r_ich*dt)))</f>
        <v>0.000843513249640701</v>
      </c>
      <c r="P32" s="57" t="n">
        <f aca="false">IF(Apixaban!$B$2=1,EXP(LN(or_apx_mb)*D32)*(1-EXP(-r_mb*dt))/(1-(1-EXP(-r_mb*dt))+EXP(LN(or_apx_mb)*D32)*(1-EXP(-r_mb*dt))),(1-EXP(-r_mb*dt)))</f>
        <v>0.00669446907979895</v>
      </c>
      <c r="Q32" s="57" t="n">
        <f aca="false">IF(Apixaban!$B$2=1,EXP(LN(or_apx_mi)*D32)*(1-EXP(-r_mi*dt))/(1-(1-EXP(-r_mi*dt))+EXP(LN(or_apx_mi)*D32)*(1-EXP(-r_mi*dt))),(1-EXP(-r_mi*dt)))</f>
        <v>0.00132321915530843</v>
      </c>
      <c r="R32" s="57" t="n">
        <f aca="false">(1-EXP(-r_tia*dt))</f>
        <v>0.0020060281549299</v>
      </c>
      <c r="S32" s="57" t="n">
        <f aca="false">(1-EXP(-r_minor*dt))</f>
        <v>0.0437937690785545</v>
      </c>
      <c r="T32" s="57" t="n">
        <f aca="false">M32*N32</f>
        <v>0.00224660233671264</v>
      </c>
      <c r="U32" s="57" t="n">
        <f aca="false">M32*O32</f>
        <v>0.000457757491504349</v>
      </c>
      <c r="V32" s="57" t="n">
        <f aca="false">M32*P32</f>
        <v>0.00363295226746884</v>
      </c>
      <c r="W32" s="57" t="n">
        <f aca="false">M32*Q32</f>
        <v>0.000718084133832512</v>
      </c>
      <c r="X32" s="57" t="n">
        <f aca="false">M32*R32</f>
        <v>0.00108863069605481</v>
      </c>
      <c r="Y32" s="57" t="n">
        <f aca="false">M32*S32</f>
        <v>0.0237659881281757</v>
      </c>
      <c r="Z32" s="57" t="n">
        <f aca="false">T32*f_stroke_fatal</f>
        <v>0.000532444753800895</v>
      </c>
      <c r="AA32" s="57" t="n">
        <f aca="false">T32*(1-f_stroke_fatal)*f_stroke_major</f>
        <v>0.00057081447510961</v>
      </c>
      <c r="AB32" s="57" t="n">
        <f aca="false">T32*(1-f_stroke_fatal)*(1-f_stroke_major)</f>
        <v>0.00114334310780213</v>
      </c>
      <c r="AC32" s="57" t="n">
        <f aca="false">U32*(1-f_bleed_fatal)</f>
        <v>0.000419305862217984</v>
      </c>
      <c r="AD32" s="57" t="n">
        <f aca="false">V32*(1-f_bleed_fatal)</f>
        <v>0.00332778427700146</v>
      </c>
      <c r="AE32" s="57" t="n">
        <f aca="false">W32*f_mi_fatal</f>
        <v>8.6888180193734E-005</v>
      </c>
      <c r="AF32" s="57" t="n">
        <f aca="false">W32-AE32</f>
        <v>0.000631195953638778</v>
      </c>
      <c r="AG32" s="57" t="n">
        <f aca="false">M32-T32-U32-V32-AE32</f>
        <v>0.536255469189104</v>
      </c>
      <c r="AH32" s="19" t="n">
        <f aca="false">Z32*c_stroke_fatal+AA32*c_stroke_major+AB32*c_stroke_minor+U32*c_ich+V32*c_major_bleed+AE32*c_mi_fatal+AF32*c_mi_nonfatal+X32*c_tia+Y32*c_minor_bleed</f>
        <v>135.739727893553</v>
      </c>
      <c r="AI32" s="57" t="n">
        <f aca="false">dt*(AF32*dec_mi+AD32*dec_major_bleed+Y32*dec_minor_bleed+X32*dec_tia)</f>
        <v>0.000201535613762228</v>
      </c>
      <c r="AJ32" s="57" t="n">
        <f aca="false">G32*L32+Z32+U32-AC32+V32-AD32+AE32</f>
        <v>0.00969068958303809</v>
      </c>
      <c r="AK32" s="57" t="n">
        <f aca="false">1-EXP(LN(1-E32)*hr_death_prior_stroke*dt)</f>
        <v>0.0360307062977862</v>
      </c>
      <c r="AL32" s="57" t="n">
        <f aca="false">H32*(1-AK32)</f>
        <v>0.0349025207033052</v>
      </c>
      <c r="AM32" s="57" t="n">
        <f aca="false">(1-EXP(-r_stroke*F32*rr_stroke_prior*rr_asa_stroke*dt))</f>
        <v>0.0185310218394785</v>
      </c>
      <c r="AN32" s="57" t="n">
        <f aca="false">(1-EXP(-r_ich*rr_asa_ich*dt))</f>
        <v>0.00102357767802375</v>
      </c>
      <c r="AO32" s="57" t="n">
        <f aca="false">(1-EXP(-r_mb*rr_asa_mb*dt))</f>
        <v>0.00951809672747972</v>
      </c>
      <c r="AP32" s="57" t="n">
        <f aca="false">(1-EXP(-r_mi*rr_asa_mi*dt))</f>
        <v>0.00213413516393479</v>
      </c>
      <c r="AQ32" s="57" t="n">
        <f aca="false">(1-EXP(-r_tia*rr_asa_tia*dt))</f>
        <v>0.00312764565589152</v>
      </c>
      <c r="AR32" s="57" t="n">
        <f aca="false">(1-EXP(-r_minor*rr_asa_minor*dt))</f>
        <v>0.0278181950466747</v>
      </c>
      <c r="AS32" s="57" t="n">
        <f aca="false">AL32*AM32</f>
        <v>0.000646779373405799</v>
      </c>
      <c r="AT32" s="57" t="n">
        <f aca="false">AL32*AN32</f>
        <v>3.57254410986648E-005</v>
      </c>
      <c r="AU32" s="57" t="n">
        <f aca="false">AL32*AO32</f>
        <v>0.000332205568086922</v>
      </c>
      <c r="AV32" s="57" t="n">
        <f aca="false">AL32*AP32</f>
        <v>7.44866967428856E-005</v>
      </c>
      <c r="AW32" s="57" t="n">
        <f aca="false">AL32*AQ32</f>
        <v>0.000109162717257356</v>
      </c>
      <c r="AX32" s="57" t="n">
        <f aca="false">AL32*AR32</f>
        <v>0.000970925128545145</v>
      </c>
      <c r="AY32" s="57" t="n">
        <f aca="false">AS32*f_stroke_fatal_recur</f>
        <v>0.000240660137050564</v>
      </c>
      <c r="AZ32" s="57" t="n">
        <f aca="false">AS32*(1-f_stroke_fatal_recur)*f_stroke_major</f>
        <v>0.000135237705706293</v>
      </c>
      <c r="BA32" s="57" t="n">
        <f aca="false">AS32*(1-f_stroke_fatal_recur)*(1-f_stroke_major)</f>
        <v>0.000270881530648942</v>
      </c>
      <c r="BB32" s="57" t="n">
        <f aca="false">AT32*(1-f_bleed_fatal)</f>
        <v>3.2724504046377E-005</v>
      </c>
      <c r="BC32" s="57" t="n">
        <f aca="false">AU32*(1-f_bleed_fatal)</f>
        <v>0.000304300300367621</v>
      </c>
      <c r="BD32" s="57" t="n">
        <f aca="false">AV32*f_mi_fatal</f>
        <v>9.01289030588916E-006</v>
      </c>
      <c r="BE32" s="57" t="n">
        <f aca="false">AV32-BD32</f>
        <v>6.54738064369965E-005</v>
      </c>
      <c r="BF32" s="57" t="n">
        <f aca="false">AL32-AS32-AT32-AU32-BD32</f>
        <v>0.0338787974304079</v>
      </c>
      <c r="BG32" s="19" t="n">
        <f aca="false">AY32*c_stroke_fatal+AZ32*c_stroke_major+BA32*c_stroke_minor+AT32*c_ich+AU32*c_major_bleed+BD32*c_mi_fatal+BE32*c_mi_nonfatal+AW32*c_tia+AX32*c_minor_bleed</f>
        <v>27.0005142738885</v>
      </c>
      <c r="BH32" s="57" t="n">
        <f aca="false">dt*(BE32*dec_mi+BC32*dec_major_bleed+AX32*dec_minor_bleed+AW32*dec_tia)</f>
        <v>1.50114099967601E-005</v>
      </c>
      <c r="BI32" s="57" t="n">
        <f aca="false">H32*AK32+AY32+AT32-BB32+AU32-BC32+BD32</f>
        <v>0.00158514617293111</v>
      </c>
      <c r="BJ32" s="57" t="n">
        <f aca="false">1-EXP(LN(1-E32)*hr_death_prior_stroke*dt)</f>
        <v>0.0360307062977862</v>
      </c>
      <c r="BK32" s="57" t="n">
        <f aca="false">I32*(1-BJ32)</f>
        <v>0.0144233261505539</v>
      </c>
      <c r="BL32" s="57" t="n">
        <f aca="false">(1-EXP(-r_stroke*F32*rr_stroke_prior*rr_asa_stroke*dt))</f>
        <v>0.0185310218394785</v>
      </c>
      <c r="BM32" s="57" t="n">
        <f aca="false">(1-EXP(-r_ich*rr_asa_ich*dt))</f>
        <v>0.00102357767802375</v>
      </c>
      <c r="BN32" s="57" t="n">
        <f aca="false">(1-EXP(-r_mb*rr_asa_mb*dt))</f>
        <v>0.00951809672747972</v>
      </c>
      <c r="BO32" s="57" t="n">
        <f aca="false">(1-EXP(-r_mi*rr_asa_mi*dt))</f>
        <v>0.00213413516393479</v>
      </c>
      <c r="BP32" s="57" t="n">
        <f aca="false">(1-EXP(-r_tia*rr_asa_tia*dt))</f>
        <v>0.00312764565589152</v>
      </c>
      <c r="BQ32" s="57" t="n">
        <f aca="false">(1-EXP(-r_minor*rr_asa_minor*dt))</f>
        <v>0.0278181950466747</v>
      </c>
      <c r="BR32" s="57" t="n">
        <f aca="false">BK32*BL32</f>
        <v>0.000267278971893835</v>
      </c>
      <c r="BS32" s="57" t="n">
        <f aca="false">BK32*BM32</f>
        <v>1.47633946905631E-005</v>
      </c>
      <c r="BT32" s="57" t="n">
        <f aca="false">BK32*BN32</f>
        <v>0.000137282613432959</v>
      </c>
      <c r="BU32" s="57" t="n">
        <f aca="false">BK32*BO32</f>
        <v>3.07813275187972E-005</v>
      </c>
      <c r="BV32" s="57" t="n">
        <f aca="false">BK32*BP32</f>
        <v>4.51110533782863E-005</v>
      </c>
      <c r="BW32" s="57" t="n">
        <f aca="false">BK32*BQ32</f>
        <v>0.000401230900077911</v>
      </c>
      <c r="BX32" s="57" t="n">
        <f aca="false">BR32*f_stroke_fatal_recur</f>
        <v>9.94518326519772E-005</v>
      </c>
      <c r="BY32" s="57" t="n">
        <f aca="false">BR32*(1-f_stroke_fatal_recur)*f_stroke_major</f>
        <v>5.58864373675387E-005</v>
      </c>
      <c r="BZ32" s="57" t="n">
        <f aca="false">BR32*(1-f_stroke_fatal_recur)*(1-f_stroke_major)</f>
        <v>0.000111940701874319</v>
      </c>
      <c r="CA32" s="57" t="n">
        <f aca="false">BS32*(1-f_bleed_fatal)</f>
        <v>1.35232695365558E-005</v>
      </c>
      <c r="CB32" s="57" t="n">
        <f aca="false">BT32*(1-f_bleed_fatal)</f>
        <v>0.000125750873904591</v>
      </c>
      <c r="CC32" s="57" t="n">
        <f aca="false">BU32*f_mi_fatal</f>
        <v>3.72454062977446E-006</v>
      </c>
      <c r="CD32" s="57" t="n">
        <f aca="false">BU32-CC32</f>
        <v>2.70567868890228E-005</v>
      </c>
      <c r="CE32" s="57" t="n">
        <f aca="false">BK32-BR32-BS32-BT32-CC32</f>
        <v>0.0140002766299067</v>
      </c>
      <c r="CF32" s="19" t="n">
        <f aca="false">BX32*c_stroke_fatal+BY32*c_stroke_major+BZ32*c_stroke_minor+BS32*c_ich+BT32*c_major_bleed+CC32*c_mi_fatal+CD32*c_mi_nonfatal+BV32*c_tia+BW32*c_minor_bleed</f>
        <v>11.1578538099141</v>
      </c>
      <c r="CG32" s="57" t="n">
        <f aca="false">dt*(CD32*dec_mi+CB32*dec_major_bleed+BW32*dec_minor_bleed+BV32*dec_tia)</f>
        <v>6.20340473983163E-006</v>
      </c>
      <c r="CH32" s="57" t="n">
        <f aca="false">I32*BJ32+BX32+BS32-CA32+BT32-CB32+CC32</f>
        <v>0.000655055273595828</v>
      </c>
      <c r="CI32" s="57" t="n">
        <f aca="false">1-EXP(LN(1-E32)*dt)</f>
        <v>0.0158281098993188</v>
      </c>
      <c r="CJ32" s="57" t="n">
        <f aca="false">J32*(1-CI32)</f>
        <v>0.0893738688691937</v>
      </c>
      <c r="CK32" s="57" t="n">
        <f aca="false">(1-EXP(-r_stroke*F32*rr_asa_stroke*dt))</f>
        <v>0.00846617308310971</v>
      </c>
      <c r="CL32" s="57" t="n">
        <f aca="false">(1-EXP(-r_ich*rr_asa_ich*dt))</f>
        <v>0.00102357767802375</v>
      </c>
      <c r="CM32" s="57" t="n">
        <f aca="false">(1-EXP(-r_mb*rr_asa_mb*dt))</f>
        <v>0.00951809672747972</v>
      </c>
      <c r="CN32" s="57" t="n">
        <f aca="false">(1-EXP(-r_mi*rr_asa_mi*dt))</f>
        <v>0.00213413516393479</v>
      </c>
      <c r="CO32" s="57" t="n">
        <f aca="false">(1-EXP(-r_tia*rr_asa_tia*dt))</f>
        <v>0.00312764565589152</v>
      </c>
      <c r="CP32" s="57" t="n">
        <f aca="false">(1-EXP(-r_minor*rr_asa_minor*dt))</f>
        <v>0.0278181950466747</v>
      </c>
      <c r="CQ32" s="57" t="n">
        <f aca="false">CJ32*CK32</f>
        <v>0.000756654642953745</v>
      </c>
      <c r="CR32" s="57" t="n">
        <f aca="false">CJ32*CL32</f>
        <v>9.14810971731281E-005</v>
      </c>
      <c r="CS32" s="57" t="n">
        <f aca="false">CJ32*CM32</f>
        <v>0.000850669128806075</v>
      </c>
      <c r="CT32" s="57" t="n">
        <f aca="false">CJ32*CN32</f>
        <v>0.000190735916290643</v>
      </c>
      <c r="CU32" s="57" t="n">
        <f aca="false">CJ32*CO32</f>
        <v>0.000279529792718952</v>
      </c>
      <c r="CV32" s="57" t="n">
        <f aca="false">CJ32*CP32</f>
        <v>0.00248621971627916</v>
      </c>
      <c r="CW32" s="57" t="n">
        <f aca="false">CQ32*f_stroke_fatal</f>
        <v>0.000179327150380037</v>
      </c>
      <c r="CX32" s="57" t="n">
        <f aca="false">CQ32*(1-f_stroke_fatal)*f_stroke_major</f>
        <v>0.000192250055027045</v>
      </c>
      <c r="CY32" s="57" t="n">
        <f aca="false">CQ32*(1-f_stroke_fatal)*(1-f_stroke_major)</f>
        <v>0.000385077437546663</v>
      </c>
      <c r="CZ32" s="57" t="n">
        <f aca="false">CR32*(1-f_bleed_fatal)</f>
        <v>8.37966850105853E-005</v>
      </c>
      <c r="DA32" s="57" t="n">
        <f aca="false">CS32*(1-f_bleed_fatal)</f>
        <v>0.000779212921986364</v>
      </c>
      <c r="DB32" s="57" t="n">
        <f aca="false">CT32*f_mi_fatal</f>
        <v>2.30790458711678E-005</v>
      </c>
      <c r="DC32" s="57" t="n">
        <f aca="false">CT32-DB32</f>
        <v>0.000167656870419476</v>
      </c>
      <c r="DD32" s="57" t="n">
        <f aca="false">CJ32-CQ32-CR32-CS32-DB32</f>
        <v>0.0876519849543896</v>
      </c>
      <c r="DE32" s="19" t="n">
        <f aca="false">CW32*c_stroke_fatal+CX32*c_stroke_major+CY32*c_stroke_minor+CR32*c_ich+CS32*c_major_bleed+DB32*c_mi_fatal+DC32*c_mi_nonfatal+CU32*c_tia+CV32*c_minor_bleed</f>
        <v>39.991525715241</v>
      </c>
      <c r="DF32" s="57" t="n">
        <f aca="false">dt*(DC32*dec_mi+DA32*dec_major_bleed+CV32*dec_minor_bleed+CU32*dec_tia)</f>
        <v>3.84392806467153E-005</v>
      </c>
      <c r="DG32" s="57" t="n">
        <f aca="false">J32*CI32+CW32+CR32-CZ32+CS32-DA32+DB32</f>
        <v>0.00171891708847322</v>
      </c>
      <c r="DH32" s="57" t="n">
        <f aca="false">AG32</f>
        <v>0.536255469189104</v>
      </c>
      <c r="DI32" s="57" t="n">
        <f aca="false">AB32+AC32+BF32+BA32+BB32+BC32+CY32+CZ32</f>
        <v>0.0365182268580482</v>
      </c>
      <c r="DJ32" s="57" t="n">
        <f aca="false">AA32+AZ32+BY32+CX32+CE32+BZ32+CA32+CB32</f>
        <v>0.0152056801484327</v>
      </c>
      <c r="DK32" s="57" t="n">
        <f aca="false">AD32+DD32+DA32</f>
        <v>0.0917589821533775</v>
      </c>
      <c r="DL32" s="57" t="n">
        <f aca="false">K32+AJ32+BI32+CH32+DG32</f>
        <v>0.320261641651038</v>
      </c>
      <c r="DM32" s="58" t="n">
        <f aca="false">SUM(DH32:DL32)</f>
        <v>1</v>
      </c>
      <c r="DN32" s="19" t="n">
        <f aca="false">dt*(G32*Apixaban!$H$2+(H32+I32+J32)*c_aspirin)</f>
        <v>42.511929793673</v>
      </c>
      <c r="DO32" s="19" t="n">
        <f aca="false">dt*(H32*c_lt_minor_stroke+I32*c_lt_major_stroke)</f>
        <v>195.564323529596</v>
      </c>
      <c r="DP32" s="19" t="n">
        <f aca="false">AH32+BG32+CF32+DE32</f>
        <v>213.889621692596</v>
      </c>
      <c r="DQ32" s="19" t="n">
        <f aca="false">DN32+DO32+DP32</f>
        <v>451.965875015865</v>
      </c>
      <c r="DR32" s="57" t="n">
        <f aca="false">dt*(G32*(u_af-dec_per_year_over_70*MAX(B32-ref_age,0))+H32*(u_minor_stroke-dec_per_year_over_70*MAX(B32-ref_age,0))+I32*(u_major_stroke-dec_per_year_over_70*MAX(B32-ref_age,0))+J32*(u_af-dec_per_year_over_70*MAX(B32-ref_age,0)))-AI32-BH32-CG32-DF32</f>
        <v>0.137494282111542</v>
      </c>
      <c r="DS32" s="57" t="n">
        <f aca="false">dt*(G32+H32+I32+J32)</f>
        <v>0.17334704161675</v>
      </c>
      <c r="DT32" s="19" t="n">
        <f aca="false">DQ32*C32</f>
        <v>410.276243731901</v>
      </c>
      <c r="DU32" s="19" t="n">
        <f aca="false">DN32*C32</f>
        <v>38.5906012681382</v>
      </c>
      <c r="DV32" s="19" t="n">
        <f aca="false">DP32*C32</f>
        <v>194.160301501071</v>
      </c>
      <c r="DW32" s="19" t="n">
        <f aca="false">DO32*C32</f>
        <v>177.525340962692</v>
      </c>
      <c r="DX32" s="57" t="n">
        <f aca="false">DR32*C32</f>
        <v>0.124811718577995</v>
      </c>
      <c r="DY32" s="57" t="n">
        <f aca="false">DS32*C32</f>
        <v>0.157357395830075</v>
      </c>
      <c r="DZ32" s="57" t="n">
        <f aca="false">T32+AS32+BR32+CQ32</f>
        <v>0.00391731532496602</v>
      </c>
      <c r="EA32" s="57" t="n">
        <f aca="false">U32+AT32+BS32+CR32</f>
        <v>0.000599727424466705</v>
      </c>
      <c r="EB32" s="57" t="n">
        <f aca="false">V32+AU32+BT32+CS32</f>
        <v>0.0049531095777948</v>
      </c>
      <c r="EC32" s="57" t="n">
        <f aca="false">G32*dt*C32</f>
        <v>0.125136305641703</v>
      </c>
    </row>
    <row r="33" customFormat="false" ht="15" hidden="false" customHeight="false" outlineLevel="0" collapsed="false">
      <c r="A33" s="8" t="n">
        <v>27</v>
      </c>
      <c r="B33" s="54" t="n">
        <f aca="false">start_age+A33*dt</f>
        <v>76.75</v>
      </c>
      <c r="C33" s="16" t="n">
        <f aca="false">(1+disc_rate)^-(A33*dt)</f>
        <v>0.90438679969597</v>
      </c>
      <c r="D33" s="55" t="n">
        <f aca="false">IF(A33*dt&gt;=wane_start,(1-wane_decay)^(A33*dt-wane_start),1)</f>
        <v>1</v>
      </c>
      <c r="E33" s="25" t="n">
        <f aca="false">MIN(p_nonvasc_death*MIN(EXP(gomp_int+gomp_slope*INT(B33)),1)/qx_ref,0.999)</f>
        <v>0.061825064060722</v>
      </c>
      <c r="F33" s="55" t="n">
        <f aca="false">rr_stroke_per_decade^((B33-ref_age)/10)</f>
        <v>1.31480576562769</v>
      </c>
      <c r="G33" s="57" t="n">
        <f aca="false">DH32</f>
        <v>0.536255469189104</v>
      </c>
      <c r="H33" s="57" t="n">
        <f aca="false">DI32</f>
        <v>0.0365182268580482</v>
      </c>
      <c r="I33" s="57" t="n">
        <f aca="false">DJ32</f>
        <v>0.0152056801484327</v>
      </c>
      <c r="J33" s="57" t="n">
        <f aca="false">DK32</f>
        <v>0.0917589821533775</v>
      </c>
      <c r="K33" s="57" t="n">
        <f aca="false">DL32</f>
        <v>0.320261641651038</v>
      </c>
      <c r="L33" s="57" t="n">
        <f aca="false">1-EXP(LN(1-E33)*dt)</f>
        <v>0.0158281098993188</v>
      </c>
      <c r="M33" s="57" t="n">
        <f aca="false">G33*(1-L33)</f>
        <v>0.527767558688668</v>
      </c>
      <c r="N33" s="57" t="n">
        <f aca="false">IF(Apixaban!$B$2=1,EXP(LN(or_apx_stroke)*D33)*(1-EXP(-r_stroke*F33*dt))/(1-(1-EXP(-r_stroke*F33*dt))+EXP(LN(or_apx_stroke)*D33)*(1-EXP(-r_stroke*F33*dt))),(1-EXP(-r_stroke*F33*dt)))</f>
        <v>0.00418194379362397</v>
      </c>
      <c r="O33" s="57" t="n">
        <f aca="false">IF(Apixaban!$B$2=1,EXP(LN(or_apx_ich)*D33)*(1-EXP(-r_ich*dt))/(1-(1-EXP(-r_ich*dt))+EXP(LN(or_apx_ich)*D33)*(1-EXP(-r_ich*dt))),(1-EXP(-r_ich*dt)))</f>
        <v>0.000843513249640701</v>
      </c>
      <c r="P33" s="57" t="n">
        <f aca="false">IF(Apixaban!$B$2=1,EXP(LN(or_apx_mb)*D33)*(1-EXP(-r_mb*dt))/(1-(1-EXP(-r_mb*dt))+EXP(LN(or_apx_mb)*D33)*(1-EXP(-r_mb*dt))),(1-EXP(-r_mb*dt)))</f>
        <v>0.00669446907979895</v>
      </c>
      <c r="Q33" s="57" t="n">
        <f aca="false">IF(Apixaban!$B$2=1,EXP(LN(or_apx_mi)*D33)*(1-EXP(-r_mi*dt))/(1-(1-EXP(-r_mi*dt))+EXP(LN(or_apx_mi)*D33)*(1-EXP(-r_mi*dt))),(1-EXP(-r_mi*dt)))</f>
        <v>0.00132321915530843</v>
      </c>
      <c r="R33" s="57" t="n">
        <f aca="false">(1-EXP(-r_tia*dt))</f>
        <v>0.0020060281549299</v>
      </c>
      <c r="S33" s="57" t="n">
        <f aca="false">(1-EXP(-r_minor*dt))</f>
        <v>0.0437937690785545</v>
      </c>
      <c r="T33" s="57" t="n">
        <f aca="false">M33*N33</f>
        <v>0.00220709426653415</v>
      </c>
      <c r="U33" s="57" t="n">
        <f aca="false">M33*O33</f>
        <v>0.000445178928484417</v>
      </c>
      <c r="V33" s="57" t="n">
        <f aca="false">M33*P33</f>
        <v>0.00353312360296226</v>
      </c>
      <c r="W33" s="57" t="n">
        <f aca="false">M33*Q33</f>
        <v>0.00069835214320721</v>
      </c>
      <c r="X33" s="57" t="n">
        <f aca="false">M33*R33</f>
        <v>0.00105871658198808</v>
      </c>
      <c r="Y33" s="57" t="n">
        <f aca="false">M33*S33</f>
        <v>0.023112930592364</v>
      </c>
      <c r="Z33" s="57" t="n">
        <f aca="false">T33*f_stroke_fatal</f>
        <v>0.000523081341168593</v>
      </c>
      <c r="AA33" s="57" t="n">
        <f aca="false">T33*(1-f_stroke_fatal)*f_stroke_major</f>
        <v>0.00056077630414673</v>
      </c>
      <c r="AB33" s="57" t="n">
        <f aca="false">T33*(1-f_stroke_fatal)*(1-f_stroke_major)</f>
        <v>0.00112323662121883</v>
      </c>
      <c r="AC33" s="57" t="n">
        <f aca="false">U33*(1-f_bleed_fatal)</f>
        <v>0.000407783898491726</v>
      </c>
      <c r="AD33" s="57" t="n">
        <f aca="false">V33*(1-f_bleed_fatal)</f>
        <v>0.00323634122031343</v>
      </c>
      <c r="AE33" s="57" t="n">
        <f aca="false">W33*f_mi_fatal</f>
        <v>8.45006093280724E-005</v>
      </c>
      <c r="AF33" s="57" t="n">
        <f aca="false">W33-AE33</f>
        <v>0.000613851533879138</v>
      </c>
      <c r="AG33" s="57" t="n">
        <f aca="false">M33-T33-U33-V33-AE33</f>
        <v>0.521497661281359</v>
      </c>
      <c r="AH33" s="19" t="n">
        <f aca="false">Z33*c_stroke_fatal+AA33*c_stroke_major+AB33*c_stroke_minor+U33*c_ich+V33*c_major_bleed+AE33*c_mi_fatal+AF33*c_mi_nonfatal+X33*c_tia+Y33*c_minor_bleed</f>
        <v>132.830963474296</v>
      </c>
      <c r="AI33" s="57" t="n">
        <f aca="false">dt*(AF33*dec_mi+AD33*dec_major_bleed+Y33*dec_minor_bleed+X33*dec_tia)</f>
        <v>0.000195997684912308</v>
      </c>
      <c r="AJ33" s="57" t="n">
        <f aca="false">G33*L33+Z33+U33-AC33+V33-AD33+AE33</f>
        <v>0.00942966986357409</v>
      </c>
      <c r="AK33" s="57" t="n">
        <f aca="false">1-EXP(LN(1-E33)*hr_death_prior_stroke*dt)</f>
        <v>0.0360307062977862</v>
      </c>
      <c r="AL33" s="57" t="n">
        <f aca="false">H33*(1-AK33)</f>
        <v>0.0352024493516099</v>
      </c>
      <c r="AM33" s="57" t="n">
        <f aca="false">(1-EXP(-r_stroke*F33*rr_stroke_prior*rr_asa_stroke*dt))</f>
        <v>0.0187180411453204</v>
      </c>
      <c r="AN33" s="57" t="n">
        <f aca="false">(1-EXP(-r_ich*rr_asa_ich*dt))</f>
        <v>0.00102357767802375</v>
      </c>
      <c r="AO33" s="57" t="n">
        <f aca="false">(1-EXP(-r_mb*rr_asa_mb*dt))</f>
        <v>0.00951809672747972</v>
      </c>
      <c r="AP33" s="57" t="n">
        <f aca="false">(1-EXP(-r_mi*rr_asa_mi*dt))</f>
        <v>0.00213413516393479</v>
      </c>
      <c r="AQ33" s="57" t="n">
        <f aca="false">(1-EXP(-r_tia*rr_asa_tia*dt))</f>
        <v>0.00312764565589152</v>
      </c>
      <c r="AR33" s="57" t="n">
        <f aca="false">(1-EXP(-r_minor*rr_asa_minor*dt))</f>
        <v>0.0278181950466747</v>
      </c>
      <c r="AS33" s="57" t="n">
        <f aca="false">AL33*AM33</f>
        <v>0.000658920895379492</v>
      </c>
      <c r="AT33" s="57" t="n">
        <f aca="false">AL33*AN33</f>
        <v>3.60324413680694E-005</v>
      </c>
      <c r="AU33" s="57" t="n">
        <f aca="false">AL33*AO33</f>
        <v>0.000335060317972829</v>
      </c>
      <c r="AV33" s="57" t="n">
        <f aca="false">AL33*AP33</f>
        <v>7.51267850179043E-005</v>
      </c>
      <c r="AW33" s="57" t="n">
        <f aca="false">AL33*AQ33</f>
        <v>0.000110100787791304</v>
      </c>
      <c r="AX33" s="57" t="n">
        <f aca="false">AL33*AR33</f>
        <v>0.000979268602183773</v>
      </c>
      <c r="AY33" s="57" t="n">
        <f aca="false">AS33*f_stroke_fatal_recur</f>
        <v>0.000245177875961755</v>
      </c>
      <c r="AZ33" s="57" t="n">
        <f aca="false">AS33*(1-f_stroke_fatal_recur)*f_stroke_major</f>
        <v>0.000137776425466106</v>
      </c>
      <c r="BA33" s="57" t="n">
        <f aca="false">AS33*(1-f_stroke_fatal_recur)*(1-f_stroke_major)</f>
        <v>0.00027596659395163</v>
      </c>
      <c r="BB33" s="57" t="n">
        <f aca="false">AT33*(1-f_bleed_fatal)</f>
        <v>3.30057162931516E-005</v>
      </c>
      <c r="BC33" s="57" t="n">
        <f aca="false">AU33*(1-f_bleed_fatal)</f>
        <v>0.000306915251263111</v>
      </c>
      <c r="BD33" s="57" t="n">
        <f aca="false">AV33*f_mi_fatal</f>
        <v>9.09034098716642E-006</v>
      </c>
      <c r="BE33" s="57" t="n">
        <f aca="false">AV33-BD33</f>
        <v>6.60364440307378E-005</v>
      </c>
      <c r="BF33" s="57" t="n">
        <f aca="false">AL33-AS33-AT33-AU33-BD33</f>
        <v>0.0341633453559024</v>
      </c>
      <c r="BG33" s="19" t="n">
        <f aca="false">AY33*c_stroke_fatal+AZ33*c_stroke_major+BA33*c_stroke_minor+AT33*c_ich+AU33*c_major_bleed+BD33*c_mi_fatal+BE33*c_mi_nonfatal+AW33*c_tia+AX33*c_minor_bleed</f>
        <v>27.4595352295763</v>
      </c>
      <c r="BH33" s="57" t="n">
        <f aca="false">dt*(BE33*dec_mi+BC33*dec_major_bleed+AX33*dec_minor_bleed+AW33*dec_tia)</f>
        <v>1.51404078977355E-005</v>
      </c>
      <c r="BI33" s="57" t="n">
        <f aca="false">H33*AK33+AY33+AT33-BB33+AU33-BC33+BD33</f>
        <v>0.00160121751517182</v>
      </c>
      <c r="BJ33" s="57" t="n">
        <f aca="false">1-EXP(LN(1-E33)*hr_death_prior_stroke*dt)</f>
        <v>0.0360307062977862</v>
      </c>
      <c r="BK33" s="57" t="n">
        <f aca="false">I33*(1-BJ33)</f>
        <v>0.0146578087529464</v>
      </c>
      <c r="BL33" s="57" t="n">
        <f aca="false">(1-EXP(-r_stroke*F33*rr_stroke_prior*rr_asa_stroke*dt))</f>
        <v>0.0187180411453204</v>
      </c>
      <c r="BM33" s="57" t="n">
        <f aca="false">(1-EXP(-r_ich*rr_asa_ich*dt))</f>
        <v>0.00102357767802375</v>
      </c>
      <c r="BN33" s="57" t="n">
        <f aca="false">(1-EXP(-r_mb*rr_asa_mb*dt))</f>
        <v>0.00951809672747972</v>
      </c>
      <c r="BO33" s="57" t="n">
        <f aca="false">(1-EXP(-r_mi*rr_asa_mi*dt))</f>
        <v>0.00213413516393479</v>
      </c>
      <c r="BP33" s="57" t="n">
        <f aca="false">(1-EXP(-r_tia*rr_asa_tia*dt))</f>
        <v>0.00312764565589152</v>
      </c>
      <c r="BQ33" s="57" t="n">
        <f aca="false">(1-EXP(-r_minor*rr_asa_minor*dt))</f>
        <v>0.0278181950466747</v>
      </c>
      <c r="BR33" s="57" t="n">
        <f aca="false">BK33*BL33</f>
        <v>0.000274365467337888</v>
      </c>
      <c r="BS33" s="57" t="n">
        <f aca="false">BK33*BM33</f>
        <v>1.5003405848257E-005</v>
      </c>
      <c r="BT33" s="57" t="n">
        <f aca="false">BK33*BN33</f>
        <v>0.000139514441523443</v>
      </c>
      <c r="BU33" s="57" t="n">
        <f aca="false">BK33*BO33</f>
        <v>3.12817450858941E-005</v>
      </c>
      <c r="BV33" s="57" t="n">
        <f aca="false">BK33*BP33</f>
        <v>4.58444318710416E-005</v>
      </c>
      <c r="BW33" s="57" t="n">
        <f aca="false">BK33*BQ33</f>
        <v>0.000407753782846319</v>
      </c>
      <c r="BX33" s="57" t="n">
        <f aca="false">BR33*f_stroke_fatal_recur</f>
        <v>0.000102088646741755</v>
      </c>
      <c r="BY33" s="57" t="n">
        <f aca="false">BR33*(1-f_stroke_fatal_recur)*f_stroke_major</f>
        <v>5.73681812585125E-005</v>
      </c>
      <c r="BZ33" s="57" t="n">
        <f aca="false">BR33*(1-f_stroke_fatal_recur)*(1-f_stroke_major)</f>
        <v>0.000114908639337621</v>
      </c>
      <c r="CA33" s="57" t="n">
        <f aca="false">BS33*(1-f_bleed_fatal)</f>
        <v>1.37431197570035E-005</v>
      </c>
      <c r="CB33" s="57" t="n">
        <f aca="false">BT33*(1-f_bleed_fatal)</f>
        <v>0.000127795228435474</v>
      </c>
      <c r="CC33" s="57" t="n">
        <f aca="false">BU33*f_mi_fatal</f>
        <v>3.78509115539319E-006</v>
      </c>
      <c r="CD33" s="57" t="n">
        <f aca="false">BU33-CC33</f>
        <v>2.7496653930501E-005</v>
      </c>
      <c r="CE33" s="57" t="n">
        <f aca="false">BK33-BR33-BS33-BT33-CC33</f>
        <v>0.0142251403470814</v>
      </c>
      <c r="CF33" s="19" t="n">
        <f aca="false">BX33*c_stroke_fatal+BY33*c_stroke_major+BZ33*c_stroke_minor+BS33*c_ich+BT33*c_major_bleed+CC33*c_mi_fatal+CD33*c_mi_nonfatal+BV33*c_tia+BW33*c_minor_bleed</f>
        <v>11.4337673444168</v>
      </c>
      <c r="CG33" s="57" t="n">
        <f aca="false">dt*(CD33*dec_mi+CB33*dec_major_bleed+BW33*dec_minor_bleed+BV33*dec_tia)</f>
        <v>6.30425460427391E-006</v>
      </c>
      <c r="CH33" s="57" t="n">
        <f aca="false">I33*BJ33+BX33+BS33-CA33+BT33-CB33+CC33</f>
        <v>0.000666724632562626</v>
      </c>
      <c r="CI33" s="57" t="n">
        <f aca="false">1-EXP(LN(1-E33)*dt)</f>
        <v>0.0158281098993188</v>
      </c>
      <c r="CJ33" s="57" t="n">
        <f aca="false">J33*(1-CI33)</f>
        <v>0.0903066108996042</v>
      </c>
      <c r="CK33" s="57" t="n">
        <f aca="false">(1-EXP(-r_stroke*F33*rr_asa_stroke*dt))</f>
        <v>0.00855205807697268</v>
      </c>
      <c r="CL33" s="57" t="n">
        <f aca="false">(1-EXP(-r_ich*rr_asa_ich*dt))</f>
        <v>0.00102357767802375</v>
      </c>
      <c r="CM33" s="57" t="n">
        <f aca="false">(1-EXP(-r_mb*rr_asa_mb*dt))</f>
        <v>0.00951809672747972</v>
      </c>
      <c r="CN33" s="57" t="n">
        <f aca="false">(1-EXP(-r_mi*rr_asa_mi*dt))</f>
        <v>0.00213413516393479</v>
      </c>
      <c r="CO33" s="57" t="n">
        <f aca="false">(1-EXP(-r_tia*rr_asa_tia*dt))</f>
        <v>0.00312764565589152</v>
      </c>
      <c r="CP33" s="57" t="n">
        <f aca="false">(1-EXP(-r_minor*rr_asa_minor*dt))</f>
        <v>0.0278181950466747</v>
      </c>
      <c r="CQ33" s="57" t="n">
        <f aca="false">CJ33*CK33</f>
        <v>0.000772307381147989</v>
      </c>
      <c r="CR33" s="57" t="n">
        <f aca="false">CJ33*CL33</f>
        <v>9.24358310948108E-005</v>
      </c>
      <c r="CS33" s="57" t="n">
        <f aca="false">CJ33*CM33</f>
        <v>0.000859547057673307</v>
      </c>
      <c r="CT33" s="57" t="n">
        <f aca="false">CJ33*CN33</f>
        <v>0.000192726513856622</v>
      </c>
      <c r="CU33" s="57" t="n">
        <f aca="false">CJ33*CO33</f>
        <v>0.000282447079278433</v>
      </c>
      <c r="CV33" s="57" t="n">
        <f aca="false">CJ33*CP33</f>
        <v>0.00251216691600935</v>
      </c>
      <c r="CW33" s="57" t="n">
        <f aca="false">CQ33*f_stroke_fatal</f>
        <v>0.000183036849332073</v>
      </c>
      <c r="CX33" s="57" t="n">
        <f aca="false">CQ33*(1-f_stroke_fatal)*f_stroke_major</f>
        <v>0.0001962270870947</v>
      </c>
      <c r="CY33" s="57" t="n">
        <f aca="false">CQ33*(1-f_stroke_fatal)*(1-f_stroke_major)</f>
        <v>0.000393043444721216</v>
      </c>
      <c r="CZ33" s="57" t="n">
        <f aca="false">CR33*(1-f_bleed_fatal)</f>
        <v>8.46712212828467E-005</v>
      </c>
      <c r="DA33" s="57" t="n">
        <f aca="false">CS33*(1-f_bleed_fatal)</f>
        <v>0.000787345104828749</v>
      </c>
      <c r="DB33" s="57" t="n">
        <f aca="false">CT33*f_mi_fatal</f>
        <v>2.33199081766513E-005</v>
      </c>
      <c r="DC33" s="57" t="n">
        <f aca="false">CT33-DB33</f>
        <v>0.000169406605679971</v>
      </c>
      <c r="DD33" s="57" t="n">
        <f aca="false">CJ33-CQ33-CR33-CS33-DB33</f>
        <v>0.0885590007215114</v>
      </c>
      <c r="DE33" s="19" t="n">
        <f aca="false">CW33*c_stroke_fatal+CX33*c_stroke_major+CY33*c_stroke_minor+CR33*c_ich+CS33*c_major_bleed+DB33*c_mi_fatal+DC33*c_mi_nonfatal+CU33*c_tia+CV33*c_minor_bleed</f>
        <v>40.6954587225618</v>
      </c>
      <c r="DF33" s="57" t="n">
        <f aca="false">dt*(DC33*dec_mi+DA33*dec_major_bleed+CV33*dec_minor_bleed+CU33*dec_tia)</f>
        <v>3.88404486070103E-005</v>
      </c>
      <c r="DG33" s="57" t="n">
        <f aca="false">J33*CI33+CW33+CR33-CZ33+CS33-DA33+DB33</f>
        <v>0.00173869457393854</v>
      </c>
      <c r="DH33" s="57" t="n">
        <f aca="false">AG33</f>
        <v>0.521497661281359</v>
      </c>
      <c r="DI33" s="57" t="n">
        <f aca="false">AB33+AC33+BF33+BA33+BB33+BC33+CY33+CZ33</f>
        <v>0.0367879681031249</v>
      </c>
      <c r="DJ33" s="57" t="n">
        <f aca="false">AA33+AZ33+BY33+CX33+CE33+BZ33+CA33+CB33</f>
        <v>0.0154337353325776</v>
      </c>
      <c r="DK33" s="57" t="n">
        <f aca="false">AD33+DD33+DA33</f>
        <v>0.0925826870466536</v>
      </c>
      <c r="DL33" s="57" t="n">
        <f aca="false">K33+AJ33+BI33+CH33+DG33</f>
        <v>0.333697948236285</v>
      </c>
      <c r="DM33" s="58" t="n">
        <f aca="false">SUM(DH33:DL33)</f>
        <v>1</v>
      </c>
      <c r="DN33" s="19" t="n">
        <f aca="false">dt*(G33*Apixaban!$H$2+(H33+I33+J33)*c_aspirin)</f>
        <v>41.3964977249738</v>
      </c>
      <c r="DO33" s="19" t="n">
        <f aca="false">dt*(H33*c_lt_minor_stroke+I33*c_lt_major_stroke)</f>
        <v>197.993508311819</v>
      </c>
      <c r="DP33" s="19" t="n">
        <f aca="false">AH33+BG33+CF33+DE33</f>
        <v>212.419724770851</v>
      </c>
      <c r="DQ33" s="19" t="n">
        <f aca="false">DN33+DO33+DP33</f>
        <v>451.809730807644</v>
      </c>
      <c r="DR33" s="57" t="n">
        <f aca="false">dt*(G33*(u_af-dec_per_year_over_70*MAX(B33-ref_age,0))+H33*(u_minor_stroke-dec_per_year_over_70*MAX(B33-ref_age,0))+I33*(u_major_stroke-dec_per_year_over_70*MAX(B33-ref_age,0))+J33*(u_af-dec_per_year_over_70*MAX(B33-ref_age,0)))-AI33-BH33-CG33-DF33</f>
        <v>0.13469551648194</v>
      </c>
      <c r="DS33" s="57" t="n">
        <f aca="false">dt*(G33+H33+I33+J33)</f>
        <v>0.16993458958724</v>
      </c>
      <c r="DT33" s="19" t="n">
        <f aca="false">DQ33*C33</f>
        <v>408.610756516623</v>
      </c>
      <c r="DU33" s="19" t="n">
        <f aca="false">DN33*C33</f>
        <v>37.4384460961105</v>
      </c>
      <c r="DV33" s="19" t="n">
        <f aca="false">DP33*C33</f>
        <v>192.109595077809</v>
      </c>
      <c r="DW33" s="19" t="n">
        <f aca="false">DO33*C33</f>
        <v>179.062715342704</v>
      </c>
      <c r="DX33" s="57" t="n">
        <f aca="false">DR33*C33</f>
        <v>0.121816847084498</v>
      </c>
      <c r="DY33" s="57" t="n">
        <f aca="false">DS33*C33</f>
        <v>0.153686599634453</v>
      </c>
      <c r="DZ33" s="57" t="n">
        <f aca="false">T33+AS33+BR33+CQ33</f>
        <v>0.00391268801039952</v>
      </c>
      <c r="EA33" s="57" t="n">
        <f aca="false">U33+AT33+BS33+CR33</f>
        <v>0.000588650606795554</v>
      </c>
      <c r="EB33" s="57" t="n">
        <f aca="false">V33+AU33+BT33+CS33</f>
        <v>0.00486724542013184</v>
      </c>
      <c r="EC33" s="57" t="n">
        <f aca="false">G33*dt*C33</f>
        <v>0.121245591899849</v>
      </c>
    </row>
    <row r="34" customFormat="false" ht="15" hidden="false" customHeight="false" outlineLevel="0" collapsed="false">
      <c r="A34" s="8" t="n">
        <v>28</v>
      </c>
      <c r="B34" s="54" t="n">
        <f aca="false">start_age+A34*dt</f>
        <v>77</v>
      </c>
      <c r="C34" s="16" t="n">
        <f aca="false">(1+disc_rate)^-(A34*dt)</f>
        <v>0.901026790658002</v>
      </c>
      <c r="D34" s="55" t="n">
        <f aca="false">IF(A34*dt&gt;=wane_start,(1-wane_decay)^(A34*dt-wane_start),1)</f>
        <v>1</v>
      </c>
      <c r="E34" s="25" t="n">
        <f aca="false">MIN(p_nonvasc_death*MIN(EXP(gomp_int+gomp_slope*INT(B34)),1)/qx_ref,0.999)</f>
        <v>0.0686445950805788</v>
      </c>
      <c r="F34" s="55" t="n">
        <f aca="false">rr_stroke_per_decade^((B34-ref_age)/10)</f>
        <v>1.32820123994333</v>
      </c>
      <c r="G34" s="57" t="n">
        <f aca="false">DH33</f>
        <v>0.521497661281359</v>
      </c>
      <c r="H34" s="57" t="n">
        <f aca="false">DI33</f>
        <v>0.0367879681031249</v>
      </c>
      <c r="I34" s="57" t="n">
        <f aca="false">DJ33</f>
        <v>0.0154337353325776</v>
      </c>
      <c r="J34" s="57" t="n">
        <f aca="false">DK33</f>
        <v>0.0925826870466536</v>
      </c>
      <c r="K34" s="57" t="n">
        <f aca="false">DL33</f>
        <v>0.333697948236285</v>
      </c>
      <c r="L34" s="57" t="n">
        <f aca="false">1-EXP(LN(1-E34)*dt)</f>
        <v>0.0176214757281867</v>
      </c>
      <c r="M34" s="57" t="n">
        <f aca="false">G34*(1-L34)</f>
        <v>0.512308102900783</v>
      </c>
      <c r="N34" s="57" t="n">
        <f aca="false">IF(Apixaban!$B$2=1,EXP(LN(or_apx_stroke)*D34)*(1-EXP(-r_stroke*F34*dt))/(1-(1-EXP(-r_stroke*F34*dt))+EXP(LN(or_apx_stroke)*D34)*(1-EXP(-r_stroke*F34*dt))),(1-EXP(-r_stroke*F34*dt)))</f>
        <v>0.00422448390402357</v>
      </c>
      <c r="O34" s="57" t="n">
        <f aca="false">IF(Apixaban!$B$2=1,EXP(LN(or_apx_ich)*D34)*(1-EXP(-r_ich*dt))/(1-(1-EXP(-r_ich*dt))+EXP(LN(or_apx_ich)*D34)*(1-EXP(-r_ich*dt))),(1-EXP(-r_ich*dt)))</f>
        <v>0.000843513249640701</v>
      </c>
      <c r="P34" s="57" t="n">
        <f aca="false">IF(Apixaban!$B$2=1,EXP(LN(or_apx_mb)*D34)*(1-EXP(-r_mb*dt))/(1-(1-EXP(-r_mb*dt))+EXP(LN(or_apx_mb)*D34)*(1-EXP(-r_mb*dt))),(1-EXP(-r_mb*dt)))</f>
        <v>0.00669446907979895</v>
      </c>
      <c r="Q34" s="57" t="n">
        <f aca="false">IF(Apixaban!$B$2=1,EXP(LN(or_apx_mi)*D34)*(1-EXP(-r_mi*dt))/(1-(1-EXP(-r_mi*dt))+EXP(LN(or_apx_mi)*D34)*(1-EXP(-r_mi*dt))),(1-EXP(-r_mi*dt)))</f>
        <v>0.00132321915530843</v>
      </c>
      <c r="R34" s="57" t="n">
        <f aca="false">(1-EXP(-r_tia*dt))</f>
        <v>0.0020060281549299</v>
      </c>
      <c r="S34" s="57" t="n">
        <f aca="false">(1-EXP(-r_minor*dt))</f>
        <v>0.0437937690785545</v>
      </c>
      <c r="T34" s="57" t="n">
        <f aca="false">M34*N34</f>
        <v>0.00216423733460521</v>
      </c>
      <c r="U34" s="57" t="n">
        <f aca="false">M34*O34</f>
        <v>0.000432138672695102</v>
      </c>
      <c r="V34" s="57" t="n">
        <f aca="false">M34*P34</f>
        <v>0.00342963075419975</v>
      </c>
      <c r="W34" s="57" t="n">
        <f aca="false">M34*Q34</f>
        <v>0.000677895895178038</v>
      </c>
      <c r="X34" s="57" t="n">
        <f aca="false">M34*R34</f>
        <v>0.00102770447841769</v>
      </c>
      <c r="Y34" s="57" t="n">
        <f aca="false">M34*S34</f>
        <v>0.0224359027555092</v>
      </c>
      <c r="Z34" s="57" t="n">
        <f aca="false">T34*f_stroke_fatal</f>
        <v>0.000512924248301435</v>
      </c>
      <c r="AA34" s="57" t="n">
        <f aca="false">T34*(1-f_stroke_fatal)*f_stroke_major</f>
        <v>0.000549887257739157</v>
      </c>
      <c r="AB34" s="57" t="n">
        <f aca="false">T34*(1-f_stroke_fatal)*(1-f_stroke_major)</f>
        <v>0.00110142582856462</v>
      </c>
      <c r="AC34" s="57" t="n">
        <f aca="false">U34*(1-f_bleed_fatal)</f>
        <v>0.000395839024188713</v>
      </c>
      <c r="AD34" s="57" t="n">
        <f aca="false">V34*(1-f_bleed_fatal)</f>
        <v>0.00314154177084697</v>
      </c>
      <c r="AE34" s="57" t="n">
        <f aca="false">W34*f_mi_fatal</f>
        <v>8.20254033165426E-005</v>
      </c>
      <c r="AF34" s="57" t="n">
        <f aca="false">W34-AE34</f>
        <v>0.000595870491861495</v>
      </c>
      <c r="AG34" s="57" t="n">
        <f aca="false">M34-T34-U34-V34-AE34</f>
        <v>0.506200070735966</v>
      </c>
      <c r="AH34" s="19" t="n">
        <f aca="false">Z34*c_stroke_fatal+AA34*c_stroke_major+AB34*c_stroke_minor+U34*c_ich+V34*c_major_bleed+AE34*c_mi_fatal+AF34*c_mi_nonfatal+X34*c_tia+Y34*c_minor_bleed</f>
        <v>129.745280114119</v>
      </c>
      <c r="AI34" s="57" t="n">
        <f aca="false">dt*(AF34*dec_mi+AD34*dec_major_bleed+Y34*dec_minor_bleed+X34*dec_tia)</f>
        <v>0.000190256487874813</v>
      </c>
      <c r="AJ34" s="57" t="n">
        <f aca="false">G34*L34+Z34+U34-AC34+V34-AD34+AE34</f>
        <v>0.0101088966640527</v>
      </c>
      <c r="AK34" s="57" t="n">
        <f aca="false">1-EXP(LN(1-E34)*hr_death_prior_stroke*dt)</f>
        <v>0.0400659927121596</v>
      </c>
      <c r="AL34" s="57" t="n">
        <f aca="false">H34*(1-AK34)</f>
        <v>0.0353140216412099</v>
      </c>
      <c r="AM34" s="57" t="n">
        <f aca="false">(1-EXP(-r_stroke*F34*rr_stroke_prior*rr_asa_stroke*dt))</f>
        <v>0.0189069296539797</v>
      </c>
      <c r="AN34" s="57" t="n">
        <f aca="false">(1-EXP(-r_ich*rr_asa_ich*dt))</f>
        <v>0.00102357767802375</v>
      </c>
      <c r="AO34" s="57" t="n">
        <f aca="false">(1-EXP(-r_mb*rr_asa_mb*dt))</f>
        <v>0.00951809672747972</v>
      </c>
      <c r="AP34" s="57" t="n">
        <f aca="false">(1-EXP(-r_mi*rr_asa_mi*dt))</f>
        <v>0.00213413516393479</v>
      </c>
      <c r="AQ34" s="57" t="n">
        <f aca="false">(1-EXP(-r_tia*rr_asa_tia*dt))</f>
        <v>0.00312764565589152</v>
      </c>
      <c r="AR34" s="57" t="n">
        <f aca="false">(1-EXP(-r_minor*rr_asa_minor*dt))</f>
        <v>0.0278181950466747</v>
      </c>
      <c r="AS34" s="57" t="n">
        <f aca="false">AL34*AM34</f>
        <v>0.000667679722969471</v>
      </c>
      <c r="AT34" s="57" t="n">
        <f aca="false">AL34*AN34</f>
        <v>3.614664427319E-005</v>
      </c>
      <c r="AU34" s="57" t="n">
        <f aca="false">AL34*AO34</f>
        <v>0.000336122273817348</v>
      </c>
      <c r="AV34" s="57" t="n">
        <f aca="false">AL34*AP34</f>
        <v>7.53648953644603E-005</v>
      </c>
      <c r="AW34" s="57" t="n">
        <f aca="false">AL34*AQ34</f>
        <v>0.000110449746378189</v>
      </c>
      <c r="AX34" s="57" t="n">
        <f aca="false">AL34*AR34</f>
        <v>0.000982372341897669</v>
      </c>
      <c r="AY34" s="57" t="n">
        <f aca="false">AS34*f_stroke_fatal_recur</f>
        <v>0.000248436948119711</v>
      </c>
      <c r="AZ34" s="57" t="n">
        <f aca="false">AS34*(1-f_stroke_fatal_recur)*f_stroke_major</f>
        <v>0.00013960784402497</v>
      </c>
      <c r="BA34" s="57" t="n">
        <f aca="false">AS34*(1-f_stroke_fatal_recur)*(1-f_stroke_major)</f>
        <v>0.00027963493082479</v>
      </c>
      <c r="BB34" s="57" t="n">
        <f aca="false">AT34*(1-f_bleed_fatal)</f>
        <v>3.3110326154242E-005</v>
      </c>
      <c r="BC34" s="57" t="n">
        <f aca="false">AU34*(1-f_bleed_fatal)</f>
        <v>0.000307888002816691</v>
      </c>
      <c r="BD34" s="57" t="n">
        <f aca="false">AV34*f_mi_fatal</f>
        <v>9.1191523390997E-006</v>
      </c>
      <c r="BE34" s="57" t="n">
        <f aca="false">AV34-BD34</f>
        <v>6.62457430253606E-005</v>
      </c>
      <c r="BF34" s="57" t="n">
        <f aca="false">AL34-AS34-AT34-AU34-BD34</f>
        <v>0.0342649538478108</v>
      </c>
      <c r="BG34" s="19" t="n">
        <f aca="false">AY34*c_stroke_fatal+AZ34*c_stroke_major+BA34*c_stroke_minor+AT34*c_ich+AU34*c_major_bleed+BD34*c_mi_fatal+BE34*c_mi_nonfatal+AW34*c_tia+AX34*c_minor_bleed</f>
        <v>27.7765589803618</v>
      </c>
      <c r="BH34" s="57" t="n">
        <f aca="false">dt*(BE34*dec_mi+BC34*dec_major_bleed+AX34*dec_minor_bleed+AW34*dec_tia)</f>
        <v>1.51883946147322E-005</v>
      </c>
      <c r="BI34" s="57" t="n">
        <f aca="false">H34*AK34+AY34+AT34-BB34+AU34-BC34+BD34</f>
        <v>0.00176277315149338</v>
      </c>
      <c r="BJ34" s="57" t="n">
        <f aca="false">1-EXP(LN(1-E34)*hr_death_prior_stroke*dt)</f>
        <v>0.0400659927121596</v>
      </c>
      <c r="BK34" s="57" t="n">
        <f aca="false">I34*(1-BJ34)</f>
        <v>0.0148153674052211</v>
      </c>
      <c r="BL34" s="57" t="n">
        <f aca="false">(1-EXP(-r_stroke*F34*rr_stroke_prior*rr_asa_stroke*dt))</f>
        <v>0.0189069296539797</v>
      </c>
      <c r="BM34" s="57" t="n">
        <f aca="false">(1-EXP(-r_ich*rr_asa_ich*dt))</f>
        <v>0.00102357767802375</v>
      </c>
      <c r="BN34" s="57" t="n">
        <f aca="false">(1-EXP(-r_mb*rr_asa_mb*dt))</f>
        <v>0.00951809672747972</v>
      </c>
      <c r="BO34" s="57" t="n">
        <f aca="false">(1-EXP(-r_mi*rr_asa_mi*dt))</f>
        <v>0.00213413516393479</v>
      </c>
      <c r="BP34" s="57" t="n">
        <f aca="false">(1-EXP(-r_tia*rr_asa_tia*dt))</f>
        <v>0.00312764565589152</v>
      </c>
      <c r="BQ34" s="57" t="n">
        <f aca="false">(1-EXP(-r_minor*rr_asa_minor*dt))</f>
        <v>0.0278181950466747</v>
      </c>
      <c r="BR34" s="57" t="n">
        <f aca="false">BK34*BL34</f>
        <v>0.000280113109328379</v>
      </c>
      <c r="BS34" s="57" t="n">
        <f aca="false">BK34*BM34</f>
        <v>1.51646793677049E-005</v>
      </c>
      <c r="BT34" s="57" t="n">
        <f aca="false">BK34*BN34</f>
        <v>0.000141014100016045</v>
      </c>
      <c r="BU34" s="57" t="n">
        <f aca="false">BK34*BO34</f>
        <v>3.16179965460958E-005</v>
      </c>
      <c r="BV34" s="57" t="n">
        <f aca="false">BK34*BP34</f>
        <v>4.63372195053767E-005</v>
      </c>
      <c r="BW34" s="57" t="n">
        <f aca="false">BK34*BQ34</f>
        <v>0.000412136780166589</v>
      </c>
      <c r="BX34" s="57" t="n">
        <f aca="false">BR34*f_stroke_fatal_recur</f>
        <v>0.000104227286849997</v>
      </c>
      <c r="BY34" s="57" t="n">
        <f aca="false">BR34*(1-f_stroke_fatal_recur)*f_stroke_major</f>
        <v>5.85699788853014E-005</v>
      </c>
      <c r="BZ34" s="57" t="n">
        <f aca="false">BR34*(1-f_stroke_fatal_recur)*(1-f_stroke_major)</f>
        <v>0.000117315843593081</v>
      </c>
      <c r="CA34" s="57" t="n">
        <f aca="false">BS34*(1-f_bleed_fatal)</f>
        <v>1.38908463008177E-005</v>
      </c>
      <c r="CB34" s="57" t="n">
        <f aca="false">BT34*(1-f_bleed_fatal)</f>
        <v>0.000129168915614697</v>
      </c>
      <c r="CC34" s="57" t="n">
        <f aca="false">BU34*f_mi_fatal</f>
        <v>3.82577758207759E-006</v>
      </c>
      <c r="CD34" s="57" t="n">
        <f aca="false">BU34-CC34</f>
        <v>2.77922189640182E-005</v>
      </c>
      <c r="CE34" s="57" t="n">
        <f aca="false">BK34-BR34-BS34-BT34-CC34</f>
        <v>0.0143752497389269</v>
      </c>
      <c r="CF34" s="19" t="n">
        <f aca="false">BX34*c_stroke_fatal+BY34*c_stroke_major+BZ34*c_stroke_minor+BS34*c_ich+BT34*c_major_bleed+CC34*c_mi_fatal+CD34*c_mi_nonfatal+BV34*c_tia+BW34*c_minor_bleed</f>
        <v>11.6531594936394</v>
      </c>
      <c r="CG34" s="57" t="n">
        <f aca="false">dt*(CD34*dec_mi+CB34*dec_major_bleed+BW34*dec_minor_bleed+BV34*dec_tia)</f>
        <v>6.37201983956847E-006</v>
      </c>
      <c r="CH34" s="57" t="n">
        <f aca="false">I34*BJ34+BX34+BS34-CA34+BT34-CB34+CC34</f>
        <v>0.000739540009256763</v>
      </c>
      <c r="CI34" s="57" t="n">
        <f aca="false">1-EXP(LN(1-E34)*dt)</f>
        <v>0.0176214757281867</v>
      </c>
      <c r="CJ34" s="57" t="n">
        <f aca="false">J34*(1-CI34)</f>
        <v>0.0909512434740107</v>
      </c>
      <c r="CK34" s="57" t="n">
        <f aca="false">(1-EXP(-r_stroke*F34*rr_asa_stroke*dt))</f>
        <v>0.00863881052909865</v>
      </c>
      <c r="CL34" s="57" t="n">
        <f aca="false">(1-EXP(-r_ich*rr_asa_ich*dt))</f>
        <v>0.00102357767802375</v>
      </c>
      <c r="CM34" s="57" t="n">
        <f aca="false">(1-EXP(-r_mb*rr_asa_mb*dt))</f>
        <v>0.00951809672747972</v>
      </c>
      <c r="CN34" s="57" t="n">
        <f aca="false">(1-EXP(-r_mi*rr_asa_mi*dt))</f>
        <v>0.00213413516393479</v>
      </c>
      <c r="CO34" s="57" t="n">
        <f aca="false">(1-EXP(-r_tia*rr_asa_tia*dt))</f>
        <v>0.00312764565589152</v>
      </c>
      <c r="CP34" s="57" t="n">
        <f aca="false">(1-EXP(-r_minor*rr_asa_minor*dt))</f>
        <v>0.0278181950466747</v>
      </c>
      <c r="CQ34" s="57" t="n">
        <f aca="false">CJ34*CK34</f>
        <v>0.000785710559757898</v>
      </c>
      <c r="CR34" s="57" t="n">
        <f aca="false">CJ34*CL34</f>
        <v>9.30956626085002E-005</v>
      </c>
      <c r="CS34" s="57" t="n">
        <f aca="false">CJ34*CM34</f>
        <v>0.000865682732870192</v>
      </c>
      <c r="CT34" s="57" t="n">
        <f aca="false">CJ34*CN34</f>
        <v>0.000194102246901481</v>
      </c>
      <c r="CU34" s="57" t="n">
        <f aca="false">CJ34*CO34</f>
        <v>0.000284463261549421</v>
      </c>
      <c r="CV34" s="57" t="n">
        <f aca="false">CJ34*CP34</f>
        <v>0.00253009943069763</v>
      </c>
      <c r="CW34" s="57" t="n">
        <f aca="false">CQ34*f_stroke_fatal</f>
        <v>0.000186213402662622</v>
      </c>
      <c r="CX34" s="57" t="n">
        <f aca="false">CQ34*(1-f_stroke_fatal)*f_stroke_major</f>
        <v>0.000199632553312727</v>
      </c>
      <c r="CY34" s="57" t="n">
        <f aca="false">CQ34*(1-f_stroke_fatal)*(1-f_stroke_major)</f>
        <v>0.000399864603782549</v>
      </c>
      <c r="CZ34" s="57" t="n">
        <f aca="false">CR34*(1-f_bleed_fatal)</f>
        <v>8.52756269493862E-005</v>
      </c>
      <c r="DA34" s="57" t="n">
        <f aca="false">CS34*(1-f_bleed_fatal)</f>
        <v>0.000792965383309096</v>
      </c>
      <c r="DB34" s="57" t="n">
        <f aca="false">CT34*f_mi_fatal</f>
        <v>2.34863718750792E-005</v>
      </c>
      <c r="DC34" s="57" t="n">
        <f aca="false">CT34-DB34</f>
        <v>0.000170615875026402</v>
      </c>
      <c r="DD34" s="57" t="n">
        <f aca="false">CJ34-CQ34-CR34-CS34-DB34</f>
        <v>0.089183268146899</v>
      </c>
      <c r="DE34" s="19" t="n">
        <f aca="false">CW34*c_stroke_fatal+CX34*c_stroke_major+CY34*c_stroke_minor+CR34*c_ich+CS34*c_major_bleed+DB34*c_mi_fatal+DC34*c_mi_nonfatal+CU34*c_tia+CV34*c_minor_bleed</f>
        <v>41.2774795159891</v>
      </c>
      <c r="DF34" s="57" t="n">
        <f aca="false">dt*(DC34*dec_mi+DA34*dec_major_bleed+CV34*dec_minor_bleed+CU34*dec_tia)</f>
        <v>3.91177020453492E-005</v>
      </c>
      <c r="DG34" s="57" t="n">
        <f aca="false">J34*CI34+CW34+CR34-CZ34+CS34-DA34+DB34</f>
        <v>0.00192168073240083</v>
      </c>
      <c r="DH34" s="57" t="n">
        <f aca="false">AG34</f>
        <v>0.506200070735966</v>
      </c>
      <c r="DI34" s="57" t="n">
        <f aca="false">AB34+AC34+BF34+BA34+BB34+BC34+CY34+CZ34</f>
        <v>0.0368679921910918</v>
      </c>
      <c r="DJ34" s="57" t="n">
        <f aca="false">AA34+AZ34+BY34+CX34+CE34+BZ34+CA34+CB34</f>
        <v>0.0155833229783977</v>
      </c>
      <c r="DK34" s="57" t="n">
        <f aca="false">AD34+DD34+DA34</f>
        <v>0.0931177753010551</v>
      </c>
      <c r="DL34" s="57" t="n">
        <f aca="false">K34+AJ34+BI34+CH34+DG34</f>
        <v>0.348230838793489</v>
      </c>
      <c r="DM34" s="58" t="n">
        <f aca="false">SUM(DH34:DL34)</f>
        <v>1</v>
      </c>
      <c r="DN34" s="19" t="n">
        <f aca="false">dt*(G34*Apixaban!$H$2+(H34+I34+J34)*c_aspirin)</f>
        <v>40.3086984949997</v>
      </c>
      <c r="DO34" s="19" t="n">
        <f aca="false">dt*(H34*c_lt_minor_stroke+I34*c_lt_major_stroke)</f>
        <v>200.211598731668</v>
      </c>
      <c r="DP34" s="19" t="n">
        <f aca="false">AH34+BG34+CF34+DE34</f>
        <v>210.452478104109</v>
      </c>
      <c r="DQ34" s="19" t="n">
        <f aca="false">DN34+DO34+DP34</f>
        <v>450.972775330777</v>
      </c>
      <c r="DR34" s="57" t="n">
        <f aca="false">dt*(G34*(u_af-dec_per_year_over_70*MAX(B34-ref_age,0))+H34*(u_minor_stroke-dec_per_year_over_70*MAX(B34-ref_age,0))+I34*(u_major_stroke-dec_per_year_over_70*MAX(B34-ref_age,0))+J34*(u_af-dec_per_year_over_70*MAX(B34-ref_age,0)))-AI34-BH34-CG34-DF34</f>
        <v>0.131943246753018</v>
      </c>
      <c r="DS34" s="57" t="n">
        <f aca="false">dt*(G34+H34+I34+J34)</f>
        <v>0.166575512940929</v>
      </c>
      <c r="DT34" s="19" t="n">
        <f aca="false">DQ34*C34</f>
        <v>406.338552430422</v>
      </c>
      <c r="DU34" s="19" t="n">
        <f aca="false">DN34*C34</f>
        <v>36.3192172405506</v>
      </c>
      <c r="DV34" s="19" t="n">
        <f aca="false">DP34*C34</f>
        <v>189.623320932169</v>
      </c>
      <c r="DW34" s="19" t="n">
        <f aca="false">DO34*C34</f>
        <v>180.396014257703</v>
      </c>
      <c r="DX34" s="57" t="n">
        <f aca="false">DR34*C34</f>
        <v>0.118884400170868</v>
      </c>
      <c r="DY34" s="57" t="n">
        <f aca="false">DS34*C34</f>
        <v>0.150088999827375</v>
      </c>
      <c r="DZ34" s="57" t="n">
        <f aca="false">T34+AS34+BR34+CQ34</f>
        <v>0.00389774072666096</v>
      </c>
      <c r="EA34" s="57" t="n">
        <f aca="false">U34+AT34+BS34+CR34</f>
        <v>0.000576545658944497</v>
      </c>
      <c r="EB34" s="57" t="n">
        <f aca="false">V34+AU34+BT34+CS34</f>
        <v>0.00477244986090334</v>
      </c>
      <c r="EC34" s="57" t="n">
        <f aca="false">G34*dt*C34</f>
        <v>0.117470841019999</v>
      </c>
    </row>
    <row r="35" customFormat="false" ht="15" hidden="false" customHeight="false" outlineLevel="0" collapsed="false">
      <c r="A35" s="8" t="n">
        <v>29</v>
      </c>
      <c r="B35" s="54" t="n">
        <f aca="false">start_age+A35*dt</f>
        <v>77.25</v>
      </c>
      <c r="C35" s="16" t="n">
        <f aca="false">(1+disc_rate)^-(A35*dt)</f>
        <v>0.897679264841526</v>
      </c>
      <c r="D35" s="55" t="n">
        <f aca="false">IF(A35*dt&gt;=wane_start,(1-wane_decay)^(A35*dt-wane_start),1)</f>
        <v>1</v>
      </c>
      <c r="E35" s="25" t="n">
        <f aca="false">MIN(p_nonvasc_death*MIN(EXP(gomp_int+gomp_slope*INT(B35)),1)/qx_ref,0.999)</f>
        <v>0.0686445950805788</v>
      </c>
      <c r="F35" s="55" t="n">
        <f aca="false">rr_stroke_per_decade^((B35-ref_age)/10)</f>
        <v>1.34173318972694</v>
      </c>
      <c r="G35" s="57" t="n">
        <f aca="false">DH34</f>
        <v>0.506200070735966</v>
      </c>
      <c r="H35" s="57" t="n">
        <f aca="false">DI34</f>
        <v>0.0368679921910918</v>
      </c>
      <c r="I35" s="57" t="n">
        <f aca="false">DJ34</f>
        <v>0.0155833229783977</v>
      </c>
      <c r="J35" s="57" t="n">
        <f aca="false">DK34</f>
        <v>0.0931177753010551</v>
      </c>
      <c r="K35" s="57" t="n">
        <f aca="false">DL34</f>
        <v>0.348230838793489</v>
      </c>
      <c r="L35" s="57" t="n">
        <f aca="false">1-EXP(LN(1-E35)*dt)</f>
        <v>0.0176214757281867</v>
      </c>
      <c r="M35" s="57" t="n">
        <f aca="false">G35*(1-L35)</f>
        <v>0.497280078475886</v>
      </c>
      <c r="N35" s="57" t="n">
        <f aca="false">IF(Apixaban!$B$2=1,EXP(LN(or_apx_stroke)*D35)*(1-EXP(-r_stroke*F35*dt))/(1-(1-EXP(-r_stroke*F35*dt))+EXP(LN(or_apx_stroke)*D35)*(1-EXP(-r_stroke*F35*dt))),(1-EXP(-r_stroke*F35*dt)))</f>
        <v>0.00426745606332696</v>
      </c>
      <c r="O35" s="57" t="n">
        <f aca="false">IF(Apixaban!$B$2=1,EXP(LN(or_apx_ich)*D35)*(1-EXP(-r_ich*dt))/(1-(1-EXP(-r_ich*dt))+EXP(LN(or_apx_ich)*D35)*(1-EXP(-r_ich*dt))),(1-EXP(-r_ich*dt)))</f>
        <v>0.000843513249640701</v>
      </c>
      <c r="P35" s="57" t="n">
        <f aca="false">IF(Apixaban!$B$2=1,EXP(LN(or_apx_mb)*D35)*(1-EXP(-r_mb*dt))/(1-(1-EXP(-r_mb*dt))+EXP(LN(or_apx_mb)*D35)*(1-EXP(-r_mb*dt))),(1-EXP(-r_mb*dt)))</f>
        <v>0.00669446907979895</v>
      </c>
      <c r="Q35" s="57" t="n">
        <f aca="false">IF(Apixaban!$B$2=1,EXP(LN(or_apx_mi)*D35)*(1-EXP(-r_mi*dt))/(1-(1-EXP(-r_mi*dt))+EXP(LN(or_apx_mi)*D35)*(1-EXP(-r_mi*dt))),(1-EXP(-r_mi*dt)))</f>
        <v>0.00132321915530843</v>
      </c>
      <c r="R35" s="57" t="n">
        <f aca="false">(1-EXP(-r_tia*dt))</f>
        <v>0.0020060281549299</v>
      </c>
      <c r="S35" s="57" t="n">
        <f aca="false">(1-EXP(-r_minor*dt))</f>
        <v>0.0437937690785545</v>
      </c>
      <c r="T35" s="57" t="n">
        <f aca="false">M35*N35</f>
        <v>0.00212212088606362</v>
      </c>
      <c r="U35" s="57" t="n">
        <f aca="false">M35*O35</f>
        <v>0.000419462334976777</v>
      </c>
      <c r="V35" s="57" t="n">
        <f aca="false">M35*P35</f>
        <v>0.00332902610935682</v>
      </c>
      <c r="W35" s="57" t="n">
        <f aca="false">M35*Q35</f>
        <v>0.000658010525392571</v>
      </c>
      <c r="X35" s="57" t="n">
        <f aca="false">M35*R35</f>
        <v>0.000997557838308375</v>
      </c>
      <c r="Y35" s="57" t="n">
        <f aca="false">M35*S35</f>
        <v>0.0217777689241384</v>
      </c>
      <c r="Z35" s="57" t="n">
        <f aca="false">T35*f_stroke_fatal</f>
        <v>0.000502942649997079</v>
      </c>
      <c r="AA35" s="57" t="n">
        <f aca="false">T35*(1-f_stroke_fatal)*f_stroke_major</f>
        <v>0.00053918635261016</v>
      </c>
      <c r="AB35" s="57" t="n">
        <f aca="false">T35*(1-f_stroke_fatal)*(1-f_stroke_major)</f>
        <v>0.00107999188345639</v>
      </c>
      <c r="AC35" s="57" t="n">
        <f aca="false">U35*(1-f_bleed_fatal)</f>
        <v>0.000384227498838728</v>
      </c>
      <c r="AD35" s="57" t="n">
        <f aca="false">V35*(1-f_bleed_fatal)</f>
        <v>0.00304938791617084</v>
      </c>
      <c r="AE35" s="57" t="n">
        <f aca="false">W35*f_mi_fatal</f>
        <v>7.96192735725011E-005</v>
      </c>
      <c r="AF35" s="57" t="n">
        <f aca="false">W35-AE35</f>
        <v>0.00057839125182007</v>
      </c>
      <c r="AG35" s="57" t="n">
        <f aca="false">M35-T35-U35-V35-AE35</f>
        <v>0.491329849871916</v>
      </c>
      <c r="AH35" s="19" t="n">
        <f aca="false">Z35*c_stroke_fatal+AA35*c_stroke_major+AB35*c_stroke_minor+U35*c_ich+V35*c_major_bleed+AE35*c_mi_fatal+AF35*c_mi_nonfatal+X35*c_tia+Y35*c_minor_bleed</f>
        <v>126.728878770279</v>
      </c>
      <c r="AI35" s="57" t="n">
        <f aca="false">dt*(AF35*dec_mi+AD35*dec_major_bleed+Y35*dec_minor_bleed+X35*dec_tia)</f>
        <v>0.000184675512031197</v>
      </c>
      <c r="AJ35" s="57" t="n">
        <f aca="false">G35*L35+Z35+U35-AC35+V35-AD35+AE35</f>
        <v>0.00981742721297384</v>
      </c>
      <c r="AK35" s="57" t="n">
        <f aca="false">1-EXP(LN(1-E35)*hr_death_prior_stroke*dt)</f>
        <v>0.0400659927121596</v>
      </c>
      <c r="AL35" s="57" t="n">
        <f aca="false">H35*(1-AK35)</f>
        <v>0.0353908394846516</v>
      </c>
      <c r="AM35" s="57" t="n">
        <f aca="false">(1-EXP(-r_stroke*F35*rr_stroke_prior*rr_asa_stroke*dt))</f>
        <v>0.0190977056752998</v>
      </c>
      <c r="AN35" s="57" t="n">
        <f aca="false">(1-EXP(-r_ich*rr_asa_ich*dt))</f>
        <v>0.00102357767802375</v>
      </c>
      <c r="AO35" s="57" t="n">
        <f aca="false">(1-EXP(-r_mb*rr_asa_mb*dt))</f>
        <v>0.00951809672747972</v>
      </c>
      <c r="AP35" s="57" t="n">
        <f aca="false">(1-EXP(-r_mi*rr_asa_mi*dt))</f>
        <v>0.00213413516393479</v>
      </c>
      <c r="AQ35" s="57" t="n">
        <f aca="false">(1-EXP(-r_tia*rr_asa_tia*dt))</f>
        <v>0.00312764565589152</v>
      </c>
      <c r="AR35" s="57" t="n">
        <f aca="false">(1-EXP(-r_minor*rr_asa_minor*dt))</f>
        <v>0.0278181950466747</v>
      </c>
      <c r="AS35" s="57" t="n">
        <f aca="false">AL35*AM35</f>
        <v>0.000675883836079654</v>
      </c>
      <c r="AT35" s="57" t="n">
        <f aca="false">AL35*AN35</f>
        <v>3.62252733030108E-005</v>
      </c>
      <c r="AU35" s="57" t="n">
        <f aca="false">AL35*AO35</f>
        <v>0.000336853433481622</v>
      </c>
      <c r="AV35" s="57" t="n">
        <f aca="false">AL35*AP35</f>
        <v>7.55288350253668E-005</v>
      </c>
      <c r="AW35" s="57" t="n">
        <f aca="false">AL35*AQ35</f>
        <v>0.000110690005372525</v>
      </c>
      <c r="AX35" s="57" t="n">
        <f aca="false">AL35*AR35</f>
        <v>0.000984509275649594</v>
      </c>
      <c r="AY35" s="57" t="n">
        <f aca="false">AS35*f_stroke_fatal_recur</f>
        <v>0.000251489616566878</v>
      </c>
      <c r="AZ35" s="57" t="n">
        <f aca="false">AS35*(1-f_stroke_fatal_recur)*f_stroke_major</f>
        <v>0.000141323275097754</v>
      </c>
      <c r="BA35" s="57" t="n">
        <f aca="false">AS35*(1-f_stroke_fatal_recur)*(1-f_stroke_major)</f>
        <v>0.000283070944415021</v>
      </c>
      <c r="BB35" s="57" t="n">
        <f aca="false">AT35*(1-f_bleed_fatal)</f>
        <v>3.31823503455579E-005</v>
      </c>
      <c r="BC35" s="57" t="n">
        <f aca="false">AU35*(1-f_bleed_fatal)</f>
        <v>0.000308557745069166</v>
      </c>
      <c r="BD35" s="57" t="n">
        <f aca="false">AV35*f_mi_fatal</f>
        <v>9.13898903806938E-006</v>
      </c>
      <c r="BE35" s="57" t="n">
        <f aca="false">AV35-BD35</f>
        <v>6.63898459872974E-005</v>
      </c>
      <c r="BF35" s="57" t="n">
        <f aca="false">AL35-AS35-AT35-AU35-BD35</f>
        <v>0.0343327379527492</v>
      </c>
      <c r="BG35" s="19" t="n">
        <f aca="false">AY35*c_stroke_fatal+AZ35*c_stroke_major+BA35*c_stroke_minor+AT35*c_ich+AU35*c_major_bleed+BD35*c_mi_fatal+BE35*c_mi_nonfatal+AW35*c_tia+AX35*c_minor_bleed</f>
        <v>28.0697765038906</v>
      </c>
      <c r="BH35" s="57" t="n">
        <f aca="false">dt*(BE35*dec_mi+BC35*dec_major_bleed+AX35*dec_minor_bleed+AW35*dec_tia)</f>
        <v>1.52214336078975E-005</v>
      </c>
      <c r="BI35" s="57" t="n">
        <f aca="false">H35*AK35+AY35+AT35-BB35+AU35-BC35+BD35</f>
        <v>0.0017691199234151</v>
      </c>
      <c r="BJ35" s="57" t="n">
        <f aca="false">1-EXP(LN(1-E35)*hr_death_prior_stroke*dt)</f>
        <v>0.0400659927121596</v>
      </c>
      <c r="BK35" s="57" t="n">
        <f aca="false">I35*(1-BJ35)</f>
        <v>0.014958961673514</v>
      </c>
      <c r="BL35" s="57" t="n">
        <f aca="false">(1-EXP(-r_stroke*F35*rr_stroke_prior*rr_asa_stroke*dt))</f>
        <v>0.0190977056752998</v>
      </c>
      <c r="BM35" s="57" t="n">
        <f aca="false">(1-EXP(-r_ich*rr_asa_ich*dt))</f>
        <v>0.00102357767802375</v>
      </c>
      <c r="BN35" s="57" t="n">
        <f aca="false">(1-EXP(-r_mb*rr_asa_mb*dt))</f>
        <v>0.00951809672747972</v>
      </c>
      <c r="BO35" s="57" t="n">
        <f aca="false">(1-EXP(-r_mi*rr_asa_mi*dt))</f>
        <v>0.00213413516393479</v>
      </c>
      <c r="BP35" s="57" t="n">
        <f aca="false">(1-EXP(-r_tia*rr_asa_tia*dt))</f>
        <v>0.00312764565589152</v>
      </c>
      <c r="BQ35" s="57" t="n">
        <f aca="false">(1-EXP(-r_minor*rr_asa_minor*dt))</f>
        <v>0.0278181950466747</v>
      </c>
      <c r="BR35" s="57" t="n">
        <f aca="false">BK35*BL35</f>
        <v>0.00028568184724886</v>
      </c>
      <c r="BS35" s="57" t="n">
        <f aca="false">BK35*BM35</f>
        <v>1.53116592554216E-005</v>
      </c>
      <c r="BT35" s="57" t="n">
        <f aca="false">BK35*BN35</f>
        <v>0.000142380844151168</v>
      </c>
      <c r="BU35" s="57" t="n">
        <f aca="false">BK35*BO35</f>
        <v>3.1924446123399E-005</v>
      </c>
      <c r="BV35" s="57" t="n">
        <f aca="false">BK35*BP35</f>
        <v>4.67863314948137E-005</v>
      </c>
      <c r="BW35" s="57" t="n">
        <f aca="false">BK35*BQ35</f>
        <v>0.000416131313529543</v>
      </c>
      <c r="BX35" s="57" t="n">
        <f aca="false">BR35*f_stroke_fatal_recur</f>
        <v>0.000106299358542828</v>
      </c>
      <c r="BY35" s="57" t="n">
        <f aca="false">BR35*(1-f_stroke_fatal_recur)*f_stroke_major</f>
        <v>5.97343687391085E-005</v>
      </c>
      <c r="BZ35" s="57" t="n">
        <f aca="false">BR35*(1-f_stroke_fatal_recur)*(1-f_stroke_major)</f>
        <v>0.000119648119966923</v>
      </c>
      <c r="CA35" s="57" t="n">
        <f aca="false">BS35*(1-f_bleed_fatal)</f>
        <v>1.40254798779662E-005</v>
      </c>
      <c r="CB35" s="57" t="n">
        <f aca="false">BT35*(1-f_bleed_fatal)</f>
        <v>0.00013042085324247</v>
      </c>
      <c r="CC35" s="57" t="n">
        <f aca="false">BU35*f_mi_fatal</f>
        <v>3.86285798093128E-006</v>
      </c>
      <c r="CD35" s="57" t="n">
        <f aca="false">BU35-CC35</f>
        <v>2.80615881424677E-005</v>
      </c>
      <c r="CE35" s="57" t="n">
        <f aca="false">BK35-BR35-BS35-BT35-CC35</f>
        <v>0.0145117244648776</v>
      </c>
      <c r="CF35" s="19" t="n">
        <f aca="false">BX35*c_stroke_fatal+BY35*c_stroke_major+BZ35*c_stroke_minor+BS35*c_ich+BT35*c_major_bleed+CC35*c_mi_fatal+CD35*c_mi_nonfatal+BV35*c_tia+BW35*c_minor_bleed</f>
        <v>11.8645027080497</v>
      </c>
      <c r="CG35" s="57" t="n">
        <f aca="false">dt*(CD35*dec_mi+CB35*dec_major_bleed+BW35*dec_minor_bleed+BV35*dec_tia)</f>
        <v>6.43377905899139E-006</v>
      </c>
      <c r="CH35" s="57" t="n">
        <f aca="false">I35*BJ35+BX35+BS35-CA35+BT35-CB35+CC35</f>
        <v>0.000747769691693624</v>
      </c>
      <c r="CI35" s="57" t="n">
        <f aca="false">1-EXP(LN(1-E35)*dt)</f>
        <v>0.0176214757281867</v>
      </c>
      <c r="CJ35" s="57" t="n">
        <f aca="false">J35*(1-CI35)</f>
        <v>0.0914769026837248</v>
      </c>
      <c r="CK35" s="57" t="n">
        <f aca="false">(1-EXP(-r_stroke*F35*rr_asa_stroke*dt))</f>
        <v>0.0087264391232883</v>
      </c>
      <c r="CL35" s="57" t="n">
        <f aca="false">(1-EXP(-r_ich*rr_asa_ich*dt))</f>
        <v>0.00102357767802375</v>
      </c>
      <c r="CM35" s="57" t="n">
        <f aca="false">(1-EXP(-r_mb*rr_asa_mb*dt))</f>
        <v>0.00951809672747972</v>
      </c>
      <c r="CN35" s="57" t="n">
        <f aca="false">(1-EXP(-r_mi*rr_asa_mi*dt))</f>
        <v>0.00213413516393479</v>
      </c>
      <c r="CO35" s="57" t="n">
        <f aca="false">(1-EXP(-r_tia*rr_asa_tia*dt))</f>
        <v>0.00312764565589152</v>
      </c>
      <c r="CP35" s="57" t="n">
        <f aca="false">(1-EXP(-r_minor*rr_asa_minor*dt))</f>
        <v>0.0278181950466747</v>
      </c>
      <c r="CQ35" s="57" t="n">
        <f aca="false">CJ35*CK35</f>
        <v>0.000798267622456493</v>
      </c>
      <c r="CR35" s="57" t="n">
        <f aca="false">CJ35*CL35</f>
        <v>9.36337156418112E-005</v>
      </c>
      <c r="CS35" s="57" t="n">
        <f aca="false">CJ35*CM35</f>
        <v>0.000870686008073942</v>
      </c>
      <c r="CT35" s="57" t="n">
        <f aca="false">CJ35*CN35</f>
        <v>0.000195224074705178</v>
      </c>
      <c r="CU35" s="57" t="n">
        <f aca="false">CJ35*CO35</f>
        <v>0.000286107337293163</v>
      </c>
      <c r="CV35" s="57" t="n">
        <f aca="false">CJ35*CP35</f>
        <v>0.00254472232112154</v>
      </c>
      <c r="CW35" s="57" t="n">
        <f aca="false">CQ35*f_stroke_fatal</f>
        <v>0.000189189426522189</v>
      </c>
      <c r="CX35" s="57" t="n">
        <f aca="false">CQ35*(1-f_stroke_fatal)*f_stroke_major</f>
        <v>0.000202823039246123</v>
      </c>
      <c r="CY35" s="57" t="n">
        <f aca="false">CQ35*(1-f_stroke_fatal)*(1-f_stroke_major)</f>
        <v>0.000406255156688181</v>
      </c>
      <c r="CZ35" s="57" t="n">
        <f aca="false">CR35*(1-f_bleed_fatal)</f>
        <v>8.57684835278991E-005</v>
      </c>
      <c r="DA35" s="57" t="n">
        <f aca="false">CS35*(1-f_bleed_fatal)</f>
        <v>0.000797548383395731</v>
      </c>
      <c r="DB35" s="57" t="n">
        <f aca="false">CT35*f_mi_fatal</f>
        <v>2.36221130393265E-005</v>
      </c>
      <c r="DC35" s="57" t="n">
        <f aca="false">CT35-DB35</f>
        <v>0.000171601961665851</v>
      </c>
      <c r="DD35" s="57" t="n">
        <f aca="false">CJ35-CQ35-CR35-CS35-DB35</f>
        <v>0.0896906932245132</v>
      </c>
      <c r="DE35" s="19" t="n">
        <f aca="false">CW35*c_stroke_fatal+CX35*c_stroke_major+CY35*c_stroke_minor+CR35*c_ich+CS35*c_major_bleed+DB35*c_mi_fatal+DC35*c_mi_nonfatal+CU35*c_tia+CV35*c_minor_bleed</f>
        <v>41.8122175853032</v>
      </c>
      <c r="DF35" s="57" t="n">
        <f aca="false">dt*(DC35*dec_mi+DA35*dec_major_bleed+CV35*dec_minor_bleed+CU35*dec_tia)</f>
        <v>3.93437855991036E-005</v>
      </c>
      <c r="DG35" s="57" t="n">
        <f aca="false">J35*CI35+CW35+CR35-CZ35+CS35-DA35+DB35</f>
        <v>0.00193468701368393</v>
      </c>
      <c r="DH35" s="57" t="n">
        <f aca="false">AG35</f>
        <v>0.491329849871916</v>
      </c>
      <c r="DI35" s="57" t="n">
        <f aca="false">AB35+AC35+BF35+BA35+BB35+BC35+CY35+CZ35</f>
        <v>0.0369137920150901</v>
      </c>
      <c r="DJ35" s="57" t="n">
        <f aca="false">AA35+AZ35+BY35+CX35+CE35+BZ35+CA35+CB35</f>
        <v>0.0157188859536581</v>
      </c>
      <c r="DK35" s="57" t="n">
        <f aca="false">AD35+DD35+DA35</f>
        <v>0.0935376295240798</v>
      </c>
      <c r="DL35" s="57" t="n">
        <f aca="false">K35+AJ35+BI35+CH35+DG35</f>
        <v>0.362499842635255</v>
      </c>
      <c r="DM35" s="58" t="n">
        <f aca="false">SUM(DH35:DL35)</f>
        <v>1</v>
      </c>
      <c r="DN35" s="19" t="n">
        <f aca="false">dt*(G35*Apixaban!$H$2+(H35+I35+J35)*c_aspirin)</f>
        <v>39.1752057087674</v>
      </c>
      <c r="DO35" s="19" t="n">
        <f aca="false">dt*(H35*c_lt_minor_stroke+I35*c_lt_major_stroke)</f>
        <v>201.40453330662</v>
      </c>
      <c r="DP35" s="19" t="n">
        <f aca="false">AH35+BG35+CF35+DE35</f>
        <v>208.475375567522</v>
      </c>
      <c r="DQ35" s="19" t="n">
        <f aca="false">DN35+DO35+DP35</f>
        <v>449.05511458291</v>
      </c>
      <c r="DR35" s="57" t="n">
        <f aca="false">dt*(G35*(u_af-dec_per_year_over_70*MAX(B35-ref_age,0))+H35*(u_minor_stroke-dec_per_year_over_70*MAX(B35-ref_age,0))+I35*(u_major_stroke-dec_per_year_over_70*MAX(B35-ref_age,0))+J35*(u_af-dec_per_year_over_70*MAX(B35-ref_age,0)))-AI35-BH35-CG35-DF35</f>
        <v>0.128982104988324</v>
      </c>
      <c r="DS35" s="57" t="n">
        <f aca="false">dt*(G35+H35+I35+J35)</f>
        <v>0.162942290301628</v>
      </c>
      <c r="DT35" s="19" t="n">
        <f aca="false">DQ35*C35</f>
        <v>403.107465132114</v>
      </c>
      <c r="DU35" s="19" t="n">
        <f aca="false">DN35*C35</f>
        <v>35.1667698606618</v>
      </c>
      <c r="DV35" s="19" t="n">
        <f aca="false">DP35*C35</f>
        <v>187.144021877014</v>
      </c>
      <c r="DW35" s="19" t="n">
        <f aca="false">DO35*C35</f>
        <v>180.796673394438</v>
      </c>
      <c r="DX35" s="57" t="n">
        <f aca="false">DR35*C35</f>
        <v>0.115784561183631</v>
      </c>
      <c r="DY35" s="57" t="n">
        <f aca="false">DS35*C35</f>
        <v>0.14626991536956</v>
      </c>
      <c r="DZ35" s="57" t="n">
        <f aca="false">T35+AS35+BR35+CQ35</f>
        <v>0.00388195419184863</v>
      </c>
      <c r="EA35" s="57" t="n">
        <f aca="false">U35+AT35+BS35+CR35</f>
        <v>0.000564632983177021</v>
      </c>
      <c r="EB35" s="57" t="n">
        <f aca="false">V35+AU35+BT35+CS35</f>
        <v>0.00467894639506355</v>
      </c>
      <c r="EC35" s="57" t="n">
        <f aca="false">G35*dt*C35</f>
        <v>0.113601326840248</v>
      </c>
    </row>
    <row r="36" customFormat="false" ht="15" hidden="false" customHeight="false" outlineLevel="0" collapsed="false">
      <c r="A36" s="8" t="n">
        <v>30</v>
      </c>
      <c r="B36" s="54" t="n">
        <f aca="false">start_age+A36*dt</f>
        <v>77.5</v>
      </c>
      <c r="C36" s="16" t="n">
        <f aca="false">(1+disc_rate)^-(A36*dt)</f>
        <v>0.894344175868447</v>
      </c>
      <c r="D36" s="55" t="n">
        <f aca="false">IF(A36*dt&gt;=wane_start,(1-wane_decay)^(A36*dt-wane_start),1)</f>
        <v>1</v>
      </c>
      <c r="E36" s="25" t="n">
        <f aca="false">MIN(p_nonvasc_death*MIN(EXP(gomp_int+gomp_slope*INT(B36)),1)/qx_ref,0.999)</f>
        <v>0.0686445950805788</v>
      </c>
      <c r="F36" s="55" t="n">
        <f aca="false">rr_stroke_per_decade^((B36-ref_age)/10)</f>
        <v>1.35540300541477</v>
      </c>
      <c r="G36" s="57" t="n">
        <f aca="false">DH35</f>
        <v>0.491329849871916</v>
      </c>
      <c r="H36" s="57" t="n">
        <f aca="false">DI35</f>
        <v>0.0369137920150901</v>
      </c>
      <c r="I36" s="57" t="n">
        <f aca="false">DJ35</f>
        <v>0.0157188859536581</v>
      </c>
      <c r="J36" s="57" t="n">
        <f aca="false">DK35</f>
        <v>0.0935376295240798</v>
      </c>
      <c r="K36" s="57" t="n">
        <f aca="false">DL35</f>
        <v>0.362499842635255</v>
      </c>
      <c r="L36" s="57" t="n">
        <f aca="false">1-EXP(LN(1-E36)*dt)</f>
        <v>0.0176214757281867</v>
      </c>
      <c r="M36" s="57" t="n">
        <f aca="false">G36*(1-L36)</f>
        <v>0.482671892847865</v>
      </c>
      <c r="N36" s="57" t="n">
        <f aca="false">IF(Apixaban!$B$2=1,EXP(LN(or_apx_stroke)*D36)*(1-EXP(-r_stroke*F36*dt))/(1-(1-EXP(-r_stroke*F36*dt))+EXP(LN(or_apx_stroke)*D36)*(1-EXP(-r_stroke*F36*dt))),(1-EXP(-r_stroke*F36*dt)))</f>
        <v>0.00431086464552859</v>
      </c>
      <c r="O36" s="57" t="n">
        <f aca="false">IF(Apixaban!$B$2=1,EXP(LN(or_apx_ich)*D36)*(1-EXP(-r_ich*dt))/(1-(1-EXP(-r_ich*dt))+EXP(LN(or_apx_ich)*D36)*(1-EXP(-r_ich*dt))),(1-EXP(-r_ich*dt)))</f>
        <v>0.000843513249640701</v>
      </c>
      <c r="P36" s="57" t="n">
        <f aca="false">IF(Apixaban!$B$2=1,EXP(LN(or_apx_mb)*D36)*(1-EXP(-r_mb*dt))/(1-(1-EXP(-r_mb*dt))+EXP(LN(or_apx_mb)*D36)*(1-EXP(-r_mb*dt))),(1-EXP(-r_mb*dt)))</f>
        <v>0.00669446907979895</v>
      </c>
      <c r="Q36" s="57" t="n">
        <f aca="false">IF(Apixaban!$B$2=1,EXP(LN(or_apx_mi)*D36)*(1-EXP(-r_mi*dt))/(1-(1-EXP(-r_mi*dt))+EXP(LN(or_apx_mi)*D36)*(1-EXP(-r_mi*dt))),(1-EXP(-r_mi*dt)))</f>
        <v>0.00132321915530843</v>
      </c>
      <c r="R36" s="57" t="n">
        <f aca="false">(1-EXP(-r_tia*dt))</f>
        <v>0.0020060281549299</v>
      </c>
      <c r="S36" s="57" t="n">
        <f aca="false">(1-EXP(-r_minor*dt))</f>
        <v>0.0437937690785545</v>
      </c>
      <c r="T36" s="57" t="n">
        <f aca="false">M36*N36</f>
        <v>0.00208073319826822</v>
      </c>
      <c r="U36" s="57" t="n">
        <f aca="false">M36*O36</f>
        <v>0.000407140136846331</v>
      </c>
      <c r="V36" s="57" t="n">
        <f aca="false">M36*P36</f>
        <v>0.00323123206235806</v>
      </c>
      <c r="W36" s="57" t="n">
        <f aca="false">M36*Q36</f>
        <v>0.000638680694345272</v>
      </c>
      <c r="X36" s="57" t="n">
        <f aca="false">M36*R36</f>
        <v>0.000968253406646122</v>
      </c>
      <c r="Y36" s="57" t="n">
        <f aca="false">M36*S36</f>
        <v>0.0211380214160882</v>
      </c>
      <c r="Z36" s="57" t="n">
        <f aca="false">T36*f_stroke_fatal</f>
        <v>0.000493133767989569</v>
      </c>
      <c r="AA36" s="57" t="n">
        <f aca="false">T36*(1-f_stroke_fatal)*f_stroke_major</f>
        <v>0.000528670610282792</v>
      </c>
      <c r="AB36" s="57" t="n">
        <f aca="false">T36*(1-f_stroke_fatal)*(1-f_stroke_major)</f>
        <v>0.00105892881999586</v>
      </c>
      <c r="AC36" s="57" t="n">
        <f aca="false">U36*(1-f_bleed_fatal)</f>
        <v>0.000372940365351239</v>
      </c>
      <c r="AD36" s="57" t="n">
        <f aca="false">V36*(1-f_bleed_fatal)</f>
        <v>0.00295980856911999</v>
      </c>
      <c r="AE36" s="57" t="n">
        <f aca="false">W36*f_mi_fatal</f>
        <v>7.72803640157779E-005</v>
      </c>
      <c r="AF36" s="57" t="n">
        <f aca="false">W36-AE36</f>
        <v>0.000561400330329494</v>
      </c>
      <c r="AG36" s="57" t="n">
        <f aca="false">M36-T36-U36-V36-AE36</f>
        <v>0.476875507086376</v>
      </c>
      <c r="AH36" s="19" t="n">
        <f aca="false">Z36*c_stroke_fatal+AA36*c_stroke_major+AB36*c_stroke_minor+U36*c_ich+V36*c_major_bleed+AE36*c_mi_fatal+AF36*c_mi_nonfatal+X36*c_tia+Y36*c_minor_bleed</f>
        <v>123.780199849854</v>
      </c>
      <c r="AI36" s="57" t="n">
        <f aca="false">dt*(AF36*dec_mi+AD36*dec_major_bleed+Y36*dec_minor_bleed+X36*dec_tia)</f>
        <v>0.000179250452235981</v>
      </c>
      <c r="AJ36" s="57" t="n">
        <f aca="false">G36*L36+Z36+U36-AC36+V36-AD36+AE36</f>
        <v>0.00953399442079012</v>
      </c>
      <c r="AK36" s="57" t="n">
        <f aca="false">1-EXP(LN(1-E36)*hr_death_prior_stroke*dt)</f>
        <v>0.0400659927121596</v>
      </c>
      <c r="AL36" s="57" t="n">
        <f aca="false">H36*(1-AK36)</f>
        <v>0.0354348042932354</v>
      </c>
      <c r="AM36" s="57" t="n">
        <f aca="false">(1-EXP(-r_stroke*F36*rr_stroke_prior*rr_asa_stroke*dt))</f>
        <v>0.0192903876908553</v>
      </c>
      <c r="AN36" s="57" t="n">
        <f aca="false">(1-EXP(-r_ich*rr_asa_ich*dt))</f>
        <v>0.00102357767802375</v>
      </c>
      <c r="AO36" s="57" t="n">
        <f aca="false">(1-EXP(-r_mb*rr_asa_mb*dt))</f>
        <v>0.00951809672747972</v>
      </c>
      <c r="AP36" s="57" t="n">
        <f aca="false">(1-EXP(-r_mi*rr_asa_mi*dt))</f>
        <v>0.00213413516393479</v>
      </c>
      <c r="AQ36" s="57" t="n">
        <f aca="false">(1-EXP(-r_tia*rr_asa_tia*dt))</f>
        <v>0.00312764565589152</v>
      </c>
      <c r="AR36" s="57" t="n">
        <f aca="false">(1-EXP(-r_minor*rr_asa_minor*dt))</f>
        <v>0.0278181950466747</v>
      </c>
      <c r="AS36" s="57" t="n">
        <f aca="false">AL36*AM36</f>
        <v>0.000683551112566095</v>
      </c>
      <c r="AT36" s="57" t="n">
        <f aca="false">AL36*AN36</f>
        <v>3.62702746996957E-005</v>
      </c>
      <c r="AU36" s="57" t="n">
        <f aca="false">AL36*AO36</f>
        <v>0.000337271894782328</v>
      </c>
      <c r="AV36" s="57" t="n">
        <f aca="false">AL36*AP36</f>
        <v>7.56226618693411E-005</v>
      </c>
      <c r="AW36" s="57" t="n">
        <f aca="false">AL36*AQ36</f>
        <v>0.000110827511715104</v>
      </c>
      <c r="AX36" s="57" t="n">
        <f aca="false">AL36*AR36</f>
        <v>0.000985732297269968</v>
      </c>
      <c r="AY36" s="57" t="n">
        <f aca="false">AS36*f_stroke_fatal_recur</f>
        <v>0.000254342533474718</v>
      </c>
      <c r="AZ36" s="57" t="n">
        <f aca="false">AS36*(1-f_stroke_fatal_recur)*f_stroke_major</f>
        <v>0.000142926456837429</v>
      </c>
      <c r="BA36" s="57" t="n">
        <f aca="false">AS36*(1-f_stroke_fatal_recur)*(1-f_stroke_major)</f>
        <v>0.000286282122253948</v>
      </c>
      <c r="BB36" s="57" t="n">
        <f aca="false">AT36*(1-f_bleed_fatal)</f>
        <v>3.32235716249213E-005</v>
      </c>
      <c r="BC36" s="57" t="n">
        <f aca="false">AU36*(1-f_bleed_fatal)</f>
        <v>0.000308941055620612</v>
      </c>
      <c r="BD36" s="57" t="n">
        <f aca="false">AV36*f_mi_fatal</f>
        <v>9.15034208619027E-006</v>
      </c>
      <c r="BE36" s="57" t="n">
        <f aca="false">AV36-BD36</f>
        <v>6.64723197831508E-005</v>
      </c>
      <c r="BF36" s="57" t="n">
        <f aca="false">AL36-AS36-AT36-AU36-BD36</f>
        <v>0.0343685606691011</v>
      </c>
      <c r="BG36" s="19" t="n">
        <f aca="false">AY36*c_stroke_fatal+AZ36*c_stroke_major+BA36*c_stroke_minor+AT36*c_ich+AU36*c_major_bleed+BD36*c_mi_fatal+BE36*c_mi_nonfatal+AW36*c_tia+AX36*c_minor_bleed</f>
        <v>28.3400602596646</v>
      </c>
      <c r="BH36" s="57" t="n">
        <f aca="false">dt*(BE36*dec_mi+BC36*dec_major_bleed+AX36*dec_minor_bleed+AW36*dec_tia)</f>
        <v>1.52403426652889E-005</v>
      </c>
      <c r="BI36" s="57" t="n">
        <f aca="false">H36*AK36+AY36+AT36-BB36+AU36-BC36+BD36</f>
        <v>0.00177385813965218</v>
      </c>
      <c r="BJ36" s="57" t="n">
        <f aca="false">1-EXP(LN(1-E36)*hr_death_prior_stroke*dt)</f>
        <v>0.0400659927121596</v>
      </c>
      <c r="BK36" s="57" t="n">
        <f aca="false">I36*(1-BJ36)</f>
        <v>0.0150890931835956</v>
      </c>
      <c r="BL36" s="57" t="n">
        <f aca="false">(1-EXP(-r_stroke*F36*rr_stroke_prior*rr_asa_stroke*dt))</f>
        <v>0.0192903876908553</v>
      </c>
      <c r="BM36" s="57" t="n">
        <f aca="false">(1-EXP(-r_ich*rr_asa_ich*dt))</f>
        <v>0.00102357767802375</v>
      </c>
      <c r="BN36" s="57" t="n">
        <f aca="false">(1-EXP(-r_mb*rr_asa_mb*dt))</f>
        <v>0.00951809672747972</v>
      </c>
      <c r="BO36" s="57" t="n">
        <f aca="false">(1-EXP(-r_mi*rr_asa_mi*dt))</f>
        <v>0.00213413516393479</v>
      </c>
      <c r="BP36" s="57" t="n">
        <f aca="false">(1-EXP(-r_tia*rr_asa_tia*dt))</f>
        <v>0.00312764565589152</v>
      </c>
      <c r="BQ36" s="57" t="n">
        <f aca="false">(1-EXP(-r_minor*rr_asa_minor*dt))</f>
        <v>0.0278181950466747</v>
      </c>
      <c r="BR36" s="57" t="n">
        <f aca="false">BK36*BL36</f>
        <v>0.000291074457415001</v>
      </c>
      <c r="BS36" s="57" t="n">
        <f aca="false">BK36*BM36</f>
        <v>1.54448589643487E-005</v>
      </c>
      <c r="BT36" s="57" t="n">
        <f aca="false">BK36*BN36</f>
        <v>0.000143619448451417</v>
      </c>
      <c r="BU36" s="57" t="n">
        <f aca="false">BK36*BO36</f>
        <v>3.22021643550001E-005</v>
      </c>
      <c r="BV36" s="57" t="n">
        <f aca="false">BK36*BP36</f>
        <v>4.7193336747015E-005</v>
      </c>
      <c r="BW36" s="57" t="n">
        <f aca="false">BK36*BQ36</f>
        <v>0.000419751337258711</v>
      </c>
      <c r="BX36" s="57" t="n">
        <f aca="false">BR36*f_stroke_fatal_recur</f>
        <v>0.000108305894859548</v>
      </c>
      <c r="BY36" s="57" t="n">
        <f aca="false">BR36*(1-f_stroke_fatal_recur)*f_stroke_major</f>
        <v>6.08619313309659E-005</v>
      </c>
      <c r="BZ36" s="57" t="n">
        <f aca="false">BR36*(1-f_stroke_fatal_recur)*(1-f_stroke_major)</f>
        <v>0.000121906631224487</v>
      </c>
      <c r="CA36" s="57" t="n">
        <f aca="false">BS36*(1-f_bleed_fatal)</f>
        <v>1.41474908113434E-005</v>
      </c>
      <c r="CB36" s="57" t="n">
        <f aca="false">BT36*(1-f_bleed_fatal)</f>
        <v>0.000131555414781498</v>
      </c>
      <c r="CC36" s="57" t="n">
        <f aca="false">BU36*f_mi_fatal</f>
        <v>3.89646188695501E-006</v>
      </c>
      <c r="CD36" s="57" t="n">
        <f aca="false">BU36-CC36</f>
        <v>2.83057024680451E-005</v>
      </c>
      <c r="CE36" s="57" t="n">
        <f aca="false">BK36-BR36-BS36-BT36-CC36</f>
        <v>0.0146350579568778</v>
      </c>
      <c r="CF36" s="19" t="n">
        <f aca="false">BX36*c_stroke_fatal+BY36*c_stroke_major+BZ36*c_stroke_minor+BS36*c_ich+BT36*c_major_bleed+CC36*c_mi_fatal+CD36*c_mi_nonfatal+BV36*c_tia+BW36*c_minor_bleed</f>
        <v>12.0679602615564</v>
      </c>
      <c r="CG36" s="57" t="n">
        <f aca="false">dt*(CD36*dec_mi+CB36*dec_major_bleed+BW36*dec_minor_bleed+BV36*dec_tia)</f>
        <v>6.48974800942732E-006</v>
      </c>
      <c r="CH36" s="57" t="n">
        <f aca="false">I36*BJ36+BX36+BS36-CA36+BT36-CB36+CC36</f>
        <v>0.00075535652863196</v>
      </c>
      <c r="CI36" s="57" t="n">
        <f aca="false">1-EXP(LN(1-E36)*dt)</f>
        <v>0.0176214757281867</v>
      </c>
      <c r="CJ36" s="57" t="n">
        <f aca="false">J36*(1-CI36)</f>
        <v>0.0918893584557491</v>
      </c>
      <c r="CK36" s="57" t="n">
        <f aca="false">(1-EXP(-r_stroke*F36*rr_asa_stroke*dt))</f>
        <v>0.00881495262868093</v>
      </c>
      <c r="CL36" s="57" t="n">
        <f aca="false">(1-EXP(-r_ich*rr_asa_ich*dt))</f>
        <v>0.00102357767802375</v>
      </c>
      <c r="CM36" s="57" t="n">
        <f aca="false">(1-EXP(-r_mb*rr_asa_mb*dt))</f>
        <v>0.00951809672747972</v>
      </c>
      <c r="CN36" s="57" t="n">
        <f aca="false">(1-EXP(-r_mi*rr_asa_mi*dt))</f>
        <v>0.00213413516393479</v>
      </c>
      <c r="CO36" s="57" t="n">
        <f aca="false">(1-EXP(-r_tia*rr_asa_tia*dt))</f>
        <v>0.00312764565589152</v>
      </c>
      <c r="CP36" s="57" t="n">
        <f aca="false">(1-EXP(-r_minor*rr_asa_minor*dt))</f>
        <v>0.0278181950466747</v>
      </c>
      <c r="CQ36" s="57" t="n">
        <f aca="false">CJ36*CK36</f>
        <v>0.00081000034186731</v>
      </c>
      <c r="CR36" s="57" t="n">
        <f aca="false">CJ36*CL36</f>
        <v>9.40558961632274E-005</v>
      </c>
      <c r="CS36" s="57" t="n">
        <f aca="false">CJ36*CM36</f>
        <v>0.000874611802007876</v>
      </c>
      <c r="CT36" s="57" t="n">
        <f aca="false">CJ36*CN36</f>
        <v>0.000196104311071823</v>
      </c>
      <c r="CU36" s="57" t="n">
        <f aca="false">CJ36*CO36</f>
        <v>0.000287397352796782</v>
      </c>
      <c r="CV36" s="57" t="n">
        <f aca="false">CJ36*CP36</f>
        <v>0.00255619609623584</v>
      </c>
      <c r="CW36" s="57" t="n">
        <f aca="false">CQ36*f_stroke_fatal</f>
        <v>0.000191970081022552</v>
      </c>
      <c r="CX36" s="57" t="n">
        <f aca="false">CQ36*(1-f_stroke_fatal)*f_stroke_major</f>
        <v>0.000205804076861304</v>
      </c>
      <c r="CY36" s="57" t="n">
        <f aca="false">CQ36*(1-f_stroke_fatal)*(1-f_stroke_major)</f>
        <v>0.000412226183983453</v>
      </c>
      <c r="CZ36" s="57" t="n">
        <f aca="false">CR36*(1-f_bleed_fatal)</f>
        <v>8.61552008855163E-005</v>
      </c>
      <c r="DA36" s="57" t="n">
        <f aca="false">CS36*(1-f_bleed_fatal)</f>
        <v>0.000801144410639215</v>
      </c>
      <c r="DB36" s="57" t="n">
        <f aca="false">CT36*f_mi_fatal</f>
        <v>2.37286216396906E-005</v>
      </c>
      <c r="DC36" s="57" t="n">
        <f aca="false">CT36-DB36</f>
        <v>0.000172375689432132</v>
      </c>
      <c r="DD36" s="57" t="n">
        <f aca="false">CJ36-CQ36-CR36-CS36-DB36</f>
        <v>0.090086961794071</v>
      </c>
      <c r="DE36" s="19" t="n">
        <f aca="false">CW36*c_stroke_fatal+CX36*c_stroke_major+CY36*c_stroke_minor+CR36*c_ich+CS36*c_major_bleed+DB36*c_mi_fatal+DC36*c_mi_nonfatal+CU36*c_tia+CV36*c_minor_bleed</f>
        <v>42.3012543456675</v>
      </c>
      <c r="DF36" s="57" t="n">
        <f aca="false">dt*(DC36*dec_mi+DA36*dec_major_bleed+CV36*dec_minor_bleed+CU36*dec_tia)</f>
        <v>3.95211808867397E-005</v>
      </c>
      <c r="DG36" s="57" t="n">
        <f aca="false">J36*CI36+CW36+CR36-CZ36+CS36-DA36+DB36</f>
        <v>0.00194533785763931</v>
      </c>
      <c r="DH36" s="57" t="n">
        <f aca="false">AG36</f>
        <v>0.476875507086376</v>
      </c>
      <c r="DI36" s="57" t="n">
        <f aca="false">AB36+AC36+BF36+BA36+BB36+BC36+CY36+CZ36</f>
        <v>0.0369272579888166</v>
      </c>
      <c r="DJ36" s="57" t="n">
        <f aca="false">AA36+AZ36+BY36+CX36+CE36+BZ36+CA36+CB36</f>
        <v>0.0158409305690077</v>
      </c>
      <c r="DK36" s="57" t="n">
        <f aca="false">AD36+DD36+DA36</f>
        <v>0.0938479147738302</v>
      </c>
      <c r="DL36" s="57" t="n">
        <f aca="false">K36+AJ36+BI36+CH36+DG36</f>
        <v>0.376508389581969</v>
      </c>
      <c r="DM36" s="58" t="n">
        <f aca="false">SUM(DH36:DL36)</f>
        <v>1</v>
      </c>
      <c r="DN36" s="19" t="n">
        <f aca="false">dt*(G36*Apixaban!$H$2+(H36+I36+J36)*c_aspirin)</f>
        <v>38.0719922904695</v>
      </c>
      <c r="DO36" s="19" t="n">
        <f aca="false">dt*(H36*c_lt_minor_stroke+I36*c_lt_major_stroke)</f>
        <v>202.413386113093</v>
      </c>
      <c r="DP36" s="19" t="n">
        <f aca="false">AH36+BG36+CF36+DE36</f>
        <v>206.489474716743</v>
      </c>
      <c r="DQ36" s="19" t="n">
        <f aca="false">DN36+DO36+DP36</f>
        <v>446.974853120305</v>
      </c>
      <c r="DR36" s="57" t="n">
        <f aca="false">dt*(G36*(u_af-dec_per_year_over_70*MAX(B36-ref_age,0))+H36*(u_minor_stroke-dec_per_year_over_70*MAX(B36-ref_age,0))+I36*(u_major_stroke-dec_per_year_over_70*MAX(B36-ref_age,0))+J36*(u_af-dec_per_year_over_70*MAX(B36-ref_age,0)))-AI36-BH36-CG36-DF36</f>
        <v>0.126076883513201</v>
      </c>
      <c r="DS36" s="57" t="n">
        <f aca="false">dt*(G36+H36+I36+J36)</f>
        <v>0.159375039341186</v>
      </c>
      <c r="DT36" s="19" t="n">
        <f aca="false">DQ36*C36</f>
        <v>399.7493566478</v>
      </c>
      <c r="DU36" s="19" t="n">
        <f aca="false">DN36*C36</f>
        <v>34.0494645686898</v>
      </c>
      <c r="DV36" s="19" t="n">
        <f aca="false">DP36*C36</f>
        <v>184.672659091054</v>
      </c>
      <c r="DW36" s="19" t="n">
        <f aca="false">DO36*C36</f>
        <v>181.027232988056</v>
      </c>
      <c r="DX36" s="57" t="n">
        <f aca="false">DR36*C36</f>
        <v>0.112756126481676</v>
      </c>
      <c r="DY36" s="57" t="n">
        <f aca="false">DS36*C36</f>
        <v>0.142536138213594</v>
      </c>
      <c r="DZ36" s="57" t="n">
        <f aca="false">T36+AS36+BR36+CQ36</f>
        <v>0.00386535911011663</v>
      </c>
      <c r="EA36" s="57" t="n">
        <f aca="false">U36+AT36+BS36+CR36</f>
        <v>0.000552911166673602</v>
      </c>
      <c r="EB36" s="57" t="n">
        <f aca="false">V36+AU36+BT36+CS36</f>
        <v>0.00458673520759969</v>
      </c>
      <c r="EC36" s="57" t="n">
        <f aca="false">G36*dt*C36</f>
        <v>0.109854497415817</v>
      </c>
    </row>
    <row r="37" customFormat="false" ht="15" hidden="false" customHeight="false" outlineLevel="0" collapsed="false">
      <c r="A37" s="8" t="n">
        <v>31</v>
      </c>
      <c r="B37" s="54" t="n">
        <f aca="false">start_age+A37*dt</f>
        <v>77.75</v>
      </c>
      <c r="C37" s="16" t="n">
        <f aca="false">(1+disc_rate)^-(A37*dt)</f>
        <v>0.891021477532976</v>
      </c>
      <c r="D37" s="55" t="n">
        <f aca="false">IF(A37*dt&gt;=wane_start,(1-wane_decay)^(A37*dt-wane_start),1)</f>
        <v>1</v>
      </c>
      <c r="E37" s="25" t="n">
        <f aca="false">MIN(p_nonvasc_death*MIN(EXP(gomp_int+gomp_slope*INT(B37)),1)/qx_ref,0.999)</f>
        <v>0.0686445950805788</v>
      </c>
      <c r="F37" s="55" t="n">
        <f aca="false">rr_stroke_per_decade^((B37-ref_age)/10)</f>
        <v>1.36921209160911</v>
      </c>
      <c r="G37" s="57" t="n">
        <f aca="false">DH36</f>
        <v>0.476875507086376</v>
      </c>
      <c r="H37" s="57" t="n">
        <f aca="false">DI36</f>
        <v>0.0369272579888166</v>
      </c>
      <c r="I37" s="57" t="n">
        <f aca="false">DJ36</f>
        <v>0.0158409305690077</v>
      </c>
      <c r="J37" s="57" t="n">
        <f aca="false">DK36</f>
        <v>0.0938479147738302</v>
      </c>
      <c r="K37" s="57" t="n">
        <f aca="false">DL36</f>
        <v>0.376508389581969</v>
      </c>
      <c r="L37" s="57" t="n">
        <f aca="false">1-EXP(LN(1-E37)*dt)</f>
        <v>0.0176214757281867</v>
      </c>
      <c r="M37" s="57" t="n">
        <f aca="false">G37*(1-L37)</f>
        <v>0.468472256912887</v>
      </c>
      <c r="N37" s="57" t="n">
        <f aca="false">IF(Apixaban!$B$2=1,EXP(LN(or_apx_stroke)*D37)*(1-EXP(-r_stroke*F37*dt))/(1-(1-EXP(-r_stroke*F37*dt))+EXP(LN(or_apx_stroke)*D37)*(1-EXP(-r_stroke*F37*dt))),(1-EXP(-r_stroke*F37*dt)))</f>
        <v>0.00435471406861668</v>
      </c>
      <c r="O37" s="57" t="n">
        <f aca="false">IF(Apixaban!$B$2=1,EXP(LN(or_apx_ich)*D37)*(1-EXP(-r_ich*dt))/(1-(1-EXP(-r_ich*dt))+EXP(LN(or_apx_ich)*D37)*(1-EXP(-r_ich*dt))),(1-EXP(-r_ich*dt)))</f>
        <v>0.000843513249640701</v>
      </c>
      <c r="P37" s="57" t="n">
        <f aca="false">IF(Apixaban!$B$2=1,EXP(LN(or_apx_mb)*D37)*(1-EXP(-r_mb*dt))/(1-(1-EXP(-r_mb*dt))+EXP(LN(or_apx_mb)*D37)*(1-EXP(-r_mb*dt))),(1-EXP(-r_mb*dt)))</f>
        <v>0.00669446907979895</v>
      </c>
      <c r="Q37" s="57" t="n">
        <f aca="false">IF(Apixaban!$B$2=1,EXP(LN(or_apx_mi)*D37)*(1-EXP(-r_mi*dt))/(1-(1-EXP(-r_mi*dt))+EXP(LN(or_apx_mi)*D37)*(1-EXP(-r_mi*dt))),(1-EXP(-r_mi*dt)))</f>
        <v>0.00132321915530843</v>
      </c>
      <c r="R37" s="57" t="n">
        <f aca="false">(1-EXP(-r_tia*dt))</f>
        <v>0.0020060281549299</v>
      </c>
      <c r="S37" s="57" t="n">
        <f aca="false">(1-EXP(-r_minor*dt))</f>
        <v>0.0437937690785545</v>
      </c>
      <c r="T37" s="57" t="n">
        <f aca="false">M37*N37</f>
        <v>0.00204006272793516</v>
      </c>
      <c r="U37" s="57" t="n">
        <f aca="false">M37*O37</f>
        <v>0.000395162555795103</v>
      </c>
      <c r="V37" s="57" t="n">
        <f aca="false">M37*P37</f>
        <v>0.00313617303864695</v>
      </c>
      <c r="W37" s="57" t="n">
        <f aca="false">M37*Q37</f>
        <v>0.000619891464077704</v>
      </c>
      <c r="X37" s="57" t="n">
        <f aca="false">M37*R37</f>
        <v>0.000939768537170803</v>
      </c>
      <c r="Y37" s="57" t="n">
        <f aca="false">M37*S37</f>
        <v>0.0205161658389522</v>
      </c>
      <c r="Z37" s="57" t="n">
        <f aca="false">T37*f_stroke_fatal</f>
        <v>0.000483494866520632</v>
      </c>
      <c r="AA37" s="57" t="n">
        <f aca="false">T37*(1-f_stroke_fatal)*f_stroke_major</f>
        <v>0.000518337097851037</v>
      </c>
      <c r="AB37" s="57" t="n">
        <f aca="false">T37*(1-f_stroke_fatal)*(1-f_stroke_major)</f>
        <v>0.00103823076356349</v>
      </c>
      <c r="AC37" s="57" t="n">
        <f aca="false">U37*(1-f_bleed_fatal)</f>
        <v>0.000361968901108314</v>
      </c>
      <c r="AD37" s="57" t="n">
        <f aca="false">V37*(1-f_bleed_fatal)</f>
        <v>0.00287273450340061</v>
      </c>
      <c r="AE37" s="57" t="n">
        <f aca="false">W37*f_mi_fatal</f>
        <v>7.50068671534021E-005</v>
      </c>
      <c r="AF37" s="57" t="n">
        <f aca="false">W37-AE37</f>
        <v>0.000544884596924302</v>
      </c>
      <c r="AG37" s="57" t="n">
        <f aca="false">M37-T37-U37-V37-AE37</f>
        <v>0.462825851723357</v>
      </c>
      <c r="AH37" s="19" t="n">
        <f aca="false">Z37*c_stroke_fatal+AA37*c_stroke_major+AB37*c_stroke_minor+U37*c_ich+V37*c_major_bleed+AE37*c_mi_fatal+AF37*c_mi_nonfatal+X37*c_tia+Y37*c_minor_bleed</f>
        <v>120.897719874693</v>
      </c>
      <c r="AI37" s="57" t="n">
        <f aca="false">dt*(AF37*dec_mi+AD37*dec_major_bleed+Y37*dec_minor_bleed+X37*dec_tia)</f>
        <v>0.000173977116040841</v>
      </c>
      <c r="AJ37" s="57" t="n">
        <f aca="false">G37*L37+Z37+U37-AC37+V37-AD37+AE37</f>
        <v>0.00925838409709649</v>
      </c>
      <c r="AK37" s="57" t="n">
        <f aca="false">1-EXP(LN(1-E37)*hr_death_prior_stroke*dt)</f>
        <v>0.0400659927121596</v>
      </c>
      <c r="AL37" s="57" t="n">
        <f aca="false">H37*(1-AK37)</f>
        <v>0.0354477307393566</v>
      </c>
      <c r="AM37" s="57" t="n">
        <f aca="false">(1-EXP(-r_stroke*F37*rr_stroke_prior*rr_asa_stroke*dt))</f>
        <v>0.0194849943554047</v>
      </c>
      <c r="AN37" s="57" t="n">
        <f aca="false">(1-EXP(-r_ich*rr_asa_ich*dt))</f>
        <v>0.00102357767802375</v>
      </c>
      <c r="AO37" s="57" t="n">
        <f aca="false">(1-EXP(-r_mb*rr_asa_mb*dt))</f>
        <v>0.00951809672747972</v>
      </c>
      <c r="AP37" s="57" t="n">
        <f aca="false">(1-EXP(-r_mi*rr_asa_mi*dt))</f>
        <v>0.00213413516393479</v>
      </c>
      <c r="AQ37" s="57" t="n">
        <f aca="false">(1-EXP(-r_tia*rr_asa_tia*dt))</f>
        <v>0.00312764565589152</v>
      </c>
      <c r="AR37" s="57" t="n">
        <f aca="false">(1-EXP(-r_minor*rr_asa_minor*dt))</f>
        <v>0.0278181950466747</v>
      </c>
      <c r="AS37" s="57" t="n">
        <f aca="false">AL37*AM37</f>
        <v>0.000690698833368271</v>
      </c>
      <c r="AT37" s="57" t="n">
        <f aca="false">AL37*AN37</f>
        <v>3.62835059214016E-005</v>
      </c>
      <c r="AU37" s="57" t="n">
        <f aca="false">AL37*AO37</f>
        <v>0.000337394929946853</v>
      </c>
      <c r="AV37" s="57" t="n">
        <f aca="false">AL37*AP37</f>
        <v>7.56502486525532E-005</v>
      </c>
      <c r="AW37" s="57" t="n">
        <f aca="false">AL37*AQ37</f>
        <v>0.000110867941058161</v>
      </c>
      <c r="AX37" s="57" t="n">
        <f aca="false">AL37*AR37</f>
        <v>0.00098609188766943</v>
      </c>
      <c r="AY37" s="57" t="n">
        <f aca="false">AS37*f_stroke_fatal_recur</f>
        <v>0.000257002128908</v>
      </c>
      <c r="AZ37" s="57" t="n">
        <f aca="false">AS37*(1-f_stroke_fatal_recur)*f_stroke_major</f>
        <v>0.00014442100258527</v>
      </c>
      <c r="BA37" s="57" t="n">
        <f aca="false">AS37*(1-f_stroke_fatal_recur)*(1-f_stroke_major)</f>
        <v>0.000289275701875001</v>
      </c>
      <c r="BB37" s="57" t="n">
        <f aca="false">AT37*(1-f_bleed_fatal)</f>
        <v>3.32356914240039E-005</v>
      </c>
      <c r="BC37" s="57" t="n">
        <f aca="false">AU37*(1-f_bleed_fatal)</f>
        <v>0.000309053755831317</v>
      </c>
      <c r="BD37" s="57" t="n">
        <f aca="false">AV37*f_mi_fatal</f>
        <v>9.15368008695894E-006</v>
      </c>
      <c r="BE37" s="57" t="n">
        <f aca="false">AV37-BD37</f>
        <v>6.64965685655943E-005</v>
      </c>
      <c r="BF37" s="57" t="n">
        <f aca="false">AL37-AS37-AT37-AU37-BD37</f>
        <v>0.0343741997900332</v>
      </c>
      <c r="BG37" s="19" t="n">
        <f aca="false">AY37*c_stroke_fatal+AZ37*c_stroke_major+BA37*c_stroke_minor+AT37*c_ich+AU37*c_major_bleed+BD37*c_mi_fatal+BE37*c_mi_nonfatal+AW37*c_tia+AX37*c_minor_bleed</f>
        <v>28.588250445716</v>
      </c>
      <c r="BH37" s="57" t="n">
        <f aca="false">dt*(BE37*dec_mi+BC37*dec_major_bleed+AX37*dec_minor_bleed+AW37*dec_tia)</f>
        <v>1.52459022689684E-005</v>
      </c>
      <c r="BI37" s="57" t="n">
        <f aca="false">H37*AK37+AY37+AT37-BB37+AU37-BC37+BD37</f>
        <v>0.00177707204706786</v>
      </c>
      <c r="BJ37" s="57" t="n">
        <f aca="false">1-EXP(LN(1-E37)*hr_death_prior_stroke*dt)</f>
        <v>0.0400659927121596</v>
      </c>
      <c r="BK37" s="57" t="n">
        <f aca="false">I37*(1-BJ37)</f>
        <v>0.015206247960276</v>
      </c>
      <c r="BL37" s="57" t="n">
        <f aca="false">(1-EXP(-r_stroke*F37*rr_stroke_prior*rr_asa_stroke*dt))</f>
        <v>0.0194849943554047</v>
      </c>
      <c r="BM37" s="57" t="n">
        <f aca="false">(1-EXP(-r_ich*rr_asa_ich*dt))</f>
        <v>0.00102357767802375</v>
      </c>
      <c r="BN37" s="57" t="n">
        <f aca="false">(1-EXP(-r_mb*rr_asa_mb*dt))</f>
        <v>0.00951809672747972</v>
      </c>
      <c r="BO37" s="57" t="n">
        <f aca="false">(1-EXP(-r_mi*rr_asa_mi*dt))</f>
        <v>0.00213413516393479</v>
      </c>
      <c r="BP37" s="57" t="n">
        <f aca="false">(1-EXP(-r_tia*rr_asa_tia*dt))</f>
        <v>0.00312764565589152</v>
      </c>
      <c r="BQ37" s="57" t="n">
        <f aca="false">(1-EXP(-r_minor*rr_asa_minor*dt))</f>
        <v>0.0278181950466747</v>
      </c>
      <c r="BR37" s="57" t="n">
        <f aca="false">BK37*BL37</f>
        <v>0.000296293655672862</v>
      </c>
      <c r="BS37" s="57" t="n">
        <f aca="false">BK37*BM37</f>
        <v>1.55647759786326E-005</v>
      </c>
      <c r="BT37" s="57" t="n">
        <f aca="false">BK37*BN37</f>
        <v>0.000144734538947948</v>
      </c>
      <c r="BU37" s="57" t="n">
        <f aca="false">BK37*BO37</f>
        <v>3.24521884835367E-005</v>
      </c>
      <c r="BV37" s="57" t="n">
        <f aca="false">BK37*BP37</f>
        <v>4.75597553753664E-005</v>
      </c>
      <c r="BW37" s="57" t="n">
        <f aca="false">BK37*BQ37</f>
        <v>0.000423010371687056</v>
      </c>
      <c r="BX37" s="57" t="n">
        <f aca="false">BR37*f_stroke_fatal_recur</f>
        <v>0.000110247906339315</v>
      </c>
      <c r="BY37" s="57" t="n">
        <f aca="false">BR37*(1-f_stroke_fatal_recur)*f_stroke_major</f>
        <v>6.19532345280711E-005</v>
      </c>
      <c r="BZ37" s="57" t="n">
        <f aca="false">BR37*(1-f_stroke_fatal_recur)*(1-f_stroke_major)</f>
        <v>0.000124092514805476</v>
      </c>
      <c r="CA37" s="57" t="n">
        <f aca="false">BS37*(1-f_bleed_fatal)</f>
        <v>1.42573347964275E-005</v>
      </c>
      <c r="CB37" s="57" t="n">
        <f aca="false">BT37*(1-f_bleed_fatal)</f>
        <v>0.00013257683767632</v>
      </c>
      <c r="CC37" s="57" t="n">
        <f aca="false">BU37*f_mi_fatal</f>
        <v>3.92671480650793E-006</v>
      </c>
      <c r="CD37" s="57" t="n">
        <f aca="false">BU37-CC37</f>
        <v>2.85254736770287E-005</v>
      </c>
      <c r="CE37" s="57" t="n">
        <f aca="false">BK37-BR37-BS37-BT37-CC37</f>
        <v>0.01474572827487</v>
      </c>
      <c r="CF37" s="19" t="n">
        <f aca="false">BX37*c_stroke_fatal+BY37*c_stroke_major+BZ37*c_stroke_minor+BS37*c_ich+BT37*c_major_bleed+CC37*c_mi_fatal+CD37*c_mi_nonfatal+BV37*c_tia+BW37*c_minor_bleed</f>
        <v>12.2636912423105</v>
      </c>
      <c r="CG37" s="57" t="n">
        <f aca="false">dt*(CD37*dec_mi+CB37*dec_major_bleed+BW37*dec_minor_bleed+BV37*dec_tia)</f>
        <v>6.54013572786113E-006</v>
      </c>
      <c r="CH37" s="57" t="n">
        <f aca="false">I37*BJ37+BX37+BS37-CA37+BT37-CB37+CC37</f>
        <v>0.000762322372331343</v>
      </c>
      <c r="CI37" s="57" t="n">
        <f aca="false">1-EXP(LN(1-E37)*dt)</f>
        <v>0.0176214757281867</v>
      </c>
      <c r="CJ37" s="57" t="n">
        <f aca="false">J37*(1-CI37)</f>
        <v>0.0921941760215023</v>
      </c>
      <c r="CK37" s="57" t="n">
        <f aca="false">(1-EXP(-r_stroke*F37*rr_asa_stroke*dt))</f>
        <v>0.00890435990056016</v>
      </c>
      <c r="CL37" s="57" t="n">
        <f aca="false">(1-EXP(-r_ich*rr_asa_ich*dt))</f>
        <v>0.00102357767802375</v>
      </c>
      <c r="CM37" s="57" t="n">
        <f aca="false">(1-EXP(-r_mb*rr_asa_mb*dt))</f>
        <v>0.00951809672747972</v>
      </c>
      <c r="CN37" s="57" t="n">
        <f aca="false">(1-EXP(-r_mi*rr_asa_mi*dt))</f>
        <v>0.00213413516393479</v>
      </c>
      <c r="CO37" s="57" t="n">
        <f aca="false">(1-EXP(-r_tia*rr_asa_tia*dt))</f>
        <v>0.00312764565589152</v>
      </c>
      <c r="CP37" s="57" t="n">
        <f aca="false">(1-EXP(-r_minor*rr_asa_minor*dt))</f>
        <v>0.0278181950466747</v>
      </c>
      <c r="CQ37" s="57" t="n">
        <f aca="false">CJ37*CK37</f>
        <v>0.000820930124031049</v>
      </c>
      <c r="CR37" s="57" t="n">
        <f aca="false">CJ37*CL37</f>
        <v>9.43679006194018E-005</v>
      </c>
      <c r="CS37" s="57" t="n">
        <f aca="false">CJ37*CM37</f>
        <v>0.00087751308508295</v>
      </c>
      <c r="CT37" s="57" t="n">
        <f aca="false">CJ37*CN37</f>
        <v>0.000196754832957482</v>
      </c>
      <c r="CU37" s="57" t="n">
        <f aca="false">CJ37*CO37</f>
        <v>0.00028835071413215</v>
      </c>
      <c r="CV37" s="57" t="n">
        <f aca="false">CJ37*CP37</f>
        <v>0.00256467557073361</v>
      </c>
      <c r="CW37" s="57" t="n">
        <f aca="false">CQ37*f_stroke_fatal</f>
        <v>0.000194560439395359</v>
      </c>
      <c r="CX37" s="57" t="n">
        <f aca="false">CQ37*(1-f_stroke_fatal)*f_stroke_major</f>
        <v>0.000208581104983685</v>
      </c>
      <c r="CY37" s="57" t="n">
        <f aca="false">CQ37*(1-f_stroke_fatal)*(1-f_stroke_major)</f>
        <v>0.000417788579652006</v>
      </c>
      <c r="CZ37" s="57" t="n">
        <f aca="false">CR37*(1-f_bleed_fatal)</f>
        <v>8.64409969673721E-005</v>
      </c>
      <c r="DA37" s="57" t="n">
        <f aca="false">CS37*(1-f_bleed_fatal)</f>
        <v>0.000803801985935982</v>
      </c>
      <c r="DB37" s="57" t="n">
        <f aca="false">CT37*f_mi_fatal</f>
        <v>2.38073347878553E-005</v>
      </c>
      <c r="DC37" s="57" t="n">
        <f aca="false">CT37-DB37</f>
        <v>0.000172947498169626</v>
      </c>
      <c r="DD37" s="57" t="n">
        <f aca="false">CJ37-CQ37-CR37-CS37-DB37</f>
        <v>0.090377557576981</v>
      </c>
      <c r="DE37" s="19" t="n">
        <f aca="false">CW37*c_stroke_fatal+CX37*c_stroke_major+CY37*c_stroke_minor+CR37*c_ich+CS37*c_major_bleed+DB37*c_mi_fatal+DC37*c_mi_nonfatal+CU37*c_tia+CV37*c_minor_bleed</f>
        <v>42.7461301039273</v>
      </c>
      <c r="DF37" s="57" t="n">
        <f aca="false">dt*(DC37*dec_mi+DA37*dec_major_bleed+CV37*dec_minor_bleed+CU37*dec_tia)</f>
        <v>3.96522814881155E-005</v>
      </c>
      <c r="DG37" s="57" t="n">
        <f aca="false">J37*CI37+CW37+CR37-CZ37+CS37-DA37+DB37</f>
        <v>0.0019537445293102</v>
      </c>
      <c r="DH37" s="57" t="n">
        <f aca="false">AG37</f>
        <v>0.462825851723357</v>
      </c>
      <c r="DI37" s="57" t="n">
        <f aca="false">AB37+AC37+BF37+BA37+BB37+BC37+CY37+CZ37</f>
        <v>0.0369101941804547</v>
      </c>
      <c r="DJ37" s="57" t="n">
        <f aca="false">AA37+AZ37+BY37+CX37+CE37+BZ37+CA37+CB37</f>
        <v>0.0159499474020963</v>
      </c>
      <c r="DK37" s="57" t="n">
        <f aca="false">AD37+DD37+DA37</f>
        <v>0.0940540940663176</v>
      </c>
      <c r="DL37" s="57" t="n">
        <f aca="false">K37+AJ37+BI37+CH37+DG37</f>
        <v>0.390259912627775</v>
      </c>
      <c r="DM37" s="58" t="n">
        <f aca="false">SUM(DH37:DL37)</f>
        <v>1</v>
      </c>
      <c r="DN37" s="19" t="n">
        <f aca="false">dt*(G37*Apixaban!$H$2+(H37+I37+J37)*c_aspirin)</f>
        <v>36.9982798328226</v>
      </c>
      <c r="DO37" s="19" t="n">
        <f aca="false">dt*(H37*c_lt_minor_stroke+I37*c_lt_major_stroke)</f>
        <v>203.246573100994</v>
      </c>
      <c r="DP37" s="19" t="n">
        <f aca="false">AH37+BG37+CF37+DE37</f>
        <v>204.495791666647</v>
      </c>
      <c r="DQ37" s="19" t="n">
        <f aca="false">DN37+DO37+DP37</f>
        <v>444.740644600464</v>
      </c>
      <c r="DR37" s="57" t="n">
        <f aca="false">dt*(G37*(u_af-dec_per_year_over_70*MAX(B37-ref_age,0))+H37*(u_minor_stroke-dec_per_year_over_70*MAX(B37-ref_age,0))+I37*(u_major_stroke-dec_per_year_over_70*MAX(B37-ref_age,0))+J37*(u_af-dec_per_year_over_70*MAX(B37-ref_age,0)))-AI37-BH37-CG37-DF37</f>
        <v>0.123226787392279</v>
      </c>
      <c r="DS37" s="57" t="n">
        <f aca="false">dt*(G37+H37+I37+J37)</f>
        <v>0.155872902604508</v>
      </c>
      <c r="DT37" s="19" t="n">
        <f aca="false">DQ37*C37</f>
        <v>396.273466270873</v>
      </c>
      <c r="DU37" s="19" t="n">
        <f aca="false">DN37*C37</f>
        <v>32.9662619628201</v>
      </c>
      <c r="DV37" s="19" t="n">
        <f aca="false">DP37*C37</f>
        <v>182.210142440091</v>
      </c>
      <c r="DW37" s="19" t="n">
        <f aca="false">DO37*C37</f>
        <v>181.097061867962</v>
      </c>
      <c r="DX37" s="57" t="n">
        <f aca="false">DR37*C37</f>
        <v>0.10979771417391</v>
      </c>
      <c r="DY37" s="57" t="n">
        <f aca="false">DS37*C37</f>
        <v>0.138886103986022</v>
      </c>
      <c r="DZ37" s="57" t="n">
        <f aca="false">T37+AS37+BR37+CQ37</f>
        <v>0.00384798534100734</v>
      </c>
      <c r="EA37" s="57" t="n">
        <f aca="false">U37+AT37+BS37+CR37</f>
        <v>0.000541378738314539</v>
      </c>
      <c r="EB37" s="57" t="n">
        <f aca="false">V37+AU37+BT37+CS37</f>
        <v>0.0044958155926247</v>
      </c>
      <c r="EC37" s="57" t="n">
        <f aca="false">G37*dt*C37</f>
        <v>0.106226579730848</v>
      </c>
    </row>
    <row r="38" customFormat="false" ht="15" hidden="false" customHeight="false" outlineLevel="0" collapsed="false">
      <c r="A38" s="8" t="n">
        <v>32</v>
      </c>
      <c r="B38" s="54" t="n">
        <f aca="false">start_age+A38*dt</f>
        <v>78</v>
      </c>
      <c r="C38" s="16" t="n">
        <f aca="false">(1+disc_rate)^-(A38*dt)</f>
        <v>0.887711123800987</v>
      </c>
      <c r="D38" s="55" t="n">
        <f aca="false">IF(A38*dt&gt;=wane_start,(1-wane_decay)^(A38*dt-wane_start),1)</f>
        <v>1</v>
      </c>
      <c r="E38" s="25" t="n">
        <f aca="false">MIN(p_nonvasc_death*MIN(EXP(gomp_int+gomp_slope*INT(B38)),1)/qx_ref,0.999)</f>
        <v>0.0762163453506268</v>
      </c>
      <c r="F38" s="55" t="n">
        <f aca="false">rr_stroke_per_decade^((B38-ref_age)/10)</f>
        <v>1.38316186722259</v>
      </c>
      <c r="G38" s="57" t="n">
        <f aca="false">DH37</f>
        <v>0.462825851723357</v>
      </c>
      <c r="H38" s="57" t="n">
        <f aca="false">DI37</f>
        <v>0.0369101941804547</v>
      </c>
      <c r="I38" s="57" t="n">
        <f aca="false">DJ37</f>
        <v>0.0159499474020963</v>
      </c>
      <c r="J38" s="57" t="n">
        <f aca="false">DK37</f>
        <v>0.0940540940663176</v>
      </c>
      <c r="K38" s="57" t="n">
        <f aca="false">DL37</f>
        <v>0.390259912627775</v>
      </c>
      <c r="L38" s="57" t="n">
        <f aca="false">1-EXP(LN(1-E38)*dt)</f>
        <v>0.0196242316180795</v>
      </c>
      <c r="M38" s="57" t="n">
        <f aca="false">G38*(1-L38)</f>
        <v>0.453743250010302</v>
      </c>
      <c r="N38" s="57" t="n">
        <f aca="false">IF(Apixaban!$B$2=1,EXP(LN(or_apx_stroke)*D38)*(1-EXP(-r_stroke*F38*dt))/(1-(1-EXP(-r_stroke*F38*dt))+EXP(LN(or_apx_stroke)*D38)*(1-EXP(-r_stroke*F38*dt))),(1-EXP(-r_stroke*F38*dt)))</f>
        <v>0.00439900879500986</v>
      </c>
      <c r="O38" s="57" t="n">
        <f aca="false">IF(Apixaban!$B$2=1,EXP(LN(or_apx_ich)*D38)*(1-EXP(-r_ich*dt))/(1-(1-EXP(-r_ich*dt))+EXP(LN(or_apx_ich)*D38)*(1-EXP(-r_ich*dt))),(1-EXP(-r_ich*dt)))</f>
        <v>0.000843513249640701</v>
      </c>
      <c r="P38" s="57" t="n">
        <f aca="false">IF(Apixaban!$B$2=1,EXP(LN(or_apx_mb)*D38)*(1-EXP(-r_mb*dt))/(1-(1-EXP(-r_mb*dt))+EXP(LN(or_apx_mb)*D38)*(1-EXP(-r_mb*dt))),(1-EXP(-r_mb*dt)))</f>
        <v>0.00669446907979895</v>
      </c>
      <c r="Q38" s="57" t="n">
        <f aca="false">IF(Apixaban!$B$2=1,EXP(LN(or_apx_mi)*D38)*(1-EXP(-r_mi*dt))/(1-(1-EXP(-r_mi*dt))+EXP(LN(or_apx_mi)*D38)*(1-EXP(-r_mi*dt))),(1-EXP(-r_mi*dt)))</f>
        <v>0.00132321915530843</v>
      </c>
      <c r="R38" s="57" t="n">
        <f aca="false">(1-EXP(-r_tia*dt))</f>
        <v>0.0020060281549299</v>
      </c>
      <c r="S38" s="57" t="n">
        <f aca="false">(1-EXP(-r_minor*dt))</f>
        <v>0.0437937690785545</v>
      </c>
      <c r="T38" s="57" t="n">
        <f aca="false">M38*N38</f>
        <v>0.00199602054747168</v>
      </c>
      <c r="U38" s="57" t="n">
        <f aca="false">M38*O38</f>
        <v>0.000382738443318723</v>
      </c>
      <c r="V38" s="57" t="n">
        <f aca="false">M38*P38</f>
        <v>0.00303757015736146</v>
      </c>
      <c r="W38" s="57" t="n">
        <f aca="false">M38*Q38</f>
        <v>0.000600401760005534</v>
      </c>
      <c r="X38" s="57" t="n">
        <f aca="false">M38*R38</f>
        <v>0.000910221734630061</v>
      </c>
      <c r="Y38" s="57" t="n">
        <f aca="false">M38*S38</f>
        <v>0.019871127111904</v>
      </c>
      <c r="Z38" s="57" t="n">
        <f aca="false">T38*f_stroke_fatal</f>
        <v>0.000473056869750788</v>
      </c>
      <c r="AA38" s="57" t="n">
        <f aca="false">T38*(1-f_stroke_fatal)*f_stroke_major</f>
        <v>0.000507146904681057</v>
      </c>
      <c r="AB38" s="57" t="n">
        <f aca="false">T38*(1-f_stroke_fatal)*(1-f_stroke_major)</f>
        <v>0.00101581677303983</v>
      </c>
      <c r="AC38" s="57" t="n">
        <f aca="false">U38*(1-f_bleed_fatal)</f>
        <v>0.00035058841407995</v>
      </c>
      <c r="AD38" s="57" t="n">
        <f aca="false">V38*(1-f_bleed_fatal)</f>
        <v>0.00278241426414309</v>
      </c>
      <c r="AE38" s="57" t="n">
        <f aca="false">W38*f_mi_fatal</f>
        <v>7.26486129606696E-005</v>
      </c>
      <c r="AF38" s="57" t="n">
        <f aca="false">W38-AE38</f>
        <v>0.000527753147044864</v>
      </c>
      <c r="AG38" s="57" t="n">
        <f aca="false">M38-T38-U38-V38-AE38</f>
        <v>0.44825427224919</v>
      </c>
      <c r="AH38" s="19" t="n">
        <f aca="false">Z38*c_stroke_fatal+AA38*c_stroke_major+AB38*c_stroke_minor+U38*c_ich+V38*c_major_bleed+AE38*c_mi_fatal+AF38*c_mi_nonfatal+X38*c_tia+Y38*c_minor_bleed</f>
        <v>117.839223333116</v>
      </c>
      <c r="AI38" s="57" t="n">
        <f aca="false">dt*(AF38*dec_mi+AD38*dec_major_bleed+Y38*dec_minor_bleed+X38*dec_tia)</f>
        <v>0.000168507186700855</v>
      </c>
      <c r="AJ38" s="57" t="n">
        <f aca="false">G38*L38+Z38+U38-AC38+V38-AD38+AE38</f>
        <v>0.00991561311822265</v>
      </c>
      <c r="AK38" s="57" t="n">
        <f aca="false">1-EXP(LN(1-E38)*hr_death_prior_stroke*dt)</f>
        <v>0.0445611263260992</v>
      </c>
      <c r="AL38" s="57" t="n">
        <f aca="false">H38*(1-AK38)</f>
        <v>0.0352654343548586</v>
      </c>
      <c r="AM38" s="57" t="n">
        <f aca="false">(1-EXP(-r_stroke*F38*rr_stroke_prior*rr_asa_stroke*dt))</f>
        <v>0.0196815444983524</v>
      </c>
      <c r="AN38" s="57" t="n">
        <f aca="false">(1-EXP(-r_ich*rr_asa_ich*dt))</f>
        <v>0.00102357767802375</v>
      </c>
      <c r="AO38" s="57" t="n">
        <f aca="false">(1-EXP(-r_mb*rr_asa_mb*dt))</f>
        <v>0.00951809672747972</v>
      </c>
      <c r="AP38" s="57" t="n">
        <f aca="false">(1-EXP(-r_mi*rr_asa_mi*dt))</f>
        <v>0.00213413516393479</v>
      </c>
      <c r="AQ38" s="57" t="n">
        <f aca="false">(1-EXP(-r_tia*rr_asa_tia*dt))</f>
        <v>0.00312764565589152</v>
      </c>
      <c r="AR38" s="57" t="n">
        <f aca="false">(1-EXP(-r_minor*rr_asa_minor*dt))</f>
        <v>0.0278181950466747</v>
      </c>
      <c r="AS38" s="57" t="n">
        <f aca="false">AL38*AM38</f>
        <v>0.000694078215508873</v>
      </c>
      <c r="AT38" s="57" t="n">
        <f aca="false">AL38*AN38</f>
        <v>3.6096911411445E-005</v>
      </c>
      <c r="AU38" s="57" t="n">
        <f aca="false">AL38*AO38</f>
        <v>0.00033565981532613</v>
      </c>
      <c r="AV38" s="57" t="n">
        <f aca="false">AL38*AP38</f>
        <v>7.52612035281377E-005</v>
      </c>
      <c r="AW38" s="57" t="n">
        <f aca="false">AL38*AQ38</f>
        <v>0.000110297782563101</v>
      </c>
      <c r="AX38" s="57" t="n">
        <f aca="false">AL38*AR38</f>
        <v>0.000981020731289159</v>
      </c>
      <c r="AY38" s="57" t="n">
        <f aca="false">AS38*f_stroke_fatal_recur</f>
        <v>0.000258259563208696</v>
      </c>
      <c r="AZ38" s="57" t="n">
        <f aca="false">AS38*(1-f_stroke_fatal_recur)*f_stroke_major</f>
        <v>0.000145127611215959</v>
      </c>
      <c r="BA38" s="57" t="n">
        <f aca="false">AS38*(1-f_stroke_fatal_recur)*(1-f_stroke_major)</f>
        <v>0.000290691041084218</v>
      </c>
      <c r="BB38" s="57" t="n">
        <f aca="false">AT38*(1-f_bleed_fatal)</f>
        <v>3.30647708528836E-005</v>
      </c>
      <c r="BC38" s="57" t="n">
        <f aca="false">AU38*(1-f_bleed_fatal)</f>
        <v>0.000307464390838735</v>
      </c>
      <c r="BD38" s="57" t="n">
        <f aca="false">AV38*f_mi_fatal</f>
        <v>9.10660562690466E-006</v>
      </c>
      <c r="BE38" s="57" t="n">
        <f aca="false">AV38-BD38</f>
        <v>6.6154597901233E-005</v>
      </c>
      <c r="BF38" s="57" t="n">
        <f aca="false">AL38-AS38-AT38-AU38-BD38</f>
        <v>0.0341904928069852</v>
      </c>
      <c r="BG38" s="19" t="n">
        <f aca="false">AY38*c_stroke_fatal+AZ38*c_stroke_major+BA38*c_stroke_minor+AT38*c_ich+AU38*c_major_bleed+BD38*c_mi_fatal+BE38*c_mi_nonfatal+AW38*c_tia+AX38*c_minor_bleed</f>
        <v>28.6802219943666</v>
      </c>
      <c r="BH38" s="57" t="n">
        <f aca="false">dt*(BE38*dec_mi+BC38*dec_major_bleed+AX38*dec_minor_bleed+AW38*dec_tia)</f>
        <v>1.51674974513941E-005</v>
      </c>
      <c r="BI38" s="57" t="n">
        <f aca="false">H38*AK38+AY38+AT38-BB38+AU38-BC38+BD38</f>
        <v>0.00194335355947765</v>
      </c>
      <c r="BJ38" s="57" t="n">
        <f aca="false">1-EXP(LN(1-E38)*hr_death_prior_stroke*dt)</f>
        <v>0.0445611263260992</v>
      </c>
      <c r="BK38" s="57" t="n">
        <f aca="false">I38*(1-BJ38)</f>
        <v>0.0152391997810169</v>
      </c>
      <c r="BL38" s="57" t="n">
        <f aca="false">(1-EXP(-r_stroke*F38*rr_stroke_prior*rr_asa_stroke*dt))</f>
        <v>0.0196815444983524</v>
      </c>
      <c r="BM38" s="57" t="n">
        <f aca="false">(1-EXP(-r_ich*rr_asa_ich*dt))</f>
        <v>0.00102357767802375</v>
      </c>
      <c r="BN38" s="57" t="n">
        <f aca="false">(1-EXP(-r_mb*rr_asa_mb*dt))</f>
        <v>0.00951809672747972</v>
      </c>
      <c r="BO38" s="57" t="n">
        <f aca="false">(1-EXP(-r_mi*rr_asa_mi*dt))</f>
        <v>0.00213413516393479</v>
      </c>
      <c r="BP38" s="57" t="n">
        <f aca="false">(1-EXP(-r_tia*rr_asa_tia*dt))</f>
        <v>0.00312764565589152</v>
      </c>
      <c r="BQ38" s="57" t="n">
        <f aca="false">(1-EXP(-r_minor*rr_asa_minor*dt))</f>
        <v>0.0278181950466747</v>
      </c>
      <c r="BR38" s="57" t="n">
        <f aca="false">BK38*BL38</f>
        <v>0.000299930988609365</v>
      </c>
      <c r="BS38" s="57" t="n">
        <f aca="false">BK38*BM38</f>
        <v>1.55985047267932E-005</v>
      </c>
      <c r="BT38" s="57" t="n">
        <f aca="false">BK38*BN38</f>
        <v>0.000145048177565106</v>
      </c>
      <c r="BU38" s="57" t="n">
        <f aca="false">BK38*BO38</f>
        <v>3.25225121228954E-005</v>
      </c>
      <c r="BV38" s="57" t="n">
        <f aca="false">BK38*BP38</f>
        <v>4.76628169943604E-005</v>
      </c>
      <c r="BW38" s="57" t="n">
        <f aca="false">BK38*BQ38</f>
        <v>0.000423927031863569</v>
      </c>
      <c r="BX38" s="57" t="n">
        <f aca="false">BR38*f_stroke_fatal_recur</f>
        <v>0.000111601321551658</v>
      </c>
      <c r="BY38" s="57" t="n">
        <f aca="false">BR38*(1-f_stroke_fatal_recur)*f_stroke_major</f>
        <v>6.27137791302162E-005</v>
      </c>
      <c r="BZ38" s="57" t="n">
        <f aca="false">BR38*(1-f_stroke_fatal_recur)*(1-f_stroke_major)</f>
        <v>0.00012561588792749</v>
      </c>
      <c r="CA38" s="57" t="n">
        <f aca="false">BS38*(1-f_bleed_fatal)</f>
        <v>1.42882303297426E-005</v>
      </c>
      <c r="CB38" s="57" t="n">
        <f aca="false">BT38*(1-f_bleed_fatal)</f>
        <v>0.000132864130649637</v>
      </c>
      <c r="CC38" s="57" t="n">
        <f aca="false">BU38*f_mi_fatal</f>
        <v>3.93522396687035E-006</v>
      </c>
      <c r="CD38" s="57" t="n">
        <f aca="false">BU38-CC38</f>
        <v>2.85872881560251E-005</v>
      </c>
      <c r="CE38" s="57" t="n">
        <f aca="false">BK38-BR38-BS38-BT38-CC38</f>
        <v>0.0147746868861487</v>
      </c>
      <c r="CF38" s="19" t="n">
        <f aca="false">BX38*c_stroke_fatal+BY38*c_stroke_major+BZ38*c_stroke_minor+BS38*c_ich+BT38*c_major_bleed+CC38*c_mi_fatal+CD38*c_mi_nonfatal+BV38*c_tia+BW38*c_minor_bleed</f>
        <v>12.3935417422656</v>
      </c>
      <c r="CG38" s="57" t="n">
        <f aca="false">dt*(CD38*dec_mi+CB38*dec_major_bleed+BW38*dec_minor_bleed+BV38*dec_tia)</f>
        <v>6.55430815097882E-006</v>
      </c>
      <c r="CH38" s="57" t="n">
        <f aca="false">I38*BJ38+BX38+BS38-CA38+BT38-CB38+CC38</f>
        <v>0.0008397784879105</v>
      </c>
      <c r="CI38" s="57" t="n">
        <f aca="false">1-EXP(LN(1-E38)*dt)</f>
        <v>0.0196242316180795</v>
      </c>
      <c r="CJ38" s="57" t="n">
        <f aca="false">J38*(1-CI38)</f>
        <v>0.0922083547397316</v>
      </c>
      <c r="CK38" s="57" t="n">
        <f aca="false">(1-EXP(-r_stroke*F38*rr_asa_stroke*dt))</f>
        <v>0.00899466988116693</v>
      </c>
      <c r="CL38" s="57" t="n">
        <f aca="false">(1-EXP(-r_ich*rr_asa_ich*dt))</f>
        <v>0.00102357767802375</v>
      </c>
      <c r="CM38" s="57" t="n">
        <f aca="false">(1-EXP(-r_mb*rr_asa_mb*dt))</f>
        <v>0.00951809672747972</v>
      </c>
      <c r="CN38" s="57" t="n">
        <f aca="false">(1-EXP(-r_mi*rr_asa_mi*dt))</f>
        <v>0.00213413516393479</v>
      </c>
      <c r="CO38" s="57" t="n">
        <f aca="false">(1-EXP(-r_tia*rr_asa_tia*dt))</f>
        <v>0.00312764565589152</v>
      </c>
      <c r="CP38" s="57" t="n">
        <f aca="false">(1-EXP(-r_minor*rr_asa_minor*dt))</f>
        <v>0.0278181950466747</v>
      </c>
      <c r="CQ38" s="57" t="n">
        <f aca="false">CJ38*CK38</f>
        <v>0.000829383711169419</v>
      </c>
      <c r="CR38" s="57" t="n">
        <f aca="false">CJ38*CL38</f>
        <v>9.43824136388843E-005</v>
      </c>
      <c r="CS38" s="57" t="n">
        <f aca="false">CJ38*CM38</f>
        <v>0.000877648039494528</v>
      </c>
      <c r="CT38" s="57" t="n">
        <f aca="false">CJ38*CN38</f>
        <v>0.000196785092258634</v>
      </c>
      <c r="CU38" s="57" t="n">
        <f aca="false">CJ38*CO38</f>
        <v>0.000288395060138626</v>
      </c>
      <c r="CV38" s="57" t="n">
        <f aca="false">CJ38*CP38</f>
        <v>0.00256506999708282</v>
      </c>
      <c r="CW38" s="57" t="n">
        <f aca="false">CQ38*f_stroke_fatal</f>
        <v>0.000196563939547152</v>
      </c>
      <c r="CX38" s="57" t="n">
        <f aca="false">CQ38*(1-f_stroke_fatal)*f_stroke_major</f>
        <v>0.000210728983950215</v>
      </c>
      <c r="CY38" s="57" t="n">
        <f aca="false">CQ38*(1-f_stroke_fatal)*(1-f_stroke_major)</f>
        <v>0.000422090787672052</v>
      </c>
      <c r="CZ38" s="57" t="n">
        <f aca="false">CR38*(1-f_bleed_fatal)</f>
        <v>8.6454290893218E-005</v>
      </c>
      <c r="DA38" s="57" t="n">
        <f aca="false">CS38*(1-f_bleed_fatal)</f>
        <v>0.000803925604176988</v>
      </c>
      <c r="DB38" s="57" t="n">
        <f aca="false">CT38*f_mi_fatal</f>
        <v>2.38109961632948E-005</v>
      </c>
      <c r="DC38" s="57" t="n">
        <f aca="false">CT38-DB38</f>
        <v>0.00017297409609534</v>
      </c>
      <c r="DD38" s="57" t="n">
        <f aca="false">CJ38-CQ38-CR38-CS38-DB38</f>
        <v>0.0903831295792654</v>
      </c>
      <c r="DE38" s="19" t="n">
        <f aca="false">CW38*c_stroke_fatal+CX38*c_stroke_major+CY38*c_stroke_minor+CR38*c_ich+CS38*c_major_bleed+DB38*c_mi_fatal+DC38*c_mi_nonfatal+CU38*c_tia+CV38*c_minor_bleed</f>
        <v>43.0603794022332</v>
      </c>
      <c r="DF38" s="57" t="n">
        <f aca="false">dt*(DC38*dec_mi+DA38*dec_major_bleed+CV38*dec_minor_bleed+CU38*dec_tia)</f>
        <v>3.96583796881389E-005</v>
      </c>
      <c r="DG38" s="57" t="n">
        <f aca="false">J38*CI38+CW38+CR38-CZ38+CS38-DA38+DB38</f>
        <v>0.0021477648203597</v>
      </c>
      <c r="DH38" s="57" t="n">
        <f aca="false">AG38</f>
        <v>0.44825427224919</v>
      </c>
      <c r="DI38" s="57" t="n">
        <f aca="false">AB38+AC38+BF38+BA38+BB38+BC38+CY38+CZ38</f>
        <v>0.0366966632754461</v>
      </c>
      <c r="DJ38" s="57" t="n">
        <f aca="false">AA38+AZ38+BY38+CX38+CE38+BZ38+CA38+CB38</f>
        <v>0.015973172414033</v>
      </c>
      <c r="DK38" s="57" t="n">
        <f aca="false">AD38+DD38+DA38</f>
        <v>0.0939694694475855</v>
      </c>
      <c r="DL38" s="57" t="n">
        <f aca="false">K38+AJ38+BI38+CH38+DG38</f>
        <v>0.405106422613745</v>
      </c>
      <c r="DM38" s="58" t="n">
        <f aca="false">SUM(DH38:DL38)</f>
        <v>1</v>
      </c>
      <c r="DN38" s="19" t="n">
        <f aca="false">dt*(G38*Apixaban!$H$2+(H38+I38+J38)*c_aspirin)</f>
        <v>35.9533094061604</v>
      </c>
      <c r="DO38" s="19" t="n">
        <f aca="false">dt*(H38*c_lt_minor_stroke+I38*c_lt_major_stroke)</f>
        <v>203.912174083821</v>
      </c>
      <c r="DP38" s="19" t="n">
        <f aca="false">AH38+BG38+CF38+DE38</f>
        <v>201.973366471982</v>
      </c>
      <c r="DQ38" s="19" t="n">
        <f aca="false">DN38+DO38+DP38</f>
        <v>441.838849961964</v>
      </c>
      <c r="DR38" s="57" t="n">
        <f aca="false">dt*(G38*(u_af-dec_per_year_over_70*MAX(B38-ref_age,0))+H38*(u_minor_stroke-dec_per_year_over_70*MAX(B38-ref_age,0))+I38*(u_major_stroke-dec_per_year_over_70*MAX(B38-ref_age,0))+J38*(u_af-dec_per_year_over_70*MAX(B38-ref_age,0)))-AI38-BH38-CG38-DF38</f>
        <v>0.120431551935061</v>
      </c>
      <c r="DS38" s="57" t="n">
        <f aca="false">dt*(G38+H38+I38+J38)</f>
        <v>0.152435021843056</v>
      </c>
      <c r="DT38" s="19" t="n">
        <f aca="false">DQ38*C38</f>
        <v>392.22526203867</v>
      </c>
      <c r="DU38" s="19" t="n">
        <f aca="false">DN38*C38</f>
        <v>31.9161526973072</v>
      </c>
      <c r="DV38" s="19" t="n">
        <f aca="false">DP38*C38</f>
        <v>179.294004128712</v>
      </c>
      <c r="DW38" s="19" t="n">
        <f aca="false">DO38*C38</f>
        <v>181.015105212652</v>
      </c>
      <c r="DX38" s="57" t="n">
        <f aca="false">DR38*C38</f>
        <v>0.10690842830937</v>
      </c>
      <c r="DY38" s="57" t="n">
        <f aca="false">DS38*C38</f>
        <v>0.135318264546928</v>
      </c>
      <c r="DZ38" s="57" t="n">
        <f aca="false">T38+AS38+BR38+CQ38</f>
        <v>0.00381941346275934</v>
      </c>
      <c r="EA38" s="57" t="n">
        <f aca="false">U38+AT38+BS38+CR38</f>
        <v>0.000528816273095846</v>
      </c>
      <c r="EB38" s="57" t="n">
        <f aca="false">V38+AU38+BT38+CS38</f>
        <v>0.00439592618974722</v>
      </c>
      <c r="EC38" s="57" t="n">
        <f aca="false">G38*dt*C38</f>
        <v>0.102713914239372</v>
      </c>
    </row>
    <row r="39" customFormat="false" ht="15" hidden="false" customHeight="false" outlineLevel="0" collapsed="false">
      <c r="A39" s="8" t="n">
        <v>33</v>
      </c>
      <c r="B39" s="54" t="n">
        <f aca="false">start_age+A39*dt</f>
        <v>78.25</v>
      </c>
      <c r="C39" s="16" t="n">
        <f aca="false">(1+disc_rate)^-(A39*dt)</f>
        <v>0.884413068809385</v>
      </c>
      <c r="D39" s="55" t="n">
        <f aca="false">IF(A39*dt&gt;=wane_start,(1-wane_decay)^(A39*dt-wane_start),1)</f>
        <v>1</v>
      </c>
      <c r="E39" s="25" t="n">
        <f aca="false">MIN(p_nonvasc_death*MIN(EXP(gomp_int+gomp_slope*INT(B39)),1)/qx_ref,0.999)</f>
        <v>0.0762163453506268</v>
      </c>
      <c r="F39" s="55" t="n">
        <f aca="false">rr_stroke_per_decade^((B39-ref_age)/10)</f>
        <v>1.39725376562396</v>
      </c>
      <c r="G39" s="57" t="n">
        <f aca="false">DH38</f>
        <v>0.44825427224919</v>
      </c>
      <c r="H39" s="57" t="n">
        <f aca="false">DI38</f>
        <v>0.0366966632754461</v>
      </c>
      <c r="I39" s="57" t="n">
        <f aca="false">DJ38</f>
        <v>0.015973172414033</v>
      </c>
      <c r="J39" s="57" t="n">
        <f aca="false">DK38</f>
        <v>0.0939694694475855</v>
      </c>
      <c r="K39" s="57" t="n">
        <f aca="false">DL38</f>
        <v>0.405106422613745</v>
      </c>
      <c r="L39" s="57" t="n">
        <f aca="false">1-EXP(LN(1-E39)*dt)</f>
        <v>0.0196242316180795</v>
      </c>
      <c r="M39" s="57" t="n">
        <f aca="false">G39*(1-L39)</f>
        <v>0.439457626586778</v>
      </c>
      <c r="N39" s="57" t="n">
        <f aca="false">IF(Apixaban!$B$2=1,EXP(LN(or_apx_stroke)*D39)*(1-EXP(-r_stroke*F39*dt))/(1-(1-EXP(-r_stroke*F39*dt))+EXP(LN(or_apx_stroke)*D39)*(1-EXP(-r_stroke*F39*dt))),(1-EXP(-r_stroke*F39*dt)))</f>
        <v>0.00444375333199778</v>
      </c>
      <c r="O39" s="57" t="n">
        <f aca="false">IF(Apixaban!$B$2=1,EXP(LN(or_apx_ich)*D39)*(1-EXP(-r_ich*dt))/(1-(1-EXP(-r_ich*dt))+EXP(LN(or_apx_ich)*D39)*(1-EXP(-r_ich*dt))),(1-EXP(-r_ich*dt)))</f>
        <v>0.000843513249640701</v>
      </c>
      <c r="P39" s="57" t="n">
        <f aca="false">IF(Apixaban!$B$2=1,EXP(LN(or_apx_mb)*D39)*(1-EXP(-r_mb*dt))/(1-(1-EXP(-r_mb*dt))+EXP(LN(or_apx_mb)*D39)*(1-EXP(-r_mb*dt))),(1-EXP(-r_mb*dt)))</f>
        <v>0.00669446907979895</v>
      </c>
      <c r="Q39" s="57" t="n">
        <f aca="false">IF(Apixaban!$B$2=1,EXP(LN(or_apx_mi)*D39)*(1-EXP(-r_mi*dt))/(1-(1-EXP(-r_mi*dt))+EXP(LN(or_apx_mi)*D39)*(1-EXP(-r_mi*dt))),(1-EXP(-r_mi*dt)))</f>
        <v>0.00132321915530843</v>
      </c>
      <c r="R39" s="57" t="n">
        <f aca="false">(1-EXP(-r_tia*dt))</f>
        <v>0.0020060281549299</v>
      </c>
      <c r="S39" s="57" t="n">
        <f aca="false">(1-EXP(-r_minor*dt))</f>
        <v>0.0437937690785545</v>
      </c>
      <c r="T39" s="57" t="n">
        <f aca="false">M39*N39</f>
        <v>0.00195284129241683</v>
      </c>
      <c r="U39" s="57" t="n">
        <f aca="false">M39*O39</f>
        <v>0.000370688330681603</v>
      </c>
      <c r="V39" s="57" t="n">
        <f aca="false">M39*P39</f>
        <v>0.00294193549306702</v>
      </c>
      <c r="W39" s="57" t="n">
        <f aca="false">M39*Q39</f>
        <v>0.000581498749446004</v>
      </c>
      <c r="X39" s="57" t="n">
        <f aca="false">M39*R39</f>
        <v>0.000881564371831746</v>
      </c>
      <c r="Y39" s="57" t="n">
        <f aca="false">M39*S39</f>
        <v>0.019245505818551</v>
      </c>
      <c r="Z39" s="57" t="n">
        <f aca="false">T39*f_stroke_fatal</f>
        <v>0.00046282338630279</v>
      </c>
      <c r="AA39" s="57" t="n">
        <f aca="false">T39*(1-f_stroke_fatal)*f_stroke_major</f>
        <v>0.000496175962735977</v>
      </c>
      <c r="AB39" s="57" t="n">
        <f aca="false">T39*(1-f_stroke_fatal)*(1-f_stroke_major)</f>
        <v>0.000993841943378068</v>
      </c>
      <c r="AC39" s="57" t="n">
        <f aca="false">U39*(1-f_bleed_fatal)</f>
        <v>0.000339550510904348</v>
      </c>
      <c r="AD39" s="57" t="n">
        <f aca="false">V39*(1-f_bleed_fatal)</f>
        <v>0.00269481291164939</v>
      </c>
      <c r="AE39" s="57" t="n">
        <f aca="false">W39*f_mi_fatal</f>
        <v>7.03613486829664E-005</v>
      </c>
      <c r="AF39" s="57" t="n">
        <f aca="false">W39-AE39</f>
        <v>0.000511137400763037</v>
      </c>
      <c r="AG39" s="57" t="n">
        <f aca="false">M39-T39-U39-V39-AE39</f>
        <v>0.43412180012193</v>
      </c>
      <c r="AH39" s="19" t="n">
        <f aca="false">Z39*c_stroke_fatal+AA39*c_stroke_major+AB39*c_stroke_minor+U39*c_ich+V39*c_major_bleed+AE39*c_mi_fatal+AF39*c_mi_nonfatal+X39*c_tia+Y39*c_minor_bleed</f>
        <v>114.855694157652</v>
      </c>
      <c r="AI39" s="57" t="n">
        <f aca="false">dt*(AF39*dec_mi+AD39*dec_major_bleed+Y39*dec_minor_bleed+X39*dec_tia)</f>
        <v>0.000163201917226739</v>
      </c>
      <c r="AJ39" s="57" t="n">
        <f aca="false">G39*L39+Z39+U39-AC39+V39-AD39+AE39</f>
        <v>0.0096080907985924</v>
      </c>
      <c r="AK39" s="57" t="n">
        <f aca="false">1-EXP(LN(1-E39)*hr_death_prior_stroke*dt)</f>
        <v>0.0445611263260992</v>
      </c>
      <c r="AL39" s="57" t="n">
        <f aca="false">H39*(1-AK39)</f>
        <v>0.0350614186274826</v>
      </c>
      <c r="AM39" s="57" t="n">
        <f aca="false">(1-EXP(-r_stroke*F39*rr_stroke_prior*rr_asa_stroke*dt))</f>
        <v>0.0198800571252191</v>
      </c>
      <c r="AN39" s="57" t="n">
        <f aca="false">(1-EXP(-r_ich*rr_asa_ich*dt))</f>
        <v>0.00102357767802375</v>
      </c>
      <c r="AO39" s="57" t="n">
        <f aca="false">(1-EXP(-r_mb*rr_asa_mb*dt))</f>
        <v>0.00951809672747972</v>
      </c>
      <c r="AP39" s="57" t="n">
        <f aca="false">(1-EXP(-r_mi*rr_asa_mi*dt))</f>
        <v>0.00213413516393479</v>
      </c>
      <c r="AQ39" s="57" t="n">
        <f aca="false">(1-EXP(-r_tia*rr_asa_tia*dt))</f>
        <v>0.00312764565589152</v>
      </c>
      <c r="AR39" s="57" t="n">
        <f aca="false">(1-EXP(-r_minor*rr_asa_minor*dt))</f>
        <v>0.0278181950466747</v>
      </c>
      <c r="AS39" s="57" t="n">
        <f aca="false">AL39*AM39</f>
        <v>0.000697023005205576</v>
      </c>
      <c r="AT39" s="57" t="n">
        <f aca="false">AL39*AN39</f>
        <v>3.58880854669372E-005</v>
      </c>
      <c r="AU39" s="57" t="n">
        <f aca="false">AL39*AO39</f>
        <v>0.000333717973899039</v>
      </c>
      <c r="AV39" s="57" t="n">
        <f aca="false">AL39*AP39</f>
        <v>7.4825806390349E-005</v>
      </c>
      <c r="AW39" s="57" t="n">
        <f aca="false">AL39*AQ39</f>
        <v>0.00010965969365964</v>
      </c>
      <c r="AX39" s="57" t="n">
        <f aca="false">AL39*AR39</f>
        <v>0.000975345381992425</v>
      </c>
      <c r="AY39" s="57" t="n">
        <f aca="false">AS39*f_stroke_fatal_recur</f>
        <v>0.000259355290006943</v>
      </c>
      <c r="AZ39" s="57" t="n">
        <f aca="false">AS39*(1-f_stroke_fatal_recur)*f_stroke_major</f>
        <v>0.000145743349161145</v>
      </c>
      <c r="BA39" s="57" t="n">
        <f aca="false">AS39*(1-f_stroke_fatal_recur)*(1-f_stroke_major)</f>
        <v>0.000291924366037488</v>
      </c>
      <c r="BB39" s="57" t="n">
        <f aca="false">AT39*(1-f_bleed_fatal)</f>
        <v>3.28734862877145E-005</v>
      </c>
      <c r="BC39" s="57" t="n">
        <f aca="false">AU39*(1-f_bleed_fatal)</f>
        <v>0.000305685664091519</v>
      </c>
      <c r="BD39" s="57" t="n">
        <f aca="false">AV39*f_mi_fatal</f>
        <v>9.05392257323222E-006</v>
      </c>
      <c r="BE39" s="57" t="n">
        <f aca="false">AV39-BD39</f>
        <v>6.57718838171167E-005</v>
      </c>
      <c r="BF39" s="57" t="n">
        <f aca="false">AL39-AS39-AT39-AU39-BD39</f>
        <v>0.0339857356403378</v>
      </c>
      <c r="BG39" s="19" t="n">
        <f aca="false">AY39*c_stroke_fatal+AZ39*c_stroke_major+BA39*c_stroke_minor+AT39*c_ich+AU39*c_major_bleed+BD39*c_mi_fatal+BE39*c_mi_nonfatal+AW39*c_tia+AX39*c_minor_bleed</f>
        <v>28.7542843426263</v>
      </c>
      <c r="BH39" s="57" t="n">
        <f aca="false">dt*(BE39*dec_mi+BC39*dec_major_bleed+AX39*dec_minor_bleed+AW39*dec_tia)</f>
        <v>1.5079751246601E-005</v>
      </c>
      <c r="BI39" s="57" t="n">
        <f aca="false">H39*AK39+AY39+AT39-BB39+AU39-BC39+BD39</f>
        <v>0.0019347007695304</v>
      </c>
      <c r="BJ39" s="57" t="n">
        <f aca="false">1-EXP(LN(1-E39)*hr_death_prior_stroke*dt)</f>
        <v>0.0445611263260992</v>
      </c>
      <c r="BK39" s="57" t="n">
        <f aca="false">I39*(1-BJ39)</f>
        <v>0.0152613898602627</v>
      </c>
      <c r="BL39" s="57" t="n">
        <f aca="false">(1-EXP(-r_stroke*F39*rr_stroke_prior*rr_asa_stroke*dt))</f>
        <v>0.0198800571252191</v>
      </c>
      <c r="BM39" s="57" t="n">
        <f aca="false">(1-EXP(-r_ich*rr_asa_ich*dt))</f>
        <v>0.00102357767802375</v>
      </c>
      <c r="BN39" s="57" t="n">
        <f aca="false">(1-EXP(-r_mb*rr_asa_mb*dt))</f>
        <v>0.00951809672747972</v>
      </c>
      <c r="BO39" s="57" t="n">
        <f aca="false">(1-EXP(-r_mi*rr_asa_mi*dt))</f>
        <v>0.00213413516393479</v>
      </c>
      <c r="BP39" s="57" t="n">
        <f aca="false">(1-EXP(-r_tia*rr_asa_tia*dt))</f>
        <v>0.00312764565589152</v>
      </c>
      <c r="BQ39" s="57" t="n">
        <f aca="false">(1-EXP(-r_minor*rr_asa_minor*dt))</f>
        <v>0.0278181950466747</v>
      </c>
      <c r="BR39" s="57" t="n">
        <f aca="false">BK39*BL39</f>
        <v>0.000303397302232263</v>
      </c>
      <c r="BS39" s="57" t="n">
        <f aca="false">BK39*BM39</f>
        <v>1.56212179965829E-005</v>
      </c>
      <c r="BT39" s="57" t="n">
        <f aca="false">BK39*BN39</f>
        <v>0.000145259384885759</v>
      </c>
      <c r="BU39" s="57" t="n">
        <f aca="false">BK39*BO39</f>
        <v>3.25698687513046E-005</v>
      </c>
      <c r="BV39" s="57" t="n">
        <f aca="false">BK39*BP39</f>
        <v>4.77322196993177E-005</v>
      </c>
      <c r="BW39" s="57" t="n">
        <f aca="false">BK39*BQ39</f>
        <v>0.000424544319816133</v>
      </c>
      <c r="BX39" s="57" t="n">
        <f aca="false">BR39*f_stroke_fatal_recur</f>
        <v>0.000112891102187603</v>
      </c>
      <c r="BY39" s="57" t="n">
        <f aca="false">BR39*(1-f_stroke_fatal_recur)*f_stroke_major</f>
        <v>6.34385646148719E-005</v>
      </c>
      <c r="BZ39" s="57" t="n">
        <f aca="false">BR39*(1-f_stroke_fatal_recur)*(1-f_stroke_major)</f>
        <v>0.000127067635429788</v>
      </c>
      <c r="CA39" s="57" t="n">
        <f aca="false">BS39*(1-f_bleed_fatal)</f>
        <v>1.43090356848699E-005</v>
      </c>
      <c r="CB39" s="57" t="n">
        <f aca="false">BT39*(1-f_bleed_fatal)</f>
        <v>0.000133057596555355</v>
      </c>
      <c r="CC39" s="57" t="n">
        <f aca="false">BU39*f_mi_fatal</f>
        <v>3.94095411890786E-006</v>
      </c>
      <c r="CD39" s="57" t="n">
        <f aca="false">BU39-CC39</f>
        <v>2.86289146323967E-005</v>
      </c>
      <c r="CE39" s="57" t="n">
        <f aca="false">BK39-BR39-BS39-BT39-CC39</f>
        <v>0.0147931710010292</v>
      </c>
      <c r="CF39" s="19" t="n">
        <f aca="false">BX39*c_stroke_fatal+BY39*c_stroke_major+BZ39*c_stroke_minor+BS39*c_ich+BT39*c_major_bleed+CC39*c_mi_fatal+CD39*c_mi_nonfatal+BV39*c_tia+BW39*c_minor_bleed</f>
        <v>12.5160464317806</v>
      </c>
      <c r="CG39" s="57" t="n">
        <f aca="false">dt*(CD39*dec_mi+CB39*dec_major_bleed+BW39*dec_minor_bleed+BV39*dec_tia)</f>
        <v>6.56385199969543E-006</v>
      </c>
      <c r="CH39" s="57" t="n">
        <f aca="false">I39*BJ39+BX39+BS39-CA39+BT39-CB39+CC39</f>
        <v>0.000842128580718916</v>
      </c>
      <c r="CI39" s="57" t="n">
        <f aca="false">1-EXP(LN(1-E39)*dt)</f>
        <v>0.0196242316180795</v>
      </c>
      <c r="CJ39" s="57" t="n">
        <f aca="false">J39*(1-CI39)</f>
        <v>0.092125390814118</v>
      </c>
      <c r="CK39" s="57" t="n">
        <f aca="false">(1-EXP(-r_stroke*F39*rr_asa_stroke*dt))</f>
        <v>0.0090858916005192</v>
      </c>
      <c r="CL39" s="57" t="n">
        <f aca="false">(1-EXP(-r_ich*rr_asa_ich*dt))</f>
        <v>0.00102357767802375</v>
      </c>
      <c r="CM39" s="57" t="n">
        <f aca="false">(1-EXP(-r_mb*rr_asa_mb*dt))</f>
        <v>0.00951809672747972</v>
      </c>
      <c r="CN39" s="57" t="n">
        <f aca="false">(1-EXP(-r_mi*rr_asa_mi*dt))</f>
        <v>0.00213413516393479</v>
      </c>
      <c r="CO39" s="57" t="n">
        <f aca="false">(1-EXP(-r_tia*rr_asa_tia*dt))</f>
        <v>0.00312764565589152</v>
      </c>
      <c r="CP39" s="57" t="n">
        <f aca="false">(1-EXP(-r_minor*rr_asa_minor*dt))</f>
        <v>0.0278181950466747</v>
      </c>
      <c r="CQ39" s="57" t="n">
        <f aca="false">CJ39*CK39</f>
        <v>0.000837041314592544</v>
      </c>
      <c r="CR39" s="57" t="n">
        <f aca="false">CJ39*CL39</f>
        <v>9.42974936165451E-005</v>
      </c>
      <c r="CS39" s="57" t="n">
        <f aca="false">CJ39*CM39</f>
        <v>0.000876858380825647</v>
      </c>
      <c r="CT39" s="57" t="n">
        <f aca="false">CJ39*CN39</f>
        <v>0.000196608036027645</v>
      </c>
      <c r="CU39" s="57" t="n">
        <f aca="false">CJ39*CO39</f>
        <v>0.000288135578377085</v>
      </c>
      <c r="CV39" s="57" t="n">
        <f aca="false">CJ39*CP39</f>
        <v>0.00256276209041827</v>
      </c>
      <c r="CW39" s="57" t="n">
        <f aca="false">CQ39*f_stroke_fatal</f>
        <v>0.000198378791558433</v>
      </c>
      <c r="CX39" s="57" t="n">
        <f aca="false">CQ39*(1-f_stroke_fatal)*f_stroke_major</f>
        <v>0.000212674620170359</v>
      </c>
      <c r="CY39" s="57" t="n">
        <f aca="false">CQ39*(1-f_stroke_fatal)*(1-f_stroke_major)</f>
        <v>0.000425987902863752</v>
      </c>
      <c r="CZ39" s="57" t="n">
        <f aca="false">CR39*(1-f_bleed_fatal)</f>
        <v>8.63765041527553E-005</v>
      </c>
      <c r="DA39" s="57" t="n">
        <f aca="false">CS39*(1-f_bleed_fatal)</f>
        <v>0.000803202276836293</v>
      </c>
      <c r="DB39" s="57" t="n">
        <f aca="false">CT39*f_mi_fatal</f>
        <v>2.3789572359345E-005</v>
      </c>
      <c r="DC39" s="57" t="n">
        <f aca="false">CT39-DB39</f>
        <v>0.0001728184636683</v>
      </c>
      <c r="DD39" s="57" t="n">
        <f aca="false">CJ39-CQ39-CR39-CS39-DB39</f>
        <v>0.090293404052724</v>
      </c>
      <c r="DE39" s="19" t="n">
        <f aca="false">CW39*c_stroke_fatal+CX39*c_stroke_major+CY39*c_stroke_minor+CR39*c_ich+CS39*c_major_bleed+DB39*c_mi_fatal+DC39*c_mi_nonfatal+CU39*c_tia+CV39*c_minor_bleed</f>
        <v>43.332137929092</v>
      </c>
      <c r="DF39" s="57" t="n">
        <f aca="false">dt*(DC39*dec_mi+DA39*dec_major_bleed+CV39*dec_minor_bleed+CU39*dec_tia)</f>
        <v>3.96226972939384E-005</v>
      </c>
      <c r="DG39" s="57" t="n">
        <f aca="false">J39*CI39+CW39+CR39-CZ39+CS39-DA39+DB39</f>
        <v>0.00214782409083838</v>
      </c>
      <c r="DH39" s="57" t="n">
        <f aca="false">AG39</f>
        <v>0.43412180012193</v>
      </c>
      <c r="DI39" s="57" t="n">
        <f aca="false">AB39+AC39+BF39+BA39+BB39+BC39+CY39+CZ39</f>
        <v>0.0364619760180535</v>
      </c>
      <c r="DJ39" s="57" t="n">
        <f aca="false">AA39+AZ39+BY39+CX39+CE39+BZ39+CA39+CB39</f>
        <v>0.0159856377653816</v>
      </c>
      <c r="DK39" s="57" t="n">
        <f aca="false">AD39+DD39+DA39</f>
        <v>0.0937914192412096</v>
      </c>
      <c r="DL39" s="57" t="n">
        <f aca="false">K39+AJ39+BI39+CH39+DG39</f>
        <v>0.419639166853425</v>
      </c>
      <c r="DM39" s="58" t="n">
        <f aca="false">SUM(DH39:DL39)</f>
        <v>1</v>
      </c>
      <c r="DN39" s="19" t="n">
        <f aca="false">dt*(G39*Apixaban!$H$2+(H39+I39+J39)*c_aspirin)</f>
        <v>34.8638186722849</v>
      </c>
      <c r="DO39" s="19" t="n">
        <f aca="false">dt*(H39*c_lt_minor_stroke+I39*c_lt_major_stroke)</f>
        <v>203.48655430634</v>
      </c>
      <c r="DP39" s="19" t="n">
        <f aca="false">AH39+BG39+CF39+DE39</f>
        <v>199.458162861151</v>
      </c>
      <c r="DQ39" s="19" t="n">
        <f aca="false">DN39+DO39+DP39</f>
        <v>437.808535839776</v>
      </c>
      <c r="DR39" s="57" t="n">
        <f aca="false">dt*(G39*(u_af-dec_per_year_over_70*MAX(B39-ref_age,0))+H39*(u_minor_stroke-dec_per_year_over_70*MAX(B39-ref_age,0))+I39*(u_major_stroke-dec_per_year_over_70*MAX(B39-ref_age,0))+J39*(u_af-dec_per_year_over_70*MAX(B39-ref_age,0)))-AI39-BH39-CG39-DF39</f>
        <v>0.117428812405229</v>
      </c>
      <c r="DS39" s="57" t="n">
        <f aca="false">dt*(G39+H39+I39+J39)</f>
        <v>0.148723394346564</v>
      </c>
      <c r="DT39" s="19" t="n">
        <f aca="false">DQ39*C39</f>
        <v>387.203590733</v>
      </c>
      <c r="DU39" s="19" t="n">
        <f aca="false">DN39*C39</f>
        <v>30.8340168623695</v>
      </c>
      <c r="DV39" s="19" t="n">
        <f aca="false">DP39*C39</f>
        <v>176.403405915113</v>
      </c>
      <c r="DW39" s="19" t="n">
        <f aca="false">DO39*C39</f>
        <v>179.966167955518</v>
      </c>
      <c r="DX39" s="57" t="n">
        <f aca="false">DR39*C39</f>
        <v>0.10385557634595</v>
      </c>
      <c r="DY39" s="57" t="n">
        <f aca="false">DS39*C39</f>
        <v>0.131532913597793</v>
      </c>
      <c r="DZ39" s="57" t="n">
        <f aca="false">T39+AS39+BR39+CQ39</f>
        <v>0.00379030291444722</v>
      </c>
      <c r="EA39" s="57" t="n">
        <f aca="false">U39+AT39+BS39+CR39</f>
        <v>0.000516495127761668</v>
      </c>
      <c r="EB39" s="57" t="n">
        <f aca="false">V39+AU39+BT39+CS39</f>
        <v>0.00429777123267747</v>
      </c>
      <c r="EC39" s="57" t="n">
        <f aca="false">G39*dt*C39</f>
        <v>0.0991104841317059</v>
      </c>
    </row>
    <row r="40" customFormat="false" ht="15" hidden="false" customHeight="false" outlineLevel="0" collapsed="false">
      <c r="A40" s="8" t="n">
        <v>34</v>
      </c>
      <c r="B40" s="54" t="n">
        <f aca="false">start_age+A40*dt</f>
        <v>78.5</v>
      </c>
      <c r="C40" s="16" t="n">
        <f aca="false">(1+disc_rate)^-(A40*dt)</f>
        <v>0.881127266865465</v>
      </c>
      <c r="D40" s="55" t="n">
        <f aca="false">IF(A40*dt&gt;=wane_start,(1-wane_decay)^(A40*dt-wane_start),1)</f>
        <v>1</v>
      </c>
      <c r="E40" s="25" t="n">
        <f aca="false">MIN(p_nonvasc_death*MIN(EXP(gomp_int+gomp_slope*INT(B40)),1)/qx_ref,0.999)</f>
        <v>0.0762163453506268</v>
      </c>
      <c r="F40" s="55" t="n">
        <f aca="false">rr_stroke_per_decade^((B40-ref_age)/10)</f>
        <v>1.41148923478537</v>
      </c>
      <c r="G40" s="57" t="n">
        <f aca="false">DH39</f>
        <v>0.43412180012193</v>
      </c>
      <c r="H40" s="57" t="n">
        <f aca="false">DI39</f>
        <v>0.0364619760180535</v>
      </c>
      <c r="I40" s="57" t="n">
        <f aca="false">DJ39</f>
        <v>0.0159856377653816</v>
      </c>
      <c r="J40" s="57" t="n">
        <f aca="false">DK39</f>
        <v>0.0937914192412096</v>
      </c>
      <c r="K40" s="57" t="n">
        <f aca="false">DL39</f>
        <v>0.419639166853425</v>
      </c>
      <c r="L40" s="57" t="n">
        <f aca="false">1-EXP(LN(1-E40)*dt)</f>
        <v>0.0196242316180795</v>
      </c>
      <c r="M40" s="57" t="n">
        <f aca="false">G40*(1-L40)</f>
        <v>0.425602493365879</v>
      </c>
      <c r="N40" s="57" t="n">
        <f aca="false">IF(Apixaban!$B$2=1,EXP(LN(or_apx_stroke)*D40)*(1-EXP(-r_stroke*F40*dt))/(1-(1-EXP(-r_stroke*F40*dt))+EXP(LN(or_apx_stroke)*D40)*(1-EXP(-r_stroke*F40*dt))),(1-EXP(-r_stroke*F40*dt)))</f>
        <v>0.00448895223218636</v>
      </c>
      <c r="O40" s="57" t="n">
        <f aca="false">IF(Apixaban!$B$2=1,EXP(LN(or_apx_ich)*D40)*(1-EXP(-r_ich*dt))/(1-(1-EXP(-r_ich*dt))+EXP(LN(or_apx_ich)*D40)*(1-EXP(-r_ich*dt))),(1-EXP(-r_ich*dt)))</f>
        <v>0.000843513249640701</v>
      </c>
      <c r="P40" s="57" t="n">
        <f aca="false">IF(Apixaban!$B$2=1,EXP(LN(or_apx_mb)*D40)*(1-EXP(-r_mb*dt))/(1-(1-EXP(-r_mb*dt))+EXP(LN(or_apx_mb)*D40)*(1-EXP(-r_mb*dt))),(1-EXP(-r_mb*dt)))</f>
        <v>0.00669446907979895</v>
      </c>
      <c r="Q40" s="57" t="n">
        <f aca="false">IF(Apixaban!$B$2=1,EXP(LN(or_apx_mi)*D40)*(1-EXP(-r_mi*dt))/(1-(1-EXP(-r_mi*dt))+EXP(LN(or_apx_mi)*D40)*(1-EXP(-r_mi*dt))),(1-EXP(-r_mi*dt)))</f>
        <v>0.00132321915530843</v>
      </c>
      <c r="R40" s="57" t="n">
        <f aca="false">(1-EXP(-r_tia*dt))</f>
        <v>0.0020060281549299</v>
      </c>
      <c r="S40" s="57" t="n">
        <f aca="false">(1-EXP(-r_minor*dt))</f>
        <v>0.0437937690785545</v>
      </c>
      <c r="T40" s="57" t="n">
        <f aca="false">M40*N40</f>
        <v>0.00191050926261885</v>
      </c>
      <c r="U40" s="57" t="n">
        <f aca="false">M40*O40</f>
        <v>0.000359001342234238</v>
      </c>
      <c r="V40" s="57" t="n">
        <f aca="false">M40*P40</f>
        <v>0.00284918273212322</v>
      </c>
      <c r="W40" s="57" t="n">
        <f aca="false">M40*Q40</f>
        <v>0.00056316537176876</v>
      </c>
      <c r="X40" s="57" t="n">
        <f aca="false">M40*R40</f>
        <v>0.000853770584500318</v>
      </c>
      <c r="Y40" s="57" t="n">
        <f aca="false">M40*S40</f>
        <v>0.0186387373137223</v>
      </c>
      <c r="Z40" s="57" t="n">
        <f aca="false">T40*f_stroke_fatal</f>
        <v>0.000452790695240666</v>
      </c>
      <c r="AA40" s="57" t="n">
        <f aca="false">T40*(1-f_stroke_fatal)*f_stroke_major</f>
        <v>0.000485420282936934</v>
      </c>
      <c r="AB40" s="57" t="n">
        <f aca="false">T40*(1-f_stroke_fatal)*(1-f_stroke_major)</f>
        <v>0.000972298284441246</v>
      </c>
      <c r="AC40" s="57" t="n">
        <f aca="false">U40*(1-f_bleed_fatal)</f>
        <v>0.000328845229486562</v>
      </c>
      <c r="AD40" s="57" t="n">
        <f aca="false">V40*(1-f_bleed_fatal)</f>
        <v>0.00260985138262487</v>
      </c>
      <c r="AE40" s="57" t="n">
        <f aca="false">W40*f_mi_fatal</f>
        <v>6.814300998402E-005</v>
      </c>
      <c r="AF40" s="57" t="n">
        <f aca="false">W40-AE40</f>
        <v>0.00049502236178474</v>
      </c>
      <c r="AG40" s="57" t="n">
        <f aca="false">M40-T40-U40-V40-AE40</f>
        <v>0.420415657018919</v>
      </c>
      <c r="AH40" s="19" t="n">
        <f aca="false">Z40*c_stroke_fatal+AA40*c_stroke_major+AB40*c_stroke_minor+U40*c_ich+V40*c_major_bleed+AE40*c_mi_fatal+AF40*c_mi_nonfatal+X40*c_tia+Y40*c_minor_bleed</f>
        <v>111.945299403582</v>
      </c>
      <c r="AI40" s="57" t="n">
        <f aca="false">dt*(AF40*dec_mi+AD40*dec_major_bleed+Y40*dec_minor_bleed+X40*dec_tia)</f>
        <v>0.000158056519426626</v>
      </c>
      <c r="AJ40" s="57" t="n">
        <f aca="false">G40*L40+Z40+U40-AC40+V40-AD40+AE40</f>
        <v>0.00930972792352106</v>
      </c>
      <c r="AK40" s="57" t="n">
        <f aca="false">1-EXP(LN(1-E40)*hr_death_prior_stroke*dt)</f>
        <v>0.0445611263260992</v>
      </c>
      <c r="AL40" s="57" t="n">
        <f aca="false">H40*(1-AK40)</f>
        <v>0.0348371892986138</v>
      </c>
      <c r="AM40" s="57" t="n">
        <f aca="false">(1-EXP(-r_stroke*F40*rr_stroke_prior*rr_asa_stroke*dt))</f>
        <v>0.0200805514191222</v>
      </c>
      <c r="AN40" s="57" t="n">
        <f aca="false">(1-EXP(-r_ich*rr_asa_ich*dt))</f>
        <v>0.00102357767802375</v>
      </c>
      <c r="AO40" s="57" t="n">
        <f aca="false">(1-EXP(-r_mb*rr_asa_mb*dt))</f>
        <v>0.00951809672747972</v>
      </c>
      <c r="AP40" s="57" t="n">
        <f aca="false">(1-EXP(-r_mi*rr_asa_mi*dt))</f>
        <v>0.00213413516393479</v>
      </c>
      <c r="AQ40" s="57" t="n">
        <f aca="false">(1-EXP(-r_tia*rr_asa_tia*dt))</f>
        <v>0.00312764565589152</v>
      </c>
      <c r="AR40" s="57" t="n">
        <f aca="false">(1-EXP(-r_minor*rr_asa_minor*dt))</f>
        <v>0.0278181950466747</v>
      </c>
      <c r="AS40" s="57" t="n">
        <f aca="false">AL40*AM40</f>
        <v>0.000699549971008509</v>
      </c>
      <c r="AT40" s="57" t="n">
        <f aca="false">AL40*AN40</f>
        <v>3.56585693311488E-005</v>
      </c>
      <c r="AU40" s="57" t="n">
        <f aca="false">AL40*AO40</f>
        <v>0.000331583737457727</v>
      </c>
      <c r="AV40" s="57" t="n">
        <f aca="false">AL40*AP40</f>
        <v>7.43472706948245E-005</v>
      </c>
      <c r="AW40" s="57" t="n">
        <f aca="false">AL40*AQ40</f>
        <v>0.00010895838377328</v>
      </c>
      <c r="AX40" s="57" t="n">
        <f aca="false">AL40*AR40</f>
        <v>0.000969107726786767</v>
      </c>
      <c r="AY40" s="57" t="n">
        <f aca="false">AS40*f_stroke_fatal_recur</f>
        <v>0.000260295548712556</v>
      </c>
      <c r="AZ40" s="57" t="n">
        <f aca="false">AS40*(1-f_stroke_fatal_recur)*f_stroke_major</f>
        <v>0.000146271722624552</v>
      </c>
      <c r="BA40" s="57" t="n">
        <f aca="false">AS40*(1-f_stroke_fatal_recur)*(1-f_stroke_major)</f>
        <v>0.000292982699671401</v>
      </c>
      <c r="BB40" s="57" t="n">
        <f aca="false">AT40*(1-f_bleed_fatal)</f>
        <v>3.26632495073323E-005</v>
      </c>
      <c r="BC40" s="57" t="n">
        <f aca="false">AU40*(1-f_bleed_fatal)</f>
        <v>0.000303730703511278</v>
      </c>
      <c r="BD40" s="57" t="n">
        <f aca="false">AV40*f_mi_fatal</f>
        <v>8.99601975407376E-006</v>
      </c>
      <c r="BE40" s="57" t="n">
        <f aca="false">AV40-BD40</f>
        <v>6.53512509407507E-005</v>
      </c>
      <c r="BF40" s="57" t="n">
        <f aca="false">AL40-AS40-AT40-AU40-BD40</f>
        <v>0.0337614010010623</v>
      </c>
      <c r="BG40" s="19" t="n">
        <f aca="false">AY40*c_stroke_fatal+AZ40*c_stroke_major+BA40*c_stroke_minor+AT40*c_ich+AU40*c_major_bleed+BD40*c_mi_fatal+BE40*c_mi_nonfatal+AW40*c_tia+AX40*c_minor_bleed</f>
        <v>28.8112184215097</v>
      </c>
      <c r="BH40" s="57" t="n">
        <f aca="false">dt*(BE40*dec_mi+BC40*dec_major_bleed+AX40*dec_minor_bleed+AW40*dec_tia)</f>
        <v>1.49833112668768E-005</v>
      </c>
      <c r="BI40" s="57" t="n">
        <f aca="false">H40*AK40+AY40+AT40-BB40+AU40-BC40+BD40</f>
        <v>0.00192492664167658</v>
      </c>
      <c r="BJ40" s="57" t="n">
        <f aca="false">1-EXP(LN(1-E40)*hr_death_prior_stroke*dt)</f>
        <v>0.0445611263260992</v>
      </c>
      <c r="BK40" s="57" t="n">
        <f aca="false">I40*(1-BJ40)</f>
        <v>0.0152732997415152</v>
      </c>
      <c r="BL40" s="57" t="n">
        <f aca="false">(1-EXP(-r_stroke*F40*rr_stroke_prior*rr_asa_stroke*dt))</f>
        <v>0.0200805514191222</v>
      </c>
      <c r="BM40" s="57" t="n">
        <f aca="false">(1-EXP(-r_ich*rr_asa_ich*dt))</f>
        <v>0.00102357767802375</v>
      </c>
      <c r="BN40" s="57" t="n">
        <f aca="false">(1-EXP(-r_mb*rr_asa_mb*dt))</f>
        <v>0.00951809672747972</v>
      </c>
      <c r="BO40" s="57" t="n">
        <f aca="false">(1-EXP(-r_mi*rr_asa_mi*dt))</f>
        <v>0.00213413516393479</v>
      </c>
      <c r="BP40" s="57" t="n">
        <f aca="false">(1-EXP(-r_tia*rr_asa_tia*dt))</f>
        <v>0.00312764565589152</v>
      </c>
      <c r="BQ40" s="57" t="n">
        <f aca="false">(1-EXP(-r_minor*rr_asa_minor*dt))</f>
        <v>0.0278181950466747</v>
      </c>
      <c r="BR40" s="57" t="n">
        <f aca="false">BK40*BL40</f>
        <v>0.000306696280799162</v>
      </c>
      <c r="BS40" s="57" t="n">
        <f aca="false">BK40*BM40</f>
        <v>1.56334086851808E-005</v>
      </c>
      <c r="BT40" s="57" t="n">
        <f aca="false">BK40*BN40</f>
        <v>0.000145372744287532</v>
      </c>
      <c r="BU40" s="57" t="n">
        <f aca="false">BK40*BO40</f>
        <v>3.25952860476837E-005</v>
      </c>
      <c r="BV40" s="57" t="n">
        <f aca="false">BK40*BP40</f>
        <v>4.7769469587679E-005</v>
      </c>
      <c r="BW40" s="57" t="n">
        <f aca="false">BK40*BQ40</f>
        <v>0.000424875631215795</v>
      </c>
      <c r="BX40" s="57" t="n">
        <f aca="false">BR40*f_stroke_fatal_recur</f>
        <v>0.00011411861912256</v>
      </c>
      <c r="BY40" s="57" t="n">
        <f aca="false">BR40*(1-f_stroke_fatal_recur)*f_stroke_major</f>
        <v>6.41283613383083E-005</v>
      </c>
      <c r="BZ40" s="57" t="n">
        <f aca="false">BR40*(1-f_stroke_fatal_recur)*(1-f_stroke_major)</f>
        <v>0.000128449300338293</v>
      </c>
      <c r="CA40" s="57" t="n">
        <f aca="false">BS40*(1-f_bleed_fatal)</f>
        <v>1.43202023556256E-005</v>
      </c>
      <c r="CB40" s="57" t="n">
        <f aca="false">BT40*(1-f_bleed_fatal)</f>
        <v>0.00013316143376738</v>
      </c>
      <c r="CC40" s="57" t="n">
        <f aca="false">BU40*f_mi_fatal</f>
        <v>3.94402961176972E-006</v>
      </c>
      <c r="CD40" s="57" t="n">
        <f aca="false">BU40-CC40</f>
        <v>2.86512564359139E-005</v>
      </c>
      <c r="CE40" s="57" t="n">
        <f aca="false">BK40-BR40-BS40-BT40-CC40</f>
        <v>0.0148016532781315</v>
      </c>
      <c r="CF40" s="19" t="n">
        <f aca="false">BX40*c_stroke_fatal+BY40*c_stroke_major+BZ40*c_stroke_minor+BS40*c_ich+BT40*c_major_bleed+CC40*c_mi_fatal+CD40*c_mi_nonfatal+BV40*c_tia+BW40*c_minor_bleed</f>
        <v>12.6313971858657</v>
      </c>
      <c r="CG40" s="57" t="n">
        <f aca="false">dt*(CD40*dec_mi+CB40*dec_major_bleed+BW40*dec_minor_bleed+BV40*dec_tia)</f>
        <v>6.56897438360611E-006</v>
      </c>
      <c r="CH40" s="57" t="n">
        <f aca="false">I40*BJ40+BX40+BS40-CA40+BT40-CB40+CC40</f>
        <v>0.000843925189450469</v>
      </c>
      <c r="CI40" s="57" t="n">
        <f aca="false">1-EXP(LN(1-E40)*dt)</f>
        <v>0.0196242316180795</v>
      </c>
      <c r="CJ40" s="57" t="n">
        <f aca="false">J40*(1-CI40)</f>
        <v>0.0919508347062318</v>
      </c>
      <c r="CK40" s="57" t="n">
        <f aca="false">(1-EXP(-r_stroke*F40*rr_asa_stroke*dt))</f>
        <v>0.00917803417723928</v>
      </c>
      <c r="CL40" s="57" t="n">
        <f aca="false">(1-EXP(-r_ich*rr_asa_ich*dt))</f>
        <v>0.00102357767802375</v>
      </c>
      <c r="CM40" s="57" t="n">
        <f aca="false">(1-EXP(-r_mb*rr_asa_mb*dt))</f>
        <v>0.00951809672747972</v>
      </c>
      <c r="CN40" s="57" t="n">
        <f aca="false">(1-EXP(-r_mi*rr_asa_mi*dt))</f>
        <v>0.00213413516393479</v>
      </c>
      <c r="CO40" s="57" t="n">
        <f aca="false">(1-EXP(-r_tia*rr_asa_tia*dt))</f>
        <v>0.00312764565589152</v>
      </c>
      <c r="CP40" s="57" t="n">
        <f aca="false">(1-EXP(-r_minor*rr_asa_minor*dt))</f>
        <v>0.0278181950466747</v>
      </c>
      <c r="CQ40" s="57" t="n">
        <f aca="false">CJ40*CK40</f>
        <v>0.000843927903559475</v>
      </c>
      <c r="CR40" s="57" t="n">
        <f aca="false">CJ40*CL40</f>
        <v>9.411882188095E-005</v>
      </c>
      <c r="CS40" s="57" t="n">
        <f aca="false">CJ40*CM40</f>
        <v>0.000875196938906413</v>
      </c>
      <c r="CT40" s="57" t="n">
        <f aca="false">CJ40*CN40</f>
        <v>0.000196235509699725</v>
      </c>
      <c r="CU40" s="57" t="n">
        <f aca="false">CJ40*CO40</f>
        <v>0.000287589628724545</v>
      </c>
      <c r="CV40" s="57" t="n">
        <f aca="false">CJ40*CP40</f>
        <v>0.0025579062545625</v>
      </c>
      <c r="CW40" s="57" t="n">
        <f aca="false">CQ40*f_stroke_fatal</f>
        <v>0.000200010913143596</v>
      </c>
      <c r="CX40" s="57" t="n">
        <f aca="false">CQ40*(1-f_stroke_fatal)*f_stroke_major</f>
        <v>0.000214424357808488</v>
      </c>
      <c r="CY40" s="57" t="n">
        <f aca="false">CQ40*(1-f_stroke_fatal)*(1-f_stroke_major)</f>
        <v>0.000429492632607392</v>
      </c>
      <c r="CZ40" s="57" t="n">
        <f aca="false">CR40*(1-f_bleed_fatal)</f>
        <v>8.62128408429502E-005</v>
      </c>
      <c r="DA40" s="57" t="n">
        <f aca="false">CS40*(1-f_bleed_fatal)</f>
        <v>0.000801680396038274</v>
      </c>
      <c r="DB40" s="57" t="n">
        <f aca="false">CT40*f_mi_fatal</f>
        <v>2.37444966736667E-005</v>
      </c>
      <c r="DC40" s="57" t="n">
        <f aca="false">CT40-DB40</f>
        <v>0.000172491013026058</v>
      </c>
      <c r="DD40" s="57" t="n">
        <f aca="false">CJ40-CQ40-CR40-CS40-DB40</f>
        <v>0.0901138465452112</v>
      </c>
      <c r="DE40" s="19" t="n">
        <f aca="false">CW40*c_stroke_fatal+CX40*c_stroke_major+CY40*c_stroke_minor+CR40*c_ich+CS40*c_major_bleed+DB40*c_mi_fatal+DC40*c_mi_nonfatal+CU40*c_tia+CV40*c_minor_bleed</f>
        <v>43.5630756549433</v>
      </c>
      <c r="DF40" s="57" t="n">
        <f aca="false">dt*(DC40*dec_mi+DA40*dec_major_bleed+CV40*dec_minor_bleed+CU40*dec_tia)</f>
        <v>3.95476215329298E-005</v>
      </c>
      <c r="DG40" s="57" t="n">
        <f aca="false">J40*CI40+CW40+CR40-CZ40+CS40-DA40+DB40</f>
        <v>0.00214576246870129</v>
      </c>
      <c r="DH40" s="57" t="n">
        <f aca="false">AG40</f>
        <v>0.420415657018919</v>
      </c>
      <c r="DI40" s="57" t="n">
        <f aca="false">AB40+AC40+BF40+BA40+BB40+BC40+CY40+CZ40</f>
        <v>0.0362076266411305</v>
      </c>
      <c r="DJ40" s="57" t="n">
        <f aca="false">AA40+AZ40+BY40+CX40+CE40+BZ40+CA40+CB40</f>
        <v>0.0159878289393011</v>
      </c>
      <c r="DK40" s="57" t="n">
        <f aca="false">AD40+DD40+DA40</f>
        <v>0.0935253783238744</v>
      </c>
      <c r="DL40" s="57" t="n">
        <f aca="false">K40+AJ40+BI40+CH40+DG40</f>
        <v>0.433863509076775</v>
      </c>
      <c r="DM40" s="58" t="n">
        <f aca="false">SUM(DH40:DL40)</f>
        <v>1</v>
      </c>
      <c r="DN40" s="19" t="n">
        <f aca="false">dt*(G40*Apixaban!$H$2+(H40+I40+J40)*c_aspirin)</f>
        <v>33.8058550087045</v>
      </c>
      <c r="DO40" s="19" t="n">
        <f aca="false">dt*(H40*c_lt_minor_stroke+I40*c_lt_major_stroke)</f>
        <v>202.933495839119</v>
      </c>
      <c r="DP40" s="19" t="n">
        <f aca="false">AH40+BG40+CF40+DE40</f>
        <v>196.950990665901</v>
      </c>
      <c r="DQ40" s="19" t="n">
        <f aca="false">DN40+DO40+DP40</f>
        <v>433.690341513725</v>
      </c>
      <c r="DR40" s="57" t="n">
        <f aca="false">dt*(G40*(u_af-dec_per_year_over_70*MAX(B40-ref_age,0))+H40*(u_minor_stroke-dec_per_year_over_70*MAX(B40-ref_age,0))+I40*(u_major_stroke-dec_per_year_over_70*MAX(B40-ref_age,0))+J40*(u_af-dec_per_year_over_70*MAX(B40-ref_age,0)))-AI40-BH40-CG40-DF40</f>
        <v>0.114491449414576</v>
      </c>
      <c r="DS40" s="57" t="n">
        <f aca="false">dt*(G40+H40+I40+J40)</f>
        <v>0.145090208286644</v>
      </c>
      <c r="DT40" s="19" t="n">
        <f aca="false">DQ40*C40</f>
        <v>382.136385283938</v>
      </c>
      <c r="DU40" s="19" t="n">
        <f aca="false">DN40*C40</f>
        <v>29.78726062787</v>
      </c>
      <c r="DV40" s="19" t="n">
        <f aca="false">DP40*C40</f>
        <v>173.538888111891</v>
      </c>
      <c r="DW40" s="19" t="n">
        <f aca="false">DO40*C40</f>
        <v>178.810236544177</v>
      </c>
      <c r="DX40" s="57" t="n">
        <f aca="false">DR40*C40</f>
        <v>0.100881537902131</v>
      </c>
      <c r="DY40" s="57" t="n">
        <f aca="false">DS40*C40</f>
        <v>0.127842938676551</v>
      </c>
      <c r="DZ40" s="57" t="n">
        <f aca="false">T40+AS40+BR40+CQ40</f>
        <v>0.00376068341798599</v>
      </c>
      <c r="EA40" s="57" t="n">
        <f aca="false">U40+AT40+BS40+CR40</f>
        <v>0.000504412142131517</v>
      </c>
      <c r="EB40" s="57" t="n">
        <f aca="false">V40+AU40+BT40+CS40</f>
        <v>0.00420133615277489</v>
      </c>
      <c r="EC40" s="57" t="n">
        <f aca="false">G40*dt*C40</f>
        <v>0.0956291388070379</v>
      </c>
    </row>
    <row r="41" customFormat="false" ht="15" hidden="false" customHeight="false" outlineLevel="0" collapsed="false">
      <c r="A41" s="8" t="n">
        <v>35</v>
      </c>
      <c r="B41" s="54" t="n">
        <f aca="false">start_age+A41*dt</f>
        <v>78.75</v>
      </c>
      <c r="C41" s="16" t="n">
        <f aca="false">(1+disc_rate)^-(A41*dt)</f>
        <v>0.877853672446281</v>
      </c>
      <c r="D41" s="55" t="n">
        <f aca="false">IF(A41*dt&gt;=wane_start,(1-wane_decay)^(A41*dt-wane_start),1)</f>
        <v>1</v>
      </c>
      <c r="E41" s="25" t="n">
        <f aca="false">MIN(p_nonvasc_death*MIN(EXP(gomp_int+gomp_slope*INT(B41)),1)/qx_ref,0.999)</f>
        <v>0.0762163453506268</v>
      </c>
      <c r="F41" s="55" t="n">
        <f aca="false">rr_stroke_per_decade^((B41-ref_age)/10)</f>
        <v>1.42586973743121</v>
      </c>
      <c r="G41" s="57" t="n">
        <f aca="false">DH40</f>
        <v>0.420415657018919</v>
      </c>
      <c r="H41" s="57" t="n">
        <f aca="false">DI40</f>
        <v>0.0362076266411305</v>
      </c>
      <c r="I41" s="57" t="n">
        <f aca="false">DJ40</f>
        <v>0.0159878289393011</v>
      </c>
      <c r="J41" s="57" t="n">
        <f aca="false">DK40</f>
        <v>0.0935253783238744</v>
      </c>
      <c r="K41" s="57" t="n">
        <f aca="false">DL40</f>
        <v>0.433863509076775</v>
      </c>
      <c r="L41" s="57" t="n">
        <f aca="false">1-EXP(LN(1-E41)*dt)</f>
        <v>0.0196242316180795</v>
      </c>
      <c r="M41" s="57" t="n">
        <f aca="false">G41*(1-L41)</f>
        <v>0.412165322789713</v>
      </c>
      <c r="N41" s="57" t="n">
        <f aca="false">IF(Apixaban!$B$2=1,EXP(LN(or_apx_stroke)*D41)*(1-EXP(-r_stroke*F41*dt))/(1-(1-EXP(-r_stroke*F41*dt))+EXP(LN(or_apx_stroke)*D41)*(1-EXP(-r_stroke*F41*dt))),(1-EXP(-r_stroke*F41*dt)))</f>
        <v>0.00453461009394679</v>
      </c>
      <c r="O41" s="57" t="n">
        <f aca="false">IF(Apixaban!$B$2=1,EXP(LN(or_apx_ich)*D41)*(1-EXP(-r_ich*dt))/(1-(1-EXP(-r_ich*dt))+EXP(LN(or_apx_ich)*D41)*(1-EXP(-r_ich*dt))),(1-EXP(-r_ich*dt)))</f>
        <v>0.000843513249640701</v>
      </c>
      <c r="P41" s="57" t="n">
        <f aca="false">IF(Apixaban!$B$2=1,EXP(LN(or_apx_mb)*D41)*(1-EXP(-r_mb*dt))/(1-(1-EXP(-r_mb*dt))+EXP(LN(or_apx_mb)*D41)*(1-EXP(-r_mb*dt))),(1-EXP(-r_mb*dt)))</f>
        <v>0.00669446907979895</v>
      </c>
      <c r="Q41" s="57" t="n">
        <f aca="false">IF(Apixaban!$B$2=1,EXP(LN(or_apx_mi)*D41)*(1-EXP(-r_mi*dt))/(1-(1-EXP(-r_mi*dt))+EXP(LN(or_apx_mi)*D41)*(1-EXP(-r_mi*dt))),(1-EXP(-r_mi*dt)))</f>
        <v>0.00132321915530843</v>
      </c>
      <c r="R41" s="57" t="n">
        <f aca="false">(1-EXP(-r_tia*dt))</f>
        <v>0.0020060281549299</v>
      </c>
      <c r="S41" s="57" t="n">
        <f aca="false">(1-EXP(-r_minor*dt))</f>
        <v>0.0437937690785545</v>
      </c>
      <c r="T41" s="57" t="n">
        <f aca="false">M41*N41</f>
        <v>0.00186900903309707</v>
      </c>
      <c r="U41" s="57" t="n">
        <f aca="false">M41*O41</f>
        <v>0.000347666910815559</v>
      </c>
      <c r="V41" s="57" t="n">
        <f aca="false">M41*P41</f>
        <v>0.00275922800918109</v>
      </c>
      <c r="W41" s="57" t="n">
        <f aca="false">M41*Q41</f>
        <v>0.00054538505026923</v>
      </c>
      <c r="X41" s="57" t="n">
        <f aca="false">M41*R41</f>
        <v>0.000826815242001932</v>
      </c>
      <c r="Y41" s="57" t="n">
        <f aca="false">M41*S41</f>
        <v>0.0180502729684406</v>
      </c>
      <c r="Z41" s="57" t="n">
        <f aca="false">T41*f_stroke_fatal</f>
        <v>0.000442955140844005</v>
      </c>
      <c r="AA41" s="57" t="n">
        <f aca="false">T41*(1-f_stroke_fatal)*f_stroke_major</f>
        <v>0.00047487594612027</v>
      </c>
      <c r="AB41" s="57" t="n">
        <f aca="false">T41*(1-f_stroke_fatal)*(1-f_stroke_major)</f>
        <v>0.000951177946132794</v>
      </c>
      <c r="AC41" s="57" t="n">
        <f aca="false">U41*(1-f_bleed_fatal)</f>
        <v>0.000318462890307052</v>
      </c>
      <c r="AD41" s="57" t="n">
        <f aca="false">V41*(1-f_bleed_fatal)</f>
        <v>0.00252745285640988</v>
      </c>
      <c r="AE41" s="57" t="n">
        <f aca="false">W41*f_mi_fatal</f>
        <v>6.59915910825768E-005</v>
      </c>
      <c r="AF41" s="57" t="n">
        <f aca="false">W41-AE41</f>
        <v>0.000479393459186653</v>
      </c>
      <c r="AG41" s="57" t="n">
        <f aca="false">M41-T41-U41-V41-AE41</f>
        <v>0.407123427245537</v>
      </c>
      <c r="AH41" s="19" t="n">
        <f aca="false">Z41*c_stroke_fatal+AA41*c_stroke_major+AB41*c_stroke_minor+U41*c_ich+V41*c_major_bleed+AE41*c_mi_fatal+AF41*c_mi_nonfatal+X41*c_tia+Y41*c_minor_bleed</f>
        <v>109.106251830593</v>
      </c>
      <c r="AI41" s="57" t="n">
        <f aca="false">dt*(AF41*dec_mi+AD41*dec_major_bleed+Y41*dec_minor_bleed+X41*dec_tia)</f>
        <v>0.000153066340925992</v>
      </c>
      <c r="AJ41" s="57" t="n">
        <f aca="false">G41*L41+Z41+U41-AC41+V41-AD41+AE41</f>
        <v>0.00902026013441263</v>
      </c>
      <c r="AK41" s="57" t="n">
        <f aca="false">1-EXP(LN(1-E41)*hr_death_prior_stroke*dt)</f>
        <v>0.0445611263260992</v>
      </c>
      <c r="AL41" s="57" t="n">
        <f aca="false">H41*(1-AK41)</f>
        <v>0.0345941740164068</v>
      </c>
      <c r="AM41" s="57" t="n">
        <f aca="false">(1-EXP(-r_stroke*F41*rr_stroke_prior*rr_asa_stroke*dt))</f>
        <v>0.0202830467422638</v>
      </c>
      <c r="AN41" s="57" t="n">
        <f aca="false">(1-EXP(-r_ich*rr_asa_ich*dt))</f>
        <v>0.00102357767802375</v>
      </c>
      <c r="AO41" s="57" t="n">
        <f aca="false">(1-EXP(-r_mb*rr_asa_mb*dt))</f>
        <v>0.00951809672747972</v>
      </c>
      <c r="AP41" s="57" t="n">
        <f aca="false">(1-EXP(-r_mi*rr_asa_mi*dt))</f>
        <v>0.00213413516393479</v>
      </c>
      <c r="AQ41" s="57" t="n">
        <f aca="false">(1-EXP(-r_tia*rr_asa_tia*dt))</f>
        <v>0.00312764565589152</v>
      </c>
      <c r="AR41" s="57" t="n">
        <f aca="false">(1-EXP(-r_minor*rr_asa_minor*dt))</f>
        <v>0.0278181950466747</v>
      </c>
      <c r="AS41" s="57" t="n">
        <f aca="false">AL41*AM41</f>
        <v>0.000701675248584787</v>
      </c>
      <c r="AT41" s="57" t="n">
        <f aca="false">AL41*AN41</f>
        <v>3.54098243128631E-005</v>
      </c>
      <c r="AU41" s="57" t="n">
        <f aca="false">AL41*AO41</f>
        <v>0.000329270694495426</v>
      </c>
      <c r="AV41" s="57" t="n">
        <f aca="false">AL41*AP41</f>
        <v>7.38286432356931E-005</v>
      </c>
      <c r="AW41" s="57" t="n">
        <f aca="false">AL41*AQ41</f>
        <v>0.00010819831808157</v>
      </c>
      <c r="AX41" s="57" t="n">
        <f aca="false">AL41*AR41</f>
        <v>0.000962347480267012</v>
      </c>
      <c r="AY41" s="57" t="n">
        <f aca="false">AS41*f_stroke_fatal_recur</f>
        <v>0.000261086343245913</v>
      </c>
      <c r="AZ41" s="57" t="n">
        <f aca="false">AS41*(1-f_stroke_fatal_recur)*f_stroke_major</f>
        <v>0.000146716105477845</v>
      </c>
      <c r="BA41" s="57" t="n">
        <f aca="false">AS41*(1-f_stroke_fatal_recur)*(1-f_stroke_major)</f>
        <v>0.000293872799861029</v>
      </c>
      <c r="BB41" s="57" t="n">
        <f aca="false">AT41*(1-f_bleed_fatal)</f>
        <v>3.24353990705826E-005</v>
      </c>
      <c r="BC41" s="57" t="n">
        <f aca="false">AU41*(1-f_bleed_fatal)</f>
        <v>0.00030161195615781</v>
      </c>
      <c r="BD41" s="57" t="n">
        <f aca="false">AV41*f_mi_fatal</f>
        <v>8.93326583151887E-006</v>
      </c>
      <c r="BE41" s="57" t="n">
        <f aca="false">AV41-BD41</f>
        <v>6.48953774041743E-005</v>
      </c>
      <c r="BF41" s="57" t="n">
        <f aca="false">AL41-AS41-AT41-AU41-BD41</f>
        <v>0.0335188849831823</v>
      </c>
      <c r="BG41" s="19" t="n">
        <f aca="false">AY41*c_stroke_fatal+AZ41*c_stroke_major+BA41*c_stroke_minor+AT41*c_ich+AU41*c_major_bleed+BD41*c_mi_fatal+BE41*c_mi_nonfatal+AW41*c_tia+AX41*c_minor_bleed</f>
        <v>28.8517728246707</v>
      </c>
      <c r="BH41" s="57" t="n">
        <f aca="false">dt*(BE41*dec_mi+BC41*dec_major_bleed+AX41*dec_minor_bleed+AW41*dec_tia)</f>
        <v>1.48787915369783E-005</v>
      </c>
      <c r="BI41" s="57" t="n">
        <f aca="false">H41*AK41+AY41+AT41-BB41+AU41-BC41+BD41</f>
        <v>0.00191410539738098</v>
      </c>
      <c r="BJ41" s="57" t="n">
        <f aca="false">1-EXP(LN(1-E41)*hr_death_prior_stroke*dt)</f>
        <v>0.0445611263260992</v>
      </c>
      <c r="BK41" s="57" t="n">
        <f aca="false">I41*(1-BJ41)</f>
        <v>0.0152753932742568</v>
      </c>
      <c r="BL41" s="57" t="n">
        <f aca="false">(1-EXP(-r_stroke*F41*rr_stroke_prior*rr_asa_stroke*dt))</f>
        <v>0.0202830467422638</v>
      </c>
      <c r="BM41" s="57" t="n">
        <f aca="false">(1-EXP(-r_ich*rr_asa_ich*dt))</f>
        <v>0.00102357767802375</v>
      </c>
      <c r="BN41" s="57" t="n">
        <f aca="false">(1-EXP(-r_mb*rr_asa_mb*dt))</f>
        <v>0.00951809672747972</v>
      </c>
      <c r="BO41" s="57" t="n">
        <f aca="false">(1-EXP(-r_mi*rr_asa_mi*dt))</f>
        <v>0.00213413516393479</v>
      </c>
      <c r="BP41" s="57" t="n">
        <f aca="false">(1-EXP(-r_tia*rr_asa_tia*dt))</f>
        <v>0.00312764565589152</v>
      </c>
      <c r="BQ41" s="57" t="n">
        <f aca="false">(1-EXP(-r_minor*rr_asa_minor*dt))</f>
        <v>0.0278181950466747</v>
      </c>
      <c r="BR41" s="57" t="n">
        <f aca="false">BK41*BL41</f>
        <v>0.000309831515788213</v>
      </c>
      <c r="BS41" s="57" t="n">
        <f aca="false">BK41*BM41</f>
        <v>1.56355515785634E-005</v>
      </c>
      <c r="BT41" s="57" t="n">
        <f aca="false">BK41*BN41</f>
        <v>0.00014539267073467</v>
      </c>
      <c r="BU41" s="57" t="n">
        <f aca="false">BK41*BO41</f>
        <v>3.25997539295245E-005</v>
      </c>
      <c r="BV41" s="57" t="n">
        <f aca="false">BK41*BP41</f>
        <v>4.77760174162639E-005</v>
      </c>
      <c r="BW41" s="57" t="n">
        <f aca="false">BK41*BQ41</f>
        <v>0.00042493386951794</v>
      </c>
      <c r="BX41" s="57" t="n">
        <f aca="false">BR41*f_stroke_fatal_recur</f>
        <v>0.000115285208709636</v>
      </c>
      <c r="BY41" s="57" t="n">
        <f aca="false">BR41*(1-f_stroke_fatal_recur)*f_stroke_major</f>
        <v>6.47839202571661E-005</v>
      </c>
      <c r="BZ41" s="57" t="n">
        <f aca="false">BR41*(1-f_stroke_fatal_recur)*(1-f_stroke_major)</f>
        <v>0.000129762386821411</v>
      </c>
      <c r="CA41" s="57" t="n">
        <f aca="false">BS41*(1-f_bleed_fatal)</f>
        <v>1.4322165245964E-005</v>
      </c>
      <c r="CB41" s="57" t="n">
        <f aca="false">BT41*(1-f_bleed_fatal)</f>
        <v>0.000133179686392957</v>
      </c>
      <c r="CC41" s="57" t="n">
        <f aca="false">BU41*f_mi_fatal</f>
        <v>3.94457022547247E-006</v>
      </c>
      <c r="CD41" s="57" t="n">
        <f aca="false">BU41-CC41</f>
        <v>2.86551837040521E-005</v>
      </c>
      <c r="CE41" s="57" t="n">
        <f aca="false">BK41-BR41-BS41-BT41-CC41</f>
        <v>0.0148005889659299</v>
      </c>
      <c r="CF41" s="19" t="n">
        <f aca="false">BX41*c_stroke_fatal+BY41*c_stroke_major+BZ41*c_stroke_minor+BS41*c_ich+BT41*c_major_bleed+CC41*c_mi_fatal+CD41*c_mi_nonfatal+BV41*c_tia+BW41*c_minor_bleed</f>
        <v>12.7397802979005</v>
      </c>
      <c r="CG41" s="57" t="n">
        <f aca="false">dt*(CD41*dec_mi+CB41*dec_major_bleed+BW41*dec_minor_bleed+BV41*dec_tia)</f>
        <v>6.56987480219175E-006</v>
      </c>
      <c r="CH41" s="57" t="n">
        <f aca="false">I41*BJ41+BX41+BS41-CA41+BT41-CB41+CC41</f>
        <v>0.000845191814653681</v>
      </c>
      <c r="CI41" s="57" t="n">
        <f aca="false">1-EXP(LN(1-E41)*dt)</f>
        <v>0.0196242316180795</v>
      </c>
      <c r="CJ41" s="57" t="n">
        <f aca="false">J41*(1-CI41)</f>
        <v>0.0916900146374782</v>
      </c>
      <c r="CK41" s="57" t="n">
        <f aca="false">(1-EXP(-r_stroke*F41*rr_asa_stroke*dt))</f>
        <v>0.0092711068193867</v>
      </c>
      <c r="CL41" s="57" t="n">
        <f aca="false">(1-EXP(-r_ich*rr_asa_ich*dt))</f>
        <v>0.00102357767802375</v>
      </c>
      <c r="CM41" s="57" t="n">
        <f aca="false">(1-EXP(-r_mb*rr_asa_mb*dt))</f>
        <v>0.00951809672747972</v>
      </c>
      <c r="CN41" s="57" t="n">
        <f aca="false">(1-EXP(-r_mi*rr_asa_mi*dt))</f>
        <v>0.00213413516393479</v>
      </c>
      <c r="CO41" s="57" t="n">
        <f aca="false">(1-EXP(-r_tia*rr_asa_tia*dt))</f>
        <v>0.00312764565589152</v>
      </c>
      <c r="CP41" s="57" t="n">
        <f aca="false">(1-EXP(-r_minor*rr_asa_minor*dt))</f>
        <v>0.0278181950466747</v>
      </c>
      <c r="CQ41" s="57" t="n">
        <f aca="false">CJ41*CK41</f>
        <v>0.00085006791997519</v>
      </c>
      <c r="CR41" s="57" t="n">
        <f aca="false">CJ41*CL41</f>
        <v>9.38518522805932E-005</v>
      </c>
      <c r="CS41" s="57" t="n">
        <f aca="false">CJ41*CM41</f>
        <v>0.000872714428263548</v>
      </c>
      <c r="CT41" s="57" t="n">
        <f aca="false">CJ41*CN41</f>
        <v>0.000195678884419538</v>
      </c>
      <c r="CU41" s="57" t="n">
        <f aca="false">CJ41*CO41</f>
        <v>0.000286773875969538</v>
      </c>
      <c r="CV41" s="57" t="n">
        <f aca="false">CJ41*CP41</f>
        <v>0.00255065071101783</v>
      </c>
      <c r="CW41" s="57" t="n">
        <f aca="false">CQ41*f_stroke_fatal</f>
        <v>0.00020146609703412</v>
      </c>
      <c r="CX41" s="57" t="n">
        <f aca="false">CQ41*(1-f_stroke_fatal)*f_stroke_major</f>
        <v>0.000215984407039376</v>
      </c>
      <c r="CY41" s="57" t="n">
        <f aca="false">CQ41*(1-f_stroke_fatal)*(1-f_stroke_major)</f>
        <v>0.000432617415901694</v>
      </c>
      <c r="CZ41" s="57" t="n">
        <f aca="false">CR41*(1-f_bleed_fatal)</f>
        <v>8.59682966890233E-005</v>
      </c>
      <c r="DA41" s="57" t="n">
        <f aca="false">CS41*(1-f_bleed_fatal)</f>
        <v>0.00079940641628941</v>
      </c>
      <c r="DB41" s="57" t="n">
        <f aca="false">CT41*f_mi_fatal</f>
        <v>2.36771450147641E-005</v>
      </c>
      <c r="DC41" s="57" t="n">
        <f aca="false">CT41-DB41</f>
        <v>0.000172001739404774</v>
      </c>
      <c r="DD41" s="57" t="n">
        <f aca="false">CJ41-CQ41-CR41-CS41-DB41</f>
        <v>0.0898497032919441</v>
      </c>
      <c r="DE41" s="19" t="n">
        <f aca="false">CW41*c_stroke_fatal+CX41*c_stroke_major+CY41*c_stroke_minor+CR41*c_ich+CS41*c_major_bleed+DB41*c_mi_fatal+DC41*c_mi_nonfatal+CU41*c_tia+CV41*c_minor_bleed</f>
        <v>43.7548131392703</v>
      </c>
      <c r="DF41" s="57" t="n">
        <f aca="false">dt*(DC41*dec_mi+DA41*dec_major_bleed+CV41*dec_minor_bleed+CU41*dec_tia)</f>
        <v>3.94354440480792E-005</v>
      </c>
      <c r="DG41" s="57" t="n">
        <f aca="false">J41*CI41+CW41+CR41-CZ41+CS41-DA41+DB41</f>
        <v>0.00214169849601081</v>
      </c>
      <c r="DH41" s="57" t="n">
        <f aca="false">AG41</f>
        <v>0.407123427245537</v>
      </c>
      <c r="DI41" s="57" t="n">
        <f aca="false">AB41+AC41+BF41+BA41+BB41+BC41+CY41+CZ41</f>
        <v>0.0359350316873022</v>
      </c>
      <c r="DJ41" s="57" t="n">
        <f aca="false">AA41+AZ41+BY41+CX41+CE41+BZ41+CA41+CB41</f>
        <v>0.0159802135832849</v>
      </c>
      <c r="DK41" s="57" t="n">
        <f aca="false">AD41+DD41+DA41</f>
        <v>0.0931765625646433</v>
      </c>
      <c r="DL41" s="57" t="n">
        <f aca="false">K41+AJ41+BI41+CH41+DG41</f>
        <v>0.447784764919233</v>
      </c>
      <c r="DM41" s="58" t="n">
        <f aca="false">SUM(DH41:DL41)</f>
        <v>1</v>
      </c>
      <c r="DN41" s="19" t="n">
        <f aca="false">dt*(G41*Apixaban!$H$2+(H41+I41+J41)*c_aspirin)</f>
        <v>32.7785377227879</v>
      </c>
      <c r="DO41" s="19" t="n">
        <f aca="false">dt*(H41*c_lt_minor_stroke+I41*c_lt_major_stroke)</f>
        <v>202.26020764452</v>
      </c>
      <c r="DP41" s="19" t="n">
        <f aca="false">AH41+BG41+CF41+DE41</f>
        <v>194.452618092434</v>
      </c>
      <c r="DQ41" s="19" t="n">
        <f aca="false">DN41+DO41+DP41</f>
        <v>429.491363459742</v>
      </c>
      <c r="DR41" s="57" t="n">
        <f aca="false">dt*(G41*(u_af-dec_per_year_over_70*MAX(B41-ref_age,0))+H41*(u_minor_stroke-dec_per_year_over_70*MAX(B41-ref_age,0))+I41*(u_major_stroke-dec_per_year_over_70*MAX(B41-ref_age,0))+J41*(u_af-dec_per_year_over_70*MAX(B41-ref_age,0)))-AI41-BH41-CG41-DF41</f>
        <v>0.111618284340688</v>
      </c>
      <c r="DS41" s="57" t="n">
        <f aca="false">dt*(G41+H41+I41+J41)</f>
        <v>0.141534122730806</v>
      </c>
      <c r="DT41" s="19" t="n">
        <f aca="false">DQ41*C41</f>
        <v>377.030570697095</v>
      </c>
      <c r="DU41" s="19" t="n">
        <f aca="false">DN41*C41</f>
        <v>28.7747597173684</v>
      </c>
      <c r="DV41" s="19" t="n">
        <f aca="false">DP41*C41</f>
        <v>170.700944909238</v>
      </c>
      <c r="DW41" s="19" t="n">
        <f aca="false">DO41*C41</f>
        <v>177.554866070489</v>
      </c>
      <c r="DX41" s="57" t="n">
        <f aca="false">DR41*C41</f>
        <v>0.0979845208206261</v>
      </c>
      <c r="DY41" s="57" t="n">
        <f aca="false">DS41*C41</f>
        <v>0.124246249415701</v>
      </c>
      <c r="DZ41" s="57" t="n">
        <f aca="false">T41+AS41+BR41+CQ41</f>
        <v>0.00373058371744526</v>
      </c>
      <c r="EA41" s="57" t="n">
        <f aca="false">U41+AT41+BS41+CR41</f>
        <v>0.000492564138987579</v>
      </c>
      <c r="EB41" s="57" t="n">
        <f aca="false">V41+AU41+BT41+CS41</f>
        <v>0.00410660580267473</v>
      </c>
      <c r="EC41" s="57" t="n">
        <f aca="false">G41*dt*C41</f>
        <v>0.0922658571169936</v>
      </c>
    </row>
    <row r="42" customFormat="false" ht="15" hidden="false" customHeight="false" outlineLevel="0" collapsed="false">
      <c r="A42" s="8" t="n">
        <v>36</v>
      </c>
      <c r="B42" s="54" t="n">
        <f aca="false">start_age+A42*dt</f>
        <v>79</v>
      </c>
      <c r="C42" s="16" t="n">
        <f aca="false">(1+disc_rate)^-(A42*dt)</f>
        <v>0.874592240198017</v>
      </c>
      <c r="D42" s="55" t="n">
        <f aca="false">IF(A42*dt&gt;=wane_start,(1-wane_decay)^(A42*dt-wane_start),1)</f>
        <v>1</v>
      </c>
      <c r="E42" s="25" t="n">
        <f aca="false">MIN(p_nonvasc_death*MIN(EXP(gomp_int+gomp_slope*INT(B42)),1)/qx_ref,0.999)</f>
        <v>0.0846232874094045</v>
      </c>
      <c r="F42" s="55" t="n">
        <f aca="false">rr_stroke_per_decade^((B42-ref_age)/10)</f>
        <v>1.44039675118833</v>
      </c>
      <c r="G42" s="57" t="n">
        <f aca="false">DH41</f>
        <v>0.407123427245537</v>
      </c>
      <c r="H42" s="57" t="n">
        <f aca="false">DI41</f>
        <v>0.0359350316873022</v>
      </c>
      <c r="I42" s="57" t="n">
        <f aca="false">DJ41</f>
        <v>0.0159802135832849</v>
      </c>
      <c r="J42" s="57" t="n">
        <f aca="false">DK41</f>
        <v>0.0931765625646433</v>
      </c>
      <c r="K42" s="57" t="n">
        <f aca="false">DL41</f>
        <v>0.447784764919233</v>
      </c>
      <c r="L42" s="57" t="n">
        <f aca="false">1-EXP(LN(1-E42)*dt)</f>
        <v>0.0218623746896884</v>
      </c>
      <c r="M42" s="57" t="n">
        <f aca="false">G42*(1-L42)</f>
        <v>0.398222742334145</v>
      </c>
      <c r="N42" s="57" t="n">
        <f aca="false">IF(Apixaban!$B$2=1,EXP(LN(or_apx_stroke)*D42)*(1-EXP(-r_stroke*F42*dt))/(1-(1-EXP(-r_stroke*F42*dt))+EXP(LN(or_apx_stroke)*D42)*(1-EXP(-r_stroke*F42*dt))),(1-EXP(-r_stroke*F42*dt)))</f>
        <v>0.00458073156186942</v>
      </c>
      <c r="O42" s="57" t="n">
        <f aca="false">IF(Apixaban!$B$2=1,EXP(LN(or_apx_ich)*D42)*(1-EXP(-r_ich*dt))/(1-(1-EXP(-r_ich*dt))+EXP(LN(or_apx_ich)*D42)*(1-EXP(-r_ich*dt))),(1-EXP(-r_ich*dt)))</f>
        <v>0.000843513249640701</v>
      </c>
      <c r="P42" s="57" t="n">
        <f aca="false">IF(Apixaban!$B$2=1,EXP(LN(or_apx_mb)*D42)*(1-EXP(-r_mb*dt))/(1-(1-EXP(-r_mb*dt))+EXP(LN(or_apx_mb)*D42)*(1-EXP(-r_mb*dt))),(1-EXP(-r_mb*dt)))</f>
        <v>0.00669446907979895</v>
      </c>
      <c r="Q42" s="57" t="n">
        <f aca="false">IF(Apixaban!$B$2=1,EXP(LN(or_apx_mi)*D42)*(1-EXP(-r_mi*dt))/(1-(1-EXP(-r_mi*dt))+EXP(LN(or_apx_mi)*D42)*(1-EXP(-r_mi*dt))),(1-EXP(-r_mi*dt)))</f>
        <v>0.00132321915530843</v>
      </c>
      <c r="R42" s="57" t="n">
        <f aca="false">(1-EXP(-r_tia*dt))</f>
        <v>0.0020060281549299</v>
      </c>
      <c r="S42" s="57" t="n">
        <f aca="false">(1-EXP(-r_minor*dt))</f>
        <v>0.0437937690785545</v>
      </c>
      <c r="T42" s="57" t="n">
        <f aca="false">M42*N42</f>
        <v>0.00182415148446421</v>
      </c>
      <c r="U42" s="57" t="n">
        <f aca="false">M42*O42</f>
        <v>0.000335906159467106</v>
      </c>
      <c r="V42" s="57" t="n">
        <f aca="false">M42*P42</f>
        <v>0.00266588983542868</v>
      </c>
      <c r="W42" s="57" t="n">
        <f aca="false">M42*Q42</f>
        <v>0.000526935960735993</v>
      </c>
      <c r="X42" s="57" t="n">
        <f aca="false">M42*R42</f>
        <v>0.000798846033055687</v>
      </c>
      <c r="Y42" s="57" t="n">
        <f aca="false">M42*S42</f>
        <v>0.0174396748196102</v>
      </c>
      <c r="Z42" s="57" t="n">
        <f aca="false">T42*f_stroke_fatal</f>
        <v>0.000432323901818018</v>
      </c>
      <c r="AA42" s="57" t="n">
        <f aca="false">T42*(1-f_stroke_fatal)*f_stroke_major</f>
        <v>0.000463478585021182</v>
      </c>
      <c r="AB42" s="57" t="n">
        <f aca="false">T42*(1-f_stroke_fatal)*(1-f_stroke_major)</f>
        <v>0.000928348997625011</v>
      </c>
      <c r="AC42" s="57" t="n">
        <f aca="false">U42*(1-f_bleed_fatal)</f>
        <v>0.000307690042071869</v>
      </c>
      <c r="AD42" s="57" t="n">
        <f aca="false">V42*(1-f_bleed_fatal)</f>
        <v>0.00244195508925267</v>
      </c>
      <c r="AE42" s="57" t="n">
        <f aca="false">W42*f_mi_fatal</f>
        <v>6.37592512490551E-005</v>
      </c>
      <c r="AF42" s="57" t="n">
        <f aca="false">W42-AE42</f>
        <v>0.000463176709486938</v>
      </c>
      <c r="AG42" s="57" t="n">
        <f aca="false">M42-T42-U42-V42-AE42</f>
        <v>0.393333035603535</v>
      </c>
      <c r="AH42" s="19" t="n">
        <f aca="false">Z42*c_stroke_fatal+AA42*c_stroke_major+AB42*c_stroke_minor+U42*c_ich+V42*c_major_bleed+AE42*c_mi_fatal+AF42*c_mi_nonfatal+X42*c_tia+Y42*c_minor_bleed</f>
        <v>106.094047744407</v>
      </c>
      <c r="AI42" s="57" t="n">
        <f aca="false">dt*(AF42*dec_mi+AD42*dec_major_bleed+Y42*dec_minor_bleed+X42*dec_tia)</f>
        <v>0.000147888467739195</v>
      </c>
      <c r="AJ42" s="57" t="n">
        <f aca="false">G42*L42+Z42+U42-AC42+V42-AD42+AE42</f>
        <v>0.00964891892803035</v>
      </c>
      <c r="AK42" s="57" t="n">
        <f aca="false">1-EXP(LN(1-E42)*hr_death_prior_stroke*dt)</f>
        <v>0.049570474672099</v>
      </c>
      <c r="AL42" s="57" t="n">
        <f aca="false">H42*(1-AK42)</f>
        <v>0.0341537151092057</v>
      </c>
      <c r="AM42" s="57" t="n">
        <f aca="false">(1-EXP(-r_stroke*F42*rr_stroke_prior*rr_asa_stroke*dt))</f>
        <v>0.0204875626374278</v>
      </c>
      <c r="AN42" s="57" t="n">
        <f aca="false">(1-EXP(-r_ich*rr_asa_ich*dt))</f>
        <v>0.00102357767802375</v>
      </c>
      <c r="AO42" s="57" t="n">
        <f aca="false">(1-EXP(-r_mb*rr_asa_mb*dt))</f>
        <v>0.00951809672747972</v>
      </c>
      <c r="AP42" s="57" t="n">
        <f aca="false">(1-EXP(-r_mi*rr_asa_mi*dt))</f>
        <v>0.00213413516393479</v>
      </c>
      <c r="AQ42" s="57" t="n">
        <f aca="false">(1-EXP(-r_tia*rr_asa_tia*dt))</f>
        <v>0.00312764565589152</v>
      </c>
      <c r="AR42" s="57" t="n">
        <f aca="false">(1-EXP(-r_minor*rr_asa_minor*dt))</f>
        <v>0.0278181950466747</v>
      </c>
      <c r="AS42" s="57" t="n">
        <f aca="false">AL42*AM42</f>
        <v>0.000699726377600717</v>
      </c>
      <c r="AT42" s="57" t="n">
        <f aca="false">AL42*AN42</f>
        <v>3.49589804073653E-005</v>
      </c>
      <c r="AU42" s="57" t="n">
        <f aca="false">AL42*AO42</f>
        <v>0.000325078364012206</v>
      </c>
      <c r="AV42" s="57" t="n">
        <f aca="false">AL42*AP42</f>
        <v>7.2888644393567E-005</v>
      </c>
      <c r="AW42" s="57" t="n">
        <f aca="false">AL42*AQ42</f>
        <v>0.000106820718693864</v>
      </c>
      <c r="AX42" s="57" t="n">
        <f aca="false">AL42*AR42</f>
        <v>0.000950094708476446</v>
      </c>
      <c r="AY42" s="57" t="n">
        <f aca="false">AS42*f_stroke_fatal_recur</f>
        <v>0.000260361187841451</v>
      </c>
      <c r="AZ42" s="57" t="n">
        <f aca="false">AS42*(1-f_stroke_fatal_recur)*f_stroke_major</f>
        <v>0.000146308608189836</v>
      </c>
      <c r="BA42" s="57" t="n">
        <f aca="false">AS42*(1-f_stroke_fatal_recur)*(1-f_stroke_major)</f>
        <v>0.00029305658156943</v>
      </c>
      <c r="BB42" s="57" t="n">
        <f aca="false">AT42*(1-f_bleed_fatal)</f>
        <v>3.20224260531467E-005</v>
      </c>
      <c r="BC42" s="57" t="n">
        <f aca="false">AU42*(1-f_bleed_fatal)</f>
        <v>0.000297771781435181</v>
      </c>
      <c r="BD42" s="57" t="n">
        <f aca="false">AV42*f_mi_fatal</f>
        <v>8.8195259716216E-006</v>
      </c>
      <c r="BE42" s="57" t="n">
        <f aca="false">AV42-BD42</f>
        <v>6.40691184219454E-005</v>
      </c>
      <c r="BF42" s="57" t="n">
        <f aca="false">AL42-AS42-AT42-AU42-BD42</f>
        <v>0.0330851318612138</v>
      </c>
      <c r="BG42" s="19" t="n">
        <f aca="false">AY42*c_stroke_fatal+AZ42*c_stroke_major+BA42*c_stroke_minor+AT42*c_ich+AU42*c_major_bleed+BD42*c_mi_fatal+BE42*c_mi_nonfatal+AW42*c_tia+AX42*c_minor_bleed</f>
        <v>28.7252653828226</v>
      </c>
      <c r="BH42" s="57" t="n">
        <f aca="false">dt*(BE42*dec_mi+BC42*dec_major_bleed+AX42*dec_minor_bleed+AW42*dec_tia)</f>
        <v>1.46893522326104E-005</v>
      </c>
      <c r="BI42" s="57" t="n">
        <f aca="false">H42*AK42+AY42+AT42-BB42+AU42-BC42+BD42</f>
        <v>0.00208074042884081</v>
      </c>
      <c r="BJ42" s="57" t="n">
        <f aca="false">1-EXP(LN(1-E42)*hr_death_prior_stroke*dt)</f>
        <v>0.049570474672099</v>
      </c>
      <c r="BK42" s="57" t="n">
        <f aca="false">I42*(1-BJ42)</f>
        <v>0.0151880668106</v>
      </c>
      <c r="BL42" s="57" t="n">
        <f aca="false">(1-EXP(-r_stroke*F42*rr_stroke_prior*rr_asa_stroke*dt))</f>
        <v>0.0204875626374278</v>
      </c>
      <c r="BM42" s="57" t="n">
        <f aca="false">(1-EXP(-r_ich*rr_asa_ich*dt))</f>
        <v>0.00102357767802375</v>
      </c>
      <c r="BN42" s="57" t="n">
        <f aca="false">(1-EXP(-r_mb*rr_asa_mb*dt))</f>
        <v>0.00951809672747972</v>
      </c>
      <c r="BO42" s="57" t="n">
        <f aca="false">(1-EXP(-r_mi*rr_asa_mi*dt))</f>
        <v>0.00213413516393479</v>
      </c>
      <c r="BP42" s="57" t="n">
        <f aca="false">(1-EXP(-r_tia*rr_asa_tia*dt))</f>
        <v>0.00312764565589152</v>
      </c>
      <c r="BQ42" s="57" t="n">
        <f aca="false">(1-EXP(-r_minor*rr_asa_minor*dt))</f>
        <v>0.0278181950466747</v>
      </c>
      <c r="BR42" s="57" t="n">
        <f aca="false">BK42*BL42</f>
        <v>0.000311166470123605</v>
      </c>
      <c r="BS42" s="57" t="n">
        <f aca="false">BK42*BM42</f>
        <v>1.55461661596634E-005</v>
      </c>
      <c r="BT42" s="57" t="n">
        <f aca="false">BK42*BN42</f>
        <v>0.000144561489006715</v>
      </c>
      <c r="BU42" s="57" t="n">
        <f aca="false">BK42*BO42</f>
        <v>3.24133874526923E-005</v>
      </c>
      <c r="BV42" s="57" t="n">
        <f aca="false">BK42*BP42</f>
        <v>4.75028911815631E-005</v>
      </c>
      <c r="BW42" s="57" t="n">
        <f aca="false">BK42*BQ42</f>
        <v>0.000422504604919196</v>
      </c>
      <c r="BX42" s="57" t="n">
        <f aca="false">BR42*f_stroke_fatal_recur</f>
        <v>0.000115781931868292</v>
      </c>
      <c r="BY42" s="57" t="n">
        <f aca="false">BR42*(1-f_stroke_fatal_recur)*f_stroke_major</f>
        <v>6.50630512390191E-005</v>
      </c>
      <c r="BZ42" s="57" t="n">
        <f aca="false">BR42*(1-f_stroke_fatal_recur)*(1-f_stroke_major)</f>
        <v>0.000130321487016294</v>
      </c>
      <c r="CA42" s="57" t="n">
        <f aca="false">BS42*(1-f_bleed_fatal)</f>
        <v>1.42402882022517E-005</v>
      </c>
      <c r="CB42" s="57" t="n">
        <f aca="false">BT42*(1-f_bleed_fatal)</f>
        <v>0.000132418323930151</v>
      </c>
      <c r="CC42" s="57" t="n">
        <f aca="false">BU42*f_mi_fatal</f>
        <v>3.92201988177577E-006</v>
      </c>
      <c r="CD42" s="57" t="n">
        <f aca="false">BU42-CC42</f>
        <v>2.84913675709165E-005</v>
      </c>
      <c r="CE42" s="57" t="n">
        <f aca="false">BK42-BR42-BS42-BT42-CC42</f>
        <v>0.0147128706654282</v>
      </c>
      <c r="CF42" s="19" t="n">
        <f aca="false">BX42*c_stroke_fatal+BY42*c_stroke_major+BZ42*c_stroke_minor+BS42*c_ich+BT42*c_major_bleed+CC42*c_mi_fatal+CD42*c_mi_nonfatal+BV42*c_tia+BW42*c_minor_bleed</f>
        <v>12.7740495694692</v>
      </c>
      <c r="CG42" s="57" t="n">
        <f aca="false">dt*(CD42*dec_mi+CB42*dec_major_bleed+BW42*dec_minor_bleed+BV42*dec_tia)</f>
        <v>6.53231610089724E-006</v>
      </c>
      <c r="CH42" s="57" t="n">
        <f aca="false">I42*BJ42+BX42+BS42-CA42+BT42-CB42+CC42</f>
        <v>0.000925299767469</v>
      </c>
      <c r="CI42" s="57" t="n">
        <f aca="false">1-EXP(LN(1-E42)*dt)</f>
        <v>0.0218623746896884</v>
      </c>
      <c r="CJ42" s="57" t="n">
        <f aca="false">J42*(1-CI42)</f>
        <v>0.0911395016415579</v>
      </c>
      <c r="CK42" s="57" t="n">
        <f aca="false">(1-EXP(-r_stroke*F42*rr_asa_stroke*dt))</f>
        <v>0.00936511882530033</v>
      </c>
      <c r="CL42" s="57" t="n">
        <f aca="false">(1-EXP(-r_ich*rr_asa_ich*dt))</f>
        <v>0.00102357767802375</v>
      </c>
      <c r="CM42" s="57" t="n">
        <f aca="false">(1-EXP(-r_mb*rr_asa_mb*dt))</f>
        <v>0.00951809672747972</v>
      </c>
      <c r="CN42" s="57" t="n">
        <f aca="false">(1-EXP(-r_mi*rr_asa_mi*dt))</f>
        <v>0.00213413516393479</v>
      </c>
      <c r="CO42" s="57" t="n">
        <f aca="false">(1-EXP(-r_tia*rr_asa_tia*dt))</f>
        <v>0.00312764565589152</v>
      </c>
      <c r="CP42" s="57" t="n">
        <f aca="false">(1-EXP(-r_minor*rr_asa_minor*dt))</f>
        <v>0.0278181950466747</v>
      </c>
      <c r="CQ42" s="57" t="n">
        <f aca="false">CJ42*CK42</f>
        <v>0.000853532262551845</v>
      </c>
      <c r="CR42" s="57" t="n">
        <f aca="false">CJ42*CL42</f>
        <v>9.32883594665072E-005</v>
      </c>
      <c r="CS42" s="57" t="n">
        <f aca="false">CJ42*CM42</f>
        <v>0.000867474592318645</v>
      </c>
      <c r="CT42" s="57" t="n">
        <f aca="false">CJ42*CN42</f>
        <v>0.000194504015276741</v>
      </c>
      <c r="CU42" s="57" t="n">
        <f aca="false">CJ42*CO42</f>
        <v>0.000285052066389337</v>
      </c>
      <c r="CV42" s="57" t="n">
        <f aca="false">CJ42*CP42</f>
        <v>0.00253533643312159</v>
      </c>
      <c r="CW42" s="57" t="n">
        <f aca="false">CQ42*f_stroke_fatal</f>
        <v>0.000202287146224787</v>
      </c>
      <c r="CX42" s="57" t="n">
        <f aca="false">CQ42*(1-f_stroke_fatal)*f_stroke_major</f>
        <v>0.00021686462373691</v>
      </c>
      <c r="CY42" s="57" t="n">
        <f aca="false">CQ42*(1-f_stroke_fatal)*(1-f_stroke_major)</f>
        <v>0.000434380492590147</v>
      </c>
      <c r="CZ42" s="57" t="n">
        <f aca="false">CR42*(1-f_bleed_fatal)</f>
        <v>8.54521372713206E-005</v>
      </c>
      <c r="DA42" s="57" t="n">
        <f aca="false">CS42*(1-f_bleed_fatal)</f>
        <v>0.000794606726563879</v>
      </c>
      <c r="DB42" s="57" t="n">
        <f aca="false">CT42*f_mi_fatal</f>
        <v>2.35349858484857E-005</v>
      </c>
      <c r="DC42" s="57" t="n">
        <f aca="false">CT42-DB42</f>
        <v>0.000170969029428256</v>
      </c>
      <c r="DD42" s="57" t="n">
        <f aca="false">CJ42-CQ42-CR42-CS42-DB42</f>
        <v>0.0893016714413724</v>
      </c>
      <c r="DE42" s="19" t="n">
        <f aca="false">CW42*c_stroke_fatal+CX42*c_stroke_major+CY42*c_stroke_minor+CR42*c_ich+CS42*c_major_bleed+DB42*c_mi_fatal+DC42*c_mi_nonfatal+CU42*c_tia+CV42*c_minor_bleed</f>
        <v>43.8086812700606</v>
      </c>
      <c r="DF42" s="57" t="n">
        <f aca="false">dt*(DC42*dec_mi+DA42*dec_major_bleed+CV42*dec_minor_bleed+CU42*dec_tia)</f>
        <v>3.91986709977728E-005</v>
      </c>
      <c r="DG42" s="57" t="n">
        <f aca="false">J42*CI42+CW42+CR42-CZ42+CS42-DA42+DB42</f>
        <v>0.00234358714310866</v>
      </c>
      <c r="DH42" s="57" t="n">
        <f aca="false">AG42</f>
        <v>0.393333035603535</v>
      </c>
      <c r="DI42" s="57" t="n">
        <f aca="false">AB42+AC42+BF42+BA42+BB42+BC42+CY42+CZ42</f>
        <v>0.0354638543198299</v>
      </c>
      <c r="DJ42" s="57" t="n">
        <f aca="false">AA42+AZ42+BY42+CX42+CE42+BZ42+CA42+CB42</f>
        <v>0.0158815656327638</v>
      </c>
      <c r="DK42" s="57" t="n">
        <f aca="false">AD42+DD42+DA42</f>
        <v>0.092538233257189</v>
      </c>
      <c r="DL42" s="57" t="n">
        <f aca="false">K42+AJ42+BI42+CH42+DG42</f>
        <v>0.462783311186682</v>
      </c>
      <c r="DM42" s="58" t="n">
        <f aca="false">SUM(DH42:DL42)</f>
        <v>1</v>
      </c>
      <c r="DN42" s="19" t="n">
        <f aca="false">dt*(G42*Apixaban!$H$2+(H42+I42+J42)*c_aspirin)</f>
        <v>31.7810100983243</v>
      </c>
      <c r="DO42" s="19" t="n">
        <f aca="false">dt*(H42*c_lt_minor_stroke+I42*c_lt_major_stroke)</f>
        <v>201.473572219163</v>
      </c>
      <c r="DP42" s="19" t="n">
        <f aca="false">AH42+BG42+CF42+DE42</f>
        <v>191.402043966759</v>
      </c>
      <c r="DQ42" s="19" t="n">
        <f aca="false">DN42+DO42+DP42</f>
        <v>424.656626284246</v>
      </c>
      <c r="DR42" s="57" t="n">
        <f aca="false">dt*(G42*(u_af-dec_per_year_over_70*MAX(B42-ref_age,0))+H42*(u_minor_stroke-dec_per_year_over_70*MAX(B42-ref_age,0))+I42*(u_major_stroke-dec_per_year_over_70*MAX(B42-ref_age,0))+J42*(u_af-dec_per_year_over_70*MAX(B42-ref_age,0)))-AI42-BH42-CG42-DF42</f>
        <v>0.10880869188942</v>
      </c>
      <c r="DS42" s="57" t="n">
        <f aca="false">dt*(G42+H42+I42+J42)</f>
        <v>0.138053808770192</v>
      </c>
      <c r="DT42" s="19" t="n">
        <f aca="false">DQ42*C42</f>
        <v>371.401390096871</v>
      </c>
      <c r="DU42" s="19" t="n">
        <f aca="false">DN42*C42</f>
        <v>27.7954248176493</v>
      </c>
      <c r="DV42" s="19" t="n">
        <f aca="false">DP42*C42</f>
        <v>167.398742411367</v>
      </c>
      <c r="DW42" s="19" t="n">
        <f aca="false">DO42*C42</f>
        <v>176.207222867855</v>
      </c>
      <c r="DX42" s="57" t="n">
        <f aca="false">DR42*C42</f>
        <v>0.0951632375925837</v>
      </c>
      <c r="DY42" s="57" t="n">
        <f aca="false">DS42*C42</f>
        <v>0.120740789880191</v>
      </c>
      <c r="DZ42" s="57" t="n">
        <f aca="false">T42+AS42+BR42+CQ42</f>
        <v>0.00368857659474038</v>
      </c>
      <c r="EA42" s="57" t="n">
        <f aca="false">U42+AT42+BS42+CR42</f>
        <v>0.000479699665500642</v>
      </c>
      <c r="EB42" s="57" t="n">
        <f aca="false">V42+AU42+BT42+CS42</f>
        <v>0.00400300428076624</v>
      </c>
      <c r="EC42" s="57" t="n">
        <f aca="false">G42*dt*C42</f>
        <v>0.089016747567942</v>
      </c>
    </row>
    <row r="43" customFormat="false" ht="15" hidden="false" customHeight="false" outlineLevel="0" collapsed="false">
      <c r="A43" s="8" t="n">
        <v>37</v>
      </c>
      <c r="B43" s="54" t="n">
        <f aca="false">start_age+A43*dt</f>
        <v>79.25</v>
      </c>
      <c r="C43" s="16" t="n">
        <f aca="false">(1+disc_rate)^-(A43*dt)</f>
        <v>0.871342924935355</v>
      </c>
      <c r="D43" s="55" t="n">
        <f aca="false">IF(A43*dt&gt;=wane_start,(1-wane_decay)^(A43*dt-wane_start),1)</f>
        <v>1</v>
      </c>
      <c r="E43" s="25" t="n">
        <f aca="false">MIN(p_nonvasc_death*MIN(EXP(gomp_int+gomp_slope*INT(B43)),1)/qx_ref,0.999)</f>
        <v>0.0846232874094045</v>
      </c>
      <c r="F43" s="55" t="n">
        <f aca="false">rr_stroke_per_decade^((B43-ref_age)/10)</f>
        <v>1.45507176873791</v>
      </c>
      <c r="G43" s="57" t="n">
        <f aca="false">DH42</f>
        <v>0.393333035603535</v>
      </c>
      <c r="H43" s="57" t="n">
        <f aca="false">DI42</f>
        <v>0.0354638543198299</v>
      </c>
      <c r="I43" s="57" t="n">
        <f aca="false">DJ42</f>
        <v>0.0158815656327638</v>
      </c>
      <c r="J43" s="57" t="n">
        <f aca="false">DK42</f>
        <v>0.092538233257189</v>
      </c>
      <c r="K43" s="57" t="n">
        <f aca="false">DL42</f>
        <v>0.462783311186682</v>
      </c>
      <c r="L43" s="57" t="n">
        <f aca="false">1-EXP(LN(1-E43)*dt)</f>
        <v>0.0218623746896884</v>
      </c>
      <c r="M43" s="57" t="n">
        <f aca="false">G43*(1-L43)</f>
        <v>0.384733841401338</v>
      </c>
      <c r="N43" s="57" t="n">
        <f aca="false">IF(Apixaban!$B$2=1,EXP(LN(or_apx_stroke)*D43)*(1-EXP(-r_stroke*F43*dt))/(1-(1-EXP(-r_stroke*F43*dt))+EXP(LN(or_apx_stroke)*D43)*(1-EXP(-r_stroke*F43*dt))),(1-EXP(-r_stroke*F43*dt)))</f>
        <v>0.00462732132722167</v>
      </c>
      <c r="O43" s="57" t="n">
        <f aca="false">IF(Apixaban!$B$2=1,EXP(LN(or_apx_ich)*D43)*(1-EXP(-r_ich*dt))/(1-(1-EXP(-r_ich*dt))+EXP(LN(or_apx_ich)*D43)*(1-EXP(-r_ich*dt))),(1-EXP(-r_ich*dt)))</f>
        <v>0.000843513249640701</v>
      </c>
      <c r="P43" s="57" t="n">
        <f aca="false">IF(Apixaban!$B$2=1,EXP(LN(or_apx_mb)*D43)*(1-EXP(-r_mb*dt))/(1-(1-EXP(-r_mb*dt))+EXP(LN(or_apx_mb)*D43)*(1-EXP(-r_mb*dt))),(1-EXP(-r_mb*dt)))</f>
        <v>0.00669446907979895</v>
      </c>
      <c r="Q43" s="57" t="n">
        <f aca="false">IF(Apixaban!$B$2=1,EXP(LN(or_apx_mi)*D43)*(1-EXP(-r_mi*dt))/(1-(1-EXP(-r_mi*dt))+EXP(LN(or_apx_mi)*D43)*(1-EXP(-r_mi*dt))),(1-EXP(-r_mi*dt)))</f>
        <v>0.00132321915530843</v>
      </c>
      <c r="R43" s="57" t="n">
        <f aca="false">(1-EXP(-r_tia*dt))</f>
        <v>0.0020060281549299</v>
      </c>
      <c r="S43" s="57" t="n">
        <f aca="false">(1-EXP(-r_minor*dt))</f>
        <v>0.0437937690785545</v>
      </c>
      <c r="T43" s="57" t="n">
        <f aca="false">M43*N43</f>
        <v>0.00178028710962033</v>
      </c>
      <c r="U43" s="57" t="n">
        <f aca="false">M43*O43</f>
        <v>0.000324528092807193</v>
      </c>
      <c r="V43" s="57" t="n">
        <f aca="false">M43*P43</f>
        <v>0.00257558880521353</v>
      </c>
      <c r="W43" s="57" t="n">
        <f aca="false">M43*Q43</f>
        <v>0.000509087188637646</v>
      </c>
      <c r="X43" s="57" t="n">
        <f aca="false">M43*R43</f>
        <v>0.000771786918005418</v>
      </c>
      <c r="Y43" s="57" t="n">
        <f aca="false">M43*S43</f>
        <v>0.0168489450070354</v>
      </c>
      <c r="Z43" s="57" t="n">
        <f aca="false">T43*f_stroke_fatal</f>
        <v>0.000421928044980019</v>
      </c>
      <c r="AA43" s="57" t="n">
        <f aca="false">T43*(1-f_stroke_fatal)*f_stroke_major</f>
        <v>0.000452333568525225</v>
      </c>
      <c r="AB43" s="57" t="n">
        <f aca="false">T43*(1-f_stroke_fatal)*(1-f_stroke_major)</f>
        <v>0.00090602549611509</v>
      </c>
      <c r="AC43" s="57" t="n">
        <f aca="false">U43*(1-f_bleed_fatal)</f>
        <v>0.000297267733011389</v>
      </c>
      <c r="AD43" s="57" t="n">
        <f aca="false">V43*(1-f_bleed_fatal)</f>
        <v>0.0023592393455756</v>
      </c>
      <c r="AE43" s="57" t="n">
        <f aca="false">W43*f_mi_fatal</f>
        <v>6.15995498251552E-005</v>
      </c>
      <c r="AF43" s="57" t="n">
        <f aca="false">W43-AE43</f>
        <v>0.000447487638812491</v>
      </c>
      <c r="AG43" s="57" t="n">
        <f aca="false">M43-T43-U43-V43-AE43</f>
        <v>0.379991837843872</v>
      </c>
      <c r="AH43" s="19" t="n">
        <f aca="false">Z43*c_stroke_fatal+AA43*c_stroke_major+AB43*c_stroke_minor+U43*c_ich+V43*c_major_bleed+AE43*c_mi_fatal+AF43*c_mi_nonfatal+X43*c_tia+Y43*c_minor_bleed</f>
        <v>103.162623877251</v>
      </c>
      <c r="AI43" s="57" t="n">
        <f aca="false">dt*(AF43*dec_mi+AD43*dec_major_bleed+Y43*dec_minor_bleed+X43*dec_tia)</f>
        <v>0.000142879078072634</v>
      </c>
      <c r="AJ43" s="57" t="n">
        <f aca="false">G43*L43+Z43+U43-AC43+V43-AD43+AE43</f>
        <v>0.00932633161643597</v>
      </c>
      <c r="AK43" s="57" t="n">
        <f aca="false">1-EXP(LN(1-E43)*hr_death_prior_stroke*dt)</f>
        <v>0.049570474672099</v>
      </c>
      <c r="AL43" s="57" t="n">
        <f aca="false">H43*(1-AK43)</f>
        <v>0.0337058942274938</v>
      </c>
      <c r="AM43" s="57" t="n">
        <f aca="false">(1-EXP(-r_stroke*F43*rr_stroke_prior*rr_asa_stroke*dt))</f>
        <v>0.0206941188294866</v>
      </c>
      <c r="AN43" s="57" t="n">
        <f aca="false">(1-EXP(-r_ich*rr_asa_ich*dt))</f>
        <v>0.00102357767802375</v>
      </c>
      <c r="AO43" s="57" t="n">
        <f aca="false">(1-EXP(-r_mb*rr_asa_mb*dt))</f>
        <v>0.00951809672747972</v>
      </c>
      <c r="AP43" s="57" t="n">
        <f aca="false">(1-EXP(-r_mi*rr_asa_mi*dt))</f>
        <v>0.00213413516393479</v>
      </c>
      <c r="AQ43" s="57" t="n">
        <f aca="false">(1-EXP(-r_tia*rr_asa_tia*dt))</f>
        <v>0.00312764565589152</v>
      </c>
      <c r="AR43" s="57" t="n">
        <f aca="false">(1-EXP(-r_minor*rr_asa_minor*dt))</f>
        <v>0.0278181950466747</v>
      </c>
      <c r="AS43" s="57" t="n">
        <f aca="false">AL43*AM43</f>
        <v>0.000697513780397862</v>
      </c>
      <c r="AT43" s="57" t="n">
        <f aca="false">AL43*AN43</f>
        <v>3.45006009490921E-005</v>
      </c>
      <c r="AU43" s="57" t="n">
        <f aca="false">AL43*AO43</f>
        <v>0.000320815961543486</v>
      </c>
      <c r="AV43" s="57" t="n">
        <f aca="false">AL43*AP43</f>
        <v>7.19329341027612E-005</v>
      </c>
      <c r="AW43" s="57" t="n">
        <f aca="false">AL43*AQ43</f>
        <v>0.00010542009365856</v>
      </c>
      <c r="AX43" s="57" t="n">
        <f aca="false">AL43*AR43</f>
        <v>0.00093763713984301</v>
      </c>
      <c r="AY43" s="57" t="n">
        <f aca="false">AS43*f_stroke_fatal_recur</f>
        <v>0.000259537902548241</v>
      </c>
      <c r="AZ43" s="57" t="n">
        <f aca="false">AS43*(1-f_stroke_fatal_recur)*f_stroke_major</f>
        <v>0.000145845967323924</v>
      </c>
      <c r="BA43" s="57" t="n">
        <f aca="false">AS43*(1-f_stroke_fatal_recur)*(1-f_stroke_major)</f>
        <v>0.000292129910525698</v>
      </c>
      <c r="BB43" s="57" t="n">
        <f aca="false">AT43*(1-f_bleed_fatal)</f>
        <v>3.16025504693684E-005</v>
      </c>
      <c r="BC43" s="57" t="n">
        <f aca="false">AU43*(1-f_bleed_fatal)</f>
        <v>0.000293867420773833</v>
      </c>
      <c r="BD43" s="57" t="n">
        <f aca="false">AV43*f_mi_fatal</f>
        <v>8.70388502643411E-006</v>
      </c>
      <c r="BE43" s="57" t="n">
        <f aca="false">AV43-BD43</f>
        <v>6.32290490763271E-005</v>
      </c>
      <c r="BF43" s="57" t="n">
        <f aca="false">AL43-AS43-AT43-AU43-BD43</f>
        <v>0.0326443599995769</v>
      </c>
      <c r="BG43" s="19" t="n">
        <f aca="false">AY43*c_stroke_fatal+AZ43*c_stroke_major+BA43*c_stroke_minor+AT43*c_ich+AU43*c_major_bleed+BD43*c_mi_fatal+BE43*c_mi_nonfatal+AW43*c_tia+AX43*c_minor_bleed</f>
        <v>28.5886734534587</v>
      </c>
      <c r="BH43" s="57" t="n">
        <f aca="false">dt*(BE43*dec_mi+BC43*dec_major_bleed+AX43*dec_minor_bleed+AW43*dec_tia)</f>
        <v>1.44967465776311E-005</v>
      </c>
      <c r="BI43" s="57" t="n">
        <f aca="false">H43*AK43+AY43+AT43-BB43+AU43-BC43+BD43</f>
        <v>0.00205604847116019</v>
      </c>
      <c r="BJ43" s="57" t="n">
        <f aca="false">1-EXP(LN(1-E43)*hr_death_prior_stroke*dt)</f>
        <v>0.049570474672099</v>
      </c>
      <c r="BK43" s="57" t="n">
        <f aca="false">I43*(1-BJ43)</f>
        <v>0.0150943088858116</v>
      </c>
      <c r="BL43" s="57" t="n">
        <f aca="false">(1-EXP(-r_stroke*F43*rr_stroke_prior*rr_asa_stroke*dt))</f>
        <v>0.0206941188294866</v>
      </c>
      <c r="BM43" s="57" t="n">
        <f aca="false">(1-EXP(-r_ich*rr_asa_ich*dt))</f>
        <v>0.00102357767802375</v>
      </c>
      <c r="BN43" s="57" t="n">
        <f aca="false">(1-EXP(-r_mb*rr_asa_mb*dt))</f>
        <v>0.00951809672747972</v>
      </c>
      <c r="BO43" s="57" t="n">
        <f aca="false">(1-EXP(-r_mi*rr_asa_mi*dt))</f>
        <v>0.00213413516393479</v>
      </c>
      <c r="BP43" s="57" t="n">
        <f aca="false">(1-EXP(-r_tia*rr_asa_tia*dt))</f>
        <v>0.00312764565589152</v>
      </c>
      <c r="BQ43" s="57" t="n">
        <f aca="false">(1-EXP(-r_minor*rr_asa_minor*dt))</f>
        <v>0.0278181950466747</v>
      </c>
      <c r="BR43" s="57" t="n">
        <f aca="false">BK43*BL43</f>
        <v>0.000312363421731961</v>
      </c>
      <c r="BS43" s="57" t="n">
        <f aca="false">BK43*BM43</f>
        <v>1.54501976407123E-005</v>
      </c>
      <c r="BT43" s="57" t="n">
        <f aca="false">BK43*BN43</f>
        <v>0.000143669092009612</v>
      </c>
      <c r="BU43" s="57" t="n">
        <f aca="false">BK43*BO43</f>
        <v>3.2213295368504E-005</v>
      </c>
      <c r="BV43" s="57" t="n">
        <f aca="false">BK43*BP43</f>
        <v>4.72096496153936E-005</v>
      </c>
      <c r="BW43" s="57" t="n">
        <f aca="false">BK43*BQ43</f>
        <v>0.000419896428680264</v>
      </c>
      <c r="BX43" s="57" t="n">
        <f aca="false">BR43*f_stroke_fatal_recur</f>
        <v>0.000116227305592245</v>
      </c>
      <c r="BY43" s="57" t="n">
        <f aca="false">BR43*(1-f_stroke_fatal_recur)*f_stroke_major</f>
        <v>6.53133266745254E-005</v>
      </c>
      <c r="BZ43" s="57" t="n">
        <f aca="false">BR43*(1-f_stroke_fatal_recur)*(1-f_stroke_major)</f>
        <v>0.00013082278946519</v>
      </c>
      <c r="CA43" s="57" t="n">
        <f aca="false">BS43*(1-f_bleed_fatal)</f>
        <v>1.41523810388924E-005</v>
      </c>
      <c r="CB43" s="57" t="n">
        <f aca="false">BT43*(1-f_bleed_fatal)</f>
        <v>0.000131600888280804</v>
      </c>
      <c r="CC43" s="57" t="n">
        <f aca="false">BU43*f_mi_fatal</f>
        <v>3.89780873958899E-006</v>
      </c>
      <c r="CD43" s="57" t="n">
        <f aca="false">BU43-CC43</f>
        <v>2.8315486628915E-005</v>
      </c>
      <c r="CE43" s="57" t="n">
        <f aca="false">BK43-BR43-BS43-BT43-CC43</f>
        <v>0.0146189283656898</v>
      </c>
      <c r="CF43" s="19" t="n">
        <f aca="false">BX43*c_stroke_fatal+BY43*c_stroke_major+BZ43*c_stroke_minor+BS43*c_ich+BT43*c_major_bleed+CC43*c_mi_fatal+CD43*c_mi_nonfatal+BV43*c_tia+BW43*c_minor_bleed</f>
        <v>12.8026945325816</v>
      </c>
      <c r="CG43" s="57" t="n">
        <f aca="false">dt*(CD43*dec_mi+CB43*dec_major_bleed+BW43*dec_minor_bleed+BV43*dec_tia)</f>
        <v>6.49199125841934E-006</v>
      </c>
      <c r="CH43" s="57" t="n">
        <f aca="false">I43*BJ43+BX43+BS43-CA43+BT43-CB43+CC43</f>
        <v>0.000920747881614659</v>
      </c>
      <c r="CI43" s="57" t="n">
        <f aca="false">1-EXP(LN(1-E43)*dt)</f>
        <v>0.0218623746896884</v>
      </c>
      <c r="CJ43" s="57" t="n">
        <f aca="false">J43*(1-CI43)</f>
        <v>0.0905151277285985</v>
      </c>
      <c r="CK43" s="57" t="n">
        <f aca="false">(1-EXP(-r_stroke*F43*rr_asa_stroke*dt))</f>
        <v>0.00946007958444561</v>
      </c>
      <c r="CL43" s="57" t="n">
        <f aca="false">(1-EXP(-r_ich*rr_asa_ich*dt))</f>
        <v>0.00102357767802375</v>
      </c>
      <c r="CM43" s="57" t="n">
        <f aca="false">(1-EXP(-r_mb*rr_asa_mb*dt))</f>
        <v>0.00951809672747972</v>
      </c>
      <c r="CN43" s="57" t="n">
        <f aca="false">(1-EXP(-r_mi*rr_asa_mi*dt))</f>
        <v>0.00213413516393479</v>
      </c>
      <c r="CO43" s="57" t="n">
        <f aca="false">(1-EXP(-r_tia*rr_asa_tia*dt))</f>
        <v>0.00312764565589152</v>
      </c>
      <c r="CP43" s="57" t="n">
        <f aca="false">(1-EXP(-r_minor*rr_asa_minor*dt))</f>
        <v>0.0278181950466747</v>
      </c>
      <c r="CQ43" s="57" t="n">
        <f aca="false">CJ43*CK43</f>
        <v>0.000856280311908802</v>
      </c>
      <c r="CR43" s="57" t="n">
        <f aca="false">CJ43*CL43</f>
        <v>9.26492642664617E-005</v>
      </c>
      <c r="CS43" s="57" t="n">
        <f aca="false">CJ43*CM43</f>
        <v>0.000861531741020982</v>
      </c>
      <c r="CT43" s="57" t="n">
        <f aca="false">CJ43*CN43</f>
        <v>0.000193171516953651</v>
      </c>
      <c r="CU43" s="57" t="n">
        <f aca="false">CJ43*CO43</f>
        <v>0.000283099246032817</v>
      </c>
      <c r="CV43" s="57" t="n">
        <f aca="false">CJ43*CP43</f>
        <v>0.00251796747782883</v>
      </c>
      <c r="CW43" s="57" t="n">
        <f aca="false">CQ43*f_stroke_fatal</f>
        <v>0.000202938433922386</v>
      </c>
      <c r="CX43" s="57" t="n">
        <f aca="false">CQ43*(1-f_stroke_fatal)*f_stroke_major</f>
        <v>0.000217562845369476</v>
      </c>
      <c r="CY43" s="57" t="n">
        <f aca="false">CQ43*(1-f_stroke_fatal)*(1-f_stroke_major)</f>
        <v>0.000435779032616939</v>
      </c>
      <c r="CZ43" s="57" t="n">
        <f aca="false">CR43*(1-f_bleed_fatal)</f>
        <v>8.48667260680789E-005</v>
      </c>
      <c r="DA43" s="57" t="n">
        <f aca="false">CS43*(1-f_bleed_fatal)</f>
        <v>0.00078916307477522</v>
      </c>
      <c r="DB43" s="57" t="n">
        <f aca="false">CT43*f_mi_fatal</f>
        <v>2.33737535513918E-005</v>
      </c>
      <c r="DC43" s="57" t="n">
        <f aca="false">CT43-DB43</f>
        <v>0.000169797763402259</v>
      </c>
      <c r="DD43" s="57" t="n">
        <f aca="false">CJ43-CQ43-CR43-CS43-DB43</f>
        <v>0.0886812926578509</v>
      </c>
      <c r="DE43" s="19" t="n">
        <f aca="false">CW43*c_stroke_fatal+CX43*c_stroke_major+CY43*c_stroke_minor+CR43*c_ich+CS43*c_major_bleed+DB43*c_mi_fatal+DC43*c_mi_nonfatal+CU43*c_tia+CV43*c_minor_bleed</f>
        <v>43.8261380811379</v>
      </c>
      <c r="DF43" s="57" t="n">
        <f aca="false">dt*(DC43*dec_mi+DA43*dec_major_bleed+CV43*dec_minor_bleed+CU43*dec_tia)</f>
        <v>3.89301307144394E-005</v>
      </c>
      <c r="DG43" s="57" t="n">
        <f aca="false">J43*CI43+CW43+CR43-CZ43+CS43-DA43+DB43</f>
        <v>0.00232956892050838</v>
      </c>
      <c r="DH43" s="57" t="n">
        <f aca="false">AG43</f>
        <v>0.379991837843872</v>
      </c>
      <c r="DI43" s="57" t="n">
        <f aca="false">AB43+AC43+BF43+BA43+BB43+BC43+CY43+CZ43</f>
        <v>0.0349858988691573</v>
      </c>
      <c r="DJ43" s="57" t="n">
        <f aca="false">AA43+AZ43+BY43+CX43+CE43+BZ43+CA43+CB43</f>
        <v>0.0157765601323678</v>
      </c>
      <c r="DK43" s="57" t="n">
        <f aca="false">AD43+DD43+DA43</f>
        <v>0.0918296950782017</v>
      </c>
      <c r="DL43" s="57" t="n">
        <f aca="false">K43+AJ43+BI43+CH43+DG43</f>
        <v>0.477416008076401</v>
      </c>
      <c r="DM43" s="58" t="n">
        <f aca="false">SUM(DH43:DL43)</f>
        <v>1</v>
      </c>
      <c r="DN43" s="19" t="n">
        <f aca="false">dt*(G43*Apixaban!$H$2+(H43+I43+J43)*c_aspirin)</f>
        <v>30.7406752494333</v>
      </c>
      <c r="DO43" s="19" t="n">
        <f aca="false">dt*(H43*c_lt_minor_stroke+I43*c_lt_major_stroke)</f>
        <v>199.555782548963</v>
      </c>
      <c r="DP43" s="19" t="n">
        <f aca="false">AH43+BG43+CF43+DE43</f>
        <v>188.380129944429</v>
      </c>
      <c r="DQ43" s="19" t="n">
        <f aca="false">DN43+DO43+DP43</f>
        <v>418.676587742825</v>
      </c>
      <c r="DR43" s="57" t="n">
        <f aca="false">dt*(G43*(u_af-dec_per_year_over_70*MAX(B43-ref_age,0))+H43*(u_minor_stroke-dec_per_year_over_70*MAX(B43-ref_age,0))+I43*(u_major_stroke-dec_per_year_over_70*MAX(B43-ref_age,0))+J43*(u_af-dec_per_year_over_70*MAX(B43-ref_age,0)))-AI43-BH43-CG43-DF43</f>
        <v>0.105795887923071</v>
      </c>
      <c r="DS43" s="57" t="n">
        <f aca="false">dt*(G43+H43+I43+J43)</f>
        <v>0.13430417220333</v>
      </c>
      <c r="DT43" s="19" t="n">
        <f aca="false">DQ43*C43</f>
        <v>364.810882565787</v>
      </c>
      <c r="DU43" s="19" t="n">
        <f aca="false">DN43*C43</f>
        <v>26.7856698863291</v>
      </c>
      <c r="DV43" s="19" t="n">
        <f aca="false">DP43*C43</f>
        <v>164.143693425481</v>
      </c>
      <c r="DW43" s="19" t="n">
        <f aca="false">DO43*C43</f>
        <v>173.881519253977</v>
      </c>
      <c r="DX43" s="57" t="n">
        <f aca="false">DR43*C43</f>
        <v>0.0921844984290213</v>
      </c>
      <c r="DY43" s="57" t="n">
        <f aca="false">DS43*C43</f>
        <v>0.117024990238671</v>
      </c>
      <c r="DZ43" s="57" t="n">
        <f aca="false">T43+AS43+BR43+CQ43</f>
        <v>0.00364644462365896</v>
      </c>
      <c r="EA43" s="57" t="n">
        <f aca="false">U43+AT43+BS43+CR43</f>
        <v>0.000467128155663459</v>
      </c>
      <c r="EB43" s="57" t="n">
        <f aca="false">V43+AU43+BT43+CS43</f>
        <v>0.00390160559978761</v>
      </c>
      <c r="EC43" s="57" t="n">
        <f aca="false">G43*dt*C43</f>
        <v>0.0856819894291217</v>
      </c>
    </row>
    <row r="44" customFormat="false" ht="15" hidden="false" customHeight="false" outlineLevel="0" collapsed="false">
      <c r="A44" s="8" t="n">
        <v>38</v>
      </c>
      <c r="B44" s="54" t="n">
        <f aca="false">start_age+A44*dt</f>
        <v>79.5</v>
      </c>
      <c r="C44" s="16" t="n">
        <f aca="false">(1+disc_rate)^-(A44*dt)</f>
        <v>0.868105681640852</v>
      </c>
      <c r="D44" s="55" t="n">
        <f aca="false">IF(A44*dt&gt;=wane_start,(1-wane_decay)^(A44*dt-wane_start),1)</f>
        <v>1</v>
      </c>
      <c r="E44" s="25" t="n">
        <f aca="false">MIN(p_nonvasc_death*MIN(EXP(gomp_int+gomp_slope*INT(B44)),1)/qx_ref,0.999)</f>
        <v>0.0846232874094045</v>
      </c>
      <c r="F44" s="55" t="n">
        <f aca="false">rr_stroke_per_decade^((B44-ref_age)/10)</f>
        <v>1.46989629796884</v>
      </c>
      <c r="G44" s="57" t="n">
        <f aca="false">DH43</f>
        <v>0.379991837843872</v>
      </c>
      <c r="H44" s="57" t="n">
        <f aca="false">DI43</f>
        <v>0.0349858988691573</v>
      </c>
      <c r="I44" s="57" t="n">
        <f aca="false">DJ43</f>
        <v>0.0157765601323678</v>
      </c>
      <c r="J44" s="57" t="n">
        <f aca="false">DK43</f>
        <v>0.0918296950782017</v>
      </c>
      <c r="K44" s="57" t="n">
        <f aca="false">DL43</f>
        <v>0.477416008076401</v>
      </c>
      <c r="L44" s="57" t="n">
        <f aca="false">1-EXP(LN(1-E44)*dt)</f>
        <v>0.0218623746896884</v>
      </c>
      <c r="M44" s="57" t="n">
        <f aca="false">G44*(1-L44)</f>
        <v>0.371684313905906</v>
      </c>
      <c r="N44" s="57" t="n">
        <f aca="false">IF(Apixaban!$B$2=1,EXP(LN(or_apx_stroke)*D44)*(1-EXP(-r_stroke*F44*dt))/(1-(1-EXP(-r_stroke*F44*dt))+EXP(LN(or_apx_stroke)*D44)*(1-EXP(-r_stroke*F44*dt))),(1-EXP(-r_stroke*F44*dt)))</f>
        <v>0.00467438412841039</v>
      </c>
      <c r="O44" s="57" t="n">
        <f aca="false">IF(Apixaban!$B$2=1,EXP(LN(or_apx_ich)*D44)*(1-EXP(-r_ich*dt))/(1-(1-EXP(-r_ich*dt))+EXP(LN(or_apx_ich)*D44)*(1-EXP(-r_ich*dt))),(1-EXP(-r_ich*dt)))</f>
        <v>0.000843513249640701</v>
      </c>
      <c r="P44" s="57" t="n">
        <f aca="false">IF(Apixaban!$B$2=1,EXP(LN(or_apx_mb)*D44)*(1-EXP(-r_mb*dt))/(1-(1-EXP(-r_mb*dt))+EXP(LN(or_apx_mb)*D44)*(1-EXP(-r_mb*dt))),(1-EXP(-r_mb*dt)))</f>
        <v>0.00669446907979895</v>
      </c>
      <c r="Q44" s="57" t="n">
        <f aca="false">IF(Apixaban!$B$2=1,EXP(LN(or_apx_mi)*D44)*(1-EXP(-r_mi*dt))/(1-(1-EXP(-r_mi*dt))+EXP(LN(or_apx_mi)*D44)*(1-EXP(-r_mi*dt))),(1-EXP(-r_mi*dt)))</f>
        <v>0.00132321915530843</v>
      </c>
      <c r="R44" s="57" t="n">
        <f aca="false">(1-EXP(-r_tia*dt))</f>
        <v>0.0020060281549299</v>
      </c>
      <c r="S44" s="57" t="n">
        <f aca="false">(1-EXP(-r_minor*dt))</f>
        <v>0.0437937690785545</v>
      </c>
      <c r="T44" s="57" t="n">
        <f aca="false">M44*N44</f>
        <v>0.00173739525770087</v>
      </c>
      <c r="U44" s="57" t="n">
        <f aca="false">M44*O44</f>
        <v>0.000313520643463245</v>
      </c>
      <c r="V44" s="57" t="n">
        <f aca="false">M44*P44</f>
        <v>0.00248822914688938</v>
      </c>
      <c r="W44" s="57" t="n">
        <f aca="false">M44*Q44</f>
        <v>0.000491819803887966</v>
      </c>
      <c r="X44" s="57" t="n">
        <f aca="false">M44*R44</f>
        <v>0.000745609198441049</v>
      </c>
      <c r="Y44" s="57" t="n">
        <f aca="false">M44*S44</f>
        <v>0.0162774570133162</v>
      </c>
      <c r="Z44" s="57" t="n">
        <f aca="false">T44*f_stroke_fatal</f>
        <v>0.000411762676075106</v>
      </c>
      <c r="AA44" s="57" t="n">
        <f aca="false">T44*(1-f_stroke_fatal)*f_stroke_major</f>
        <v>0.00044143564968138</v>
      </c>
      <c r="AB44" s="57" t="n">
        <f aca="false">T44*(1-f_stroke_fatal)*(1-f_stroke_major)</f>
        <v>0.000884196931944385</v>
      </c>
      <c r="AC44" s="57" t="n">
        <f aca="false">U44*(1-f_bleed_fatal)</f>
        <v>0.000287184909412333</v>
      </c>
      <c r="AD44" s="57" t="n">
        <f aca="false">V44*(1-f_bleed_fatal)</f>
        <v>0.00227921789855067</v>
      </c>
      <c r="AE44" s="57" t="n">
        <f aca="false">W44*f_mi_fatal</f>
        <v>5.95101962704439E-005</v>
      </c>
      <c r="AF44" s="57" t="n">
        <f aca="false">W44-AE44</f>
        <v>0.000432309607617522</v>
      </c>
      <c r="AG44" s="57" t="n">
        <f aca="false">M44-T44-U44-V44-AE44</f>
        <v>0.367085658661582</v>
      </c>
      <c r="AH44" s="19" t="n">
        <f aca="false">Z44*c_stroke_fatal+AA44*c_stroke_major+AB44*c_stroke_minor+U44*c_ich+V44*c_major_bleed+AE44*c_mi_fatal+AF44*c_mi_nonfatal+X44*c_tia+Y44*c_minor_bleed</f>
        <v>100.309827082281</v>
      </c>
      <c r="AI44" s="57" t="n">
        <f aca="false">dt*(AF44*dec_mi+AD44*dec_major_bleed+Y44*dec_minor_bleed+X44*dec_tia)</f>
        <v>0.000138032859057848</v>
      </c>
      <c r="AJ44" s="57" t="n">
        <f aca="false">G44*L44+Z44+U44-AC44+V44-AD44+AE44</f>
        <v>0.00901414379270123</v>
      </c>
      <c r="AK44" s="57" t="n">
        <f aca="false">1-EXP(LN(1-E44)*hr_death_prior_stroke*dt)</f>
        <v>0.049570474672099</v>
      </c>
      <c r="AL44" s="57" t="n">
        <f aca="false">H44*(1-AK44)</f>
        <v>0.0332516312553831</v>
      </c>
      <c r="AM44" s="57" t="n">
        <f aca="false">(1-EXP(-r_stroke*F44*rr_stroke_prior*rr_asa_stroke*dt))</f>
        <v>0.0209027352269155</v>
      </c>
      <c r="AN44" s="57" t="n">
        <f aca="false">(1-EXP(-r_ich*rr_asa_ich*dt))</f>
        <v>0.00102357767802375</v>
      </c>
      <c r="AO44" s="57" t="n">
        <f aca="false">(1-EXP(-r_mb*rr_asa_mb*dt))</f>
        <v>0.00951809672747972</v>
      </c>
      <c r="AP44" s="57" t="n">
        <f aca="false">(1-EXP(-r_mi*rr_asa_mi*dt))</f>
        <v>0.00213413516393479</v>
      </c>
      <c r="AQ44" s="57" t="n">
        <f aca="false">(1-EXP(-r_tia*rr_asa_tia*dt))</f>
        <v>0.00312764565589152</v>
      </c>
      <c r="AR44" s="57" t="n">
        <f aca="false">(1-EXP(-r_minor*rr_asa_minor*dt))</f>
        <v>0.0278181950466747</v>
      </c>
      <c r="AS44" s="57" t="n">
        <f aca="false">AL44*AM44</f>
        <v>0.000695050043994303</v>
      </c>
      <c r="AT44" s="57" t="n">
        <f aca="false">AL44*AN44</f>
        <v>3.40356275108869E-005</v>
      </c>
      <c r="AU44" s="57" t="n">
        <f aca="false">AL44*AO44</f>
        <v>0.000316492242635225</v>
      </c>
      <c r="AV44" s="57" t="n">
        <f aca="false">AL44*AP44</f>
        <v>7.09634755203063E-005</v>
      </c>
      <c r="AW44" s="57" t="n">
        <f aca="false">AL44*AQ44</f>
        <v>0.000103999320047206</v>
      </c>
      <c r="AX44" s="57" t="n">
        <f aca="false">AL44*AR44</f>
        <v>0.000925000363882353</v>
      </c>
      <c r="AY44" s="57" t="n">
        <f aca="false">AS44*f_stroke_fatal_recur</f>
        <v>0.00025862117086984</v>
      </c>
      <c r="AZ44" s="57" t="n">
        <f aca="false">AS44*(1-f_stroke_fatal_recur)*f_stroke_major</f>
        <v>0.000145330814750446</v>
      </c>
      <c r="BA44" s="57" t="n">
        <f aca="false">AS44*(1-f_stroke_fatal_recur)*(1-f_stroke_major)</f>
        <v>0.000291098058374017</v>
      </c>
      <c r="BB44" s="57" t="n">
        <f aca="false">AT44*(1-f_bleed_fatal)</f>
        <v>3.11766347999724E-005</v>
      </c>
      <c r="BC44" s="57" t="n">
        <f aca="false">AU44*(1-f_bleed_fatal)</f>
        <v>0.000289906894253866</v>
      </c>
      <c r="BD44" s="57" t="n">
        <f aca="false">AV44*f_mi_fatal</f>
        <v>8.58658053795707E-006</v>
      </c>
      <c r="BE44" s="57" t="n">
        <f aca="false">AV44-BD44</f>
        <v>6.23768949823493E-005</v>
      </c>
      <c r="BF44" s="57" t="n">
        <f aca="false">AL44-AS44-AT44-AU44-BD44</f>
        <v>0.0321974667607048</v>
      </c>
      <c r="BG44" s="19" t="n">
        <f aca="false">AY44*c_stroke_fatal+AZ44*c_stroke_major+BA44*c_stroke_minor+AT44*c_ich+AU44*c_major_bleed+BD44*c_mi_fatal+BE44*c_mi_nonfatal+AW44*c_tia+AX44*c_minor_bleed</f>
        <v>28.4425549001201</v>
      </c>
      <c r="BH44" s="57" t="n">
        <f aca="false">dt*(BE44*dec_mi+BC44*dec_major_bleed+AX44*dec_minor_bleed+AW44*dec_tia)</f>
        <v>1.43013702098705E-005</v>
      </c>
      <c r="BI44" s="57" t="n">
        <f aca="false">H44*AK44+AY44+AT44-BB44+AU44-BC44+BD44</f>
        <v>0.00203091970627425</v>
      </c>
      <c r="BJ44" s="57" t="n">
        <f aca="false">1-EXP(LN(1-E44)*hr_death_prior_stroke*dt)</f>
        <v>0.049570474672099</v>
      </c>
      <c r="BK44" s="57" t="n">
        <f aca="false">I44*(1-BJ44)</f>
        <v>0.0149945085579134</v>
      </c>
      <c r="BL44" s="57" t="n">
        <f aca="false">(1-EXP(-r_stroke*F44*rr_stroke_prior*rr_asa_stroke*dt))</f>
        <v>0.0209027352269155</v>
      </c>
      <c r="BM44" s="57" t="n">
        <f aca="false">(1-EXP(-r_ich*rr_asa_ich*dt))</f>
        <v>0.00102357767802375</v>
      </c>
      <c r="BN44" s="57" t="n">
        <f aca="false">(1-EXP(-r_mb*rr_asa_mb*dt))</f>
        <v>0.00951809672747972</v>
      </c>
      <c r="BO44" s="57" t="n">
        <f aca="false">(1-EXP(-r_mi*rr_asa_mi*dt))</f>
        <v>0.00213413516393479</v>
      </c>
      <c r="BP44" s="57" t="n">
        <f aca="false">(1-EXP(-r_tia*rr_asa_tia*dt))</f>
        <v>0.00312764565589152</v>
      </c>
      <c r="BQ44" s="57" t="n">
        <f aca="false">(1-EXP(-r_minor*rr_asa_minor*dt))</f>
        <v>0.0278181950466747</v>
      </c>
      <c r="BR44" s="57" t="n">
        <f aca="false">BK44*BL44</f>
        <v>0.000313426242243784</v>
      </c>
      <c r="BS44" s="57" t="n">
        <f aca="false">BK44*BM44</f>
        <v>1.53480442528162E-005</v>
      </c>
      <c r="BT44" s="57" t="n">
        <f aca="false">BK44*BN44</f>
        <v>0.000142719182835242</v>
      </c>
      <c r="BU44" s="57" t="n">
        <f aca="false">BK44*BO44</f>
        <v>3.20003079793642E-005</v>
      </c>
      <c r="BV44" s="57" t="n">
        <f aca="false">BK44*BP44</f>
        <v>4.68975095533861E-005</v>
      </c>
      <c r="BW44" s="57" t="n">
        <f aca="false">BK44*BQ44</f>
        <v>0.000417120163693069</v>
      </c>
      <c r="BX44" s="57" t="n">
        <f aca="false">BR44*f_stroke_fatal_recur</f>
        <v>0.000116622770476489</v>
      </c>
      <c r="BY44" s="57" t="n">
        <f aca="false">BR44*(1-f_stroke_fatal_recur)*f_stroke_major</f>
        <v>6.5535556098509E-005</v>
      </c>
      <c r="BZ44" s="57" t="n">
        <f aca="false">BR44*(1-f_stroke_fatal_recur)*(1-f_stroke_major)</f>
        <v>0.000131267915668785</v>
      </c>
      <c r="CA44" s="57" t="n">
        <f aca="false">BS44*(1-f_bleed_fatal)</f>
        <v>1.40588085355796E-005</v>
      </c>
      <c r="CB44" s="57" t="n">
        <f aca="false">BT44*(1-f_bleed_fatal)</f>
        <v>0.000130730771477082</v>
      </c>
      <c r="CC44" s="57" t="n">
        <f aca="false">BU44*f_mi_fatal</f>
        <v>3.87203726550307E-006</v>
      </c>
      <c r="CD44" s="57" t="n">
        <f aca="false">BU44-CC44</f>
        <v>2.81282707138611E-005</v>
      </c>
      <c r="CE44" s="57" t="n">
        <f aca="false">BK44-BR44-BS44-BT44-CC44</f>
        <v>0.0145191430513161</v>
      </c>
      <c r="CF44" s="19" t="n">
        <f aca="false">BX44*c_stroke_fatal+BY44*c_stroke_major+BZ44*c_stroke_minor+BS44*c_ich+BT44*c_major_bleed+CC44*c_mi_fatal+CD44*c_mi_nonfatal+BV44*c_tia+BW44*c_minor_bleed</f>
        <v>12.8259010688304</v>
      </c>
      <c r="CG44" s="57" t="n">
        <f aca="false">dt*(CD44*dec_mi+CB44*dec_major_bleed+BW44*dec_minor_bleed+BV44*dec_tia)</f>
        <v>6.44906760678321E-006</v>
      </c>
      <c r="CH44" s="57" t="n">
        <f aca="false">I44*BJ44+BX44+BS44-CA44+BT44-CB44+CC44</f>
        <v>0.000915824029271774</v>
      </c>
      <c r="CI44" s="57" t="n">
        <f aca="false">1-EXP(LN(1-E44)*dt)</f>
        <v>0.0218623746896884</v>
      </c>
      <c r="CJ44" s="57" t="n">
        <f aca="false">J44*(1-CI44)</f>
        <v>0.0898220798767622</v>
      </c>
      <c r="CK44" s="57" t="n">
        <f aca="false">(1-EXP(-r_stroke*F44*rr_asa_stroke*dt))</f>
        <v>0.00955599857827083</v>
      </c>
      <c r="CL44" s="57" t="n">
        <f aca="false">(1-EXP(-r_ich*rr_asa_ich*dt))</f>
        <v>0.00102357767802375</v>
      </c>
      <c r="CM44" s="57" t="n">
        <f aca="false">(1-EXP(-r_mb*rr_asa_mb*dt))</f>
        <v>0.00951809672747972</v>
      </c>
      <c r="CN44" s="57" t="n">
        <f aca="false">(1-EXP(-r_mi*rr_asa_mi*dt))</f>
        <v>0.00213413516393479</v>
      </c>
      <c r="CO44" s="57" t="n">
        <f aca="false">(1-EXP(-r_tia*rr_asa_tia*dt))</f>
        <v>0.00312764565589152</v>
      </c>
      <c r="CP44" s="57" t="n">
        <f aca="false">(1-EXP(-r_minor*rr_asa_minor*dt))</f>
        <v>0.0278181950466747</v>
      </c>
      <c r="CQ44" s="57" t="n">
        <f aca="false">CJ44*CK44</f>
        <v>0.000858339667599669</v>
      </c>
      <c r="CR44" s="57" t="n">
        <f aca="false">CJ44*CL44</f>
        <v>9.19398759555197E-005</v>
      </c>
      <c r="CS44" s="57" t="n">
        <f aca="false">CJ44*CM44</f>
        <v>0.000854935244530432</v>
      </c>
      <c r="CT44" s="57" t="n">
        <f aca="false">CJ44*CN44</f>
        <v>0.000191692459162758</v>
      </c>
      <c r="CU44" s="57" t="n">
        <f aca="false">CJ44*CO44</f>
        <v>0.000280931637929697</v>
      </c>
      <c r="CV44" s="57" t="n">
        <f aca="false">CJ44*CP44</f>
        <v>0.00249868813750977</v>
      </c>
      <c r="CW44" s="57" t="n">
        <f aca="false">CQ44*f_stroke_fatal</f>
        <v>0.000203426501221121</v>
      </c>
      <c r="CX44" s="57" t="n">
        <f aca="false">CQ44*(1-f_stroke_fatal)*f_stroke_major</f>
        <v>0.000218086084404056</v>
      </c>
      <c r="CY44" s="57" t="n">
        <f aca="false">CQ44*(1-f_stroke_fatal)*(1-f_stroke_major)</f>
        <v>0.000436827081974491</v>
      </c>
      <c r="CZ44" s="57" t="n">
        <f aca="false">CR44*(1-f_bleed_fatal)</f>
        <v>8.42169263752561E-005</v>
      </c>
      <c r="DA44" s="57" t="n">
        <f aca="false">CS44*(1-f_bleed_fatal)</f>
        <v>0.000783120683989876</v>
      </c>
      <c r="DB44" s="57" t="n">
        <f aca="false">CT44*f_mi_fatal</f>
        <v>2.31947875586937E-005</v>
      </c>
      <c r="DC44" s="57" t="n">
        <f aca="false">CT44-DB44</f>
        <v>0.000168497671604064</v>
      </c>
      <c r="DD44" s="57" t="n">
        <f aca="false">CJ44-CQ44-CR44-CS44-DB44</f>
        <v>0.0879936703011179</v>
      </c>
      <c r="DE44" s="19" t="n">
        <f aca="false">CW44*c_stroke_fatal+CX44*c_stroke_major+CY44*c_stroke_minor+CR44*c_ich+CS44*c_major_bleed+DB44*c_mi_fatal+DC44*c_mi_nonfatal+CU44*c_tia+CV44*c_minor_bleed</f>
        <v>43.8089017800525</v>
      </c>
      <c r="DF44" s="57" t="n">
        <f aca="false">dt*(DC44*dec_mi+DA44*dec_major_bleed+CV44*dec_minor_bleed+CU44*dec_tia)</f>
        <v>3.86320540929906E-005</v>
      </c>
      <c r="DG44" s="57" t="n">
        <f aca="false">J44*CI44+CW44+CR44-CZ44+CS44-DA44+DB44</f>
        <v>0.00231377400034012</v>
      </c>
      <c r="DH44" s="57" t="n">
        <f aca="false">AG44</f>
        <v>0.367085658661582</v>
      </c>
      <c r="DI44" s="57" t="n">
        <f aca="false">AB44+AC44+BF44+BA44+BB44+BC44+CY44+CZ44</f>
        <v>0.0345020741978391</v>
      </c>
      <c r="DJ44" s="57" t="n">
        <f aca="false">AA44+AZ44+BY44+CX44+CE44+BZ44+CA44+CB44</f>
        <v>0.0156655886519319</v>
      </c>
      <c r="DK44" s="57" t="n">
        <f aca="false">AD44+DD44+DA44</f>
        <v>0.0910560088836585</v>
      </c>
      <c r="DL44" s="57" t="n">
        <f aca="false">K44+AJ44+BI44+CH44+DG44</f>
        <v>0.491690669604988</v>
      </c>
      <c r="DM44" s="58" t="n">
        <f aca="false">SUM(DH44:DL44)</f>
        <v>1</v>
      </c>
      <c r="DN44" s="19" t="n">
        <f aca="false">dt*(G44*Apixaban!$H$2+(H44+I44+J44)*c_aspirin)</f>
        <v>29.7330296571574</v>
      </c>
      <c r="DO44" s="19" t="n">
        <f aca="false">dt*(H44*c_lt_minor_stroke+I44*c_lt_major_stroke)</f>
        <v>197.578163320819</v>
      </c>
      <c r="DP44" s="19" t="n">
        <f aca="false">AH44+BG44+CF44+DE44</f>
        <v>185.387184831284</v>
      </c>
      <c r="DQ44" s="19" t="n">
        <f aca="false">DN44+DO44+DP44</f>
        <v>412.698377809261</v>
      </c>
      <c r="DR44" s="57" t="n">
        <f aca="false">dt*(G44*(u_af-dec_per_year_over_70*MAX(B44-ref_age,0))+H44*(u_minor_stroke-dec_per_year_over_70*MAX(B44-ref_age,0))+I44*(u_major_stroke-dec_per_year_over_70*MAX(B44-ref_age,0))+J44*(u_af-dec_per_year_over_70*MAX(B44-ref_age,0)))-AI44-BH44-CG44-DF44</f>
        <v>0.102858192354288</v>
      </c>
      <c r="DS44" s="57" t="n">
        <f aca="false">dt*(G44+H44+I44+J44)</f>
        <v>0.1306459979809</v>
      </c>
      <c r="DT44" s="19" t="n">
        <f aca="false">DQ44*C44</f>
        <v>358.265806580183</v>
      </c>
      <c r="DU44" s="19" t="n">
        <f aca="false">DN44*C44</f>
        <v>25.8114119777743</v>
      </c>
      <c r="DV44" s="19" t="n">
        <f aca="false">DP44*C44</f>
        <v>160.935668455441</v>
      </c>
      <c r="DW44" s="19" t="n">
        <f aca="false">DO44*C44</f>
        <v>171.518726146968</v>
      </c>
      <c r="DX44" s="57" t="n">
        <f aca="false">DR44*C44</f>
        <v>0.0892917811860655</v>
      </c>
      <c r="DY44" s="57" t="n">
        <f aca="false">DS44*C44</f>
        <v>0.113414533130858</v>
      </c>
      <c r="DZ44" s="57" t="n">
        <f aca="false">T44+AS44+BR44+CQ44</f>
        <v>0.00360421121153863</v>
      </c>
      <c r="EA44" s="57" t="n">
        <f aca="false">U44+AT44+BS44+CR44</f>
        <v>0.000454844191182468</v>
      </c>
      <c r="EB44" s="57" t="n">
        <f aca="false">V44+AU44+BT44+CS44</f>
        <v>0.00380237581689028</v>
      </c>
      <c r="EC44" s="57" t="n">
        <f aca="false">G44*dt*C44</f>
        <v>0.0824682683523537</v>
      </c>
    </row>
    <row r="45" customFormat="false" ht="15" hidden="false" customHeight="false" outlineLevel="0" collapsed="false">
      <c r="A45" s="8" t="n">
        <v>39</v>
      </c>
      <c r="B45" s="54" t="n">
        <f aca="false">start_age+A45*dt</f>
        <v>79.75</v>
      </c>
      <c r="C45" s="16" t="n">
        <f aca="false">(1+disc_rate)^-(A45*dt)</f>
        <v>0.864880465464317</v>
      </c>
      <c r="D45" s="55" t="n">
        <f aca="false">IF(A45*dt&gt;=wane_start,(1-wane_decay)^(A45*dt-wane_start),1)</f>
        <v>1</v>
      </c>
      <c r="E45" s="25" t="n">
        <f aca="false">MIN(p_nonvasc_death*MIN(EXP(gomp_int+gomp_slope*INT(B45)),1)/qx_ref,0.999)</f>
        <v>0.0846232874094045</v>
      </c>
      <c r="F45" s="55" t="n">
        <f aca="false">rr_stroke_per_decade^((B45-ref_age)/10)</f>
        <v>1.48487186213264</v>
      </c>
      <c r="G45" s="57" t="n">
        <f aca="false">DH44</f>
        <v>0.367085658661582</v>
      </c>
      <c r="H45" s="57" t="n">
        <f aca="false">DI44</f>
        <v>0.0345020741978391</v>
      </c>
      <c r="I45" s="57" t="n">
        <f aca="false">DJ44</f>
        <v>0.0156655886519319</v>
      </c>
      <c r="J45" s="57" t="n">
        <f aca="false">DK44</f>
        <v>0.0910560088836585</v>
      </c>
      <c r="K45" s="57" t="n">
        <f aca="false">DL44</f>
        <v>0.491690669604988</v>
      </c>
      <c r="L45" s="57" t="n">
        <f aca="false">1-EXP(LN(1-E45)*dt)</f>
        <v>0.0218623746896884</v>
      </c>
      <c r="M45" s="57" t="n">
        <f aca="false">G45*(1-L45)</f>
        <v>0.359060294448712</v>
      </c>
      <c r="N45" s="57" t="n">
        <f aca="false">IF(Apixaban!$B$2=1,EXP(LN(or_apx_stroke)*D45)*(1-EXP(-r_stroke*F45*dt))/(1-(1-EXP(-r_stroke*F45*dt))+EXP(LN(or_apx_stroke)*D45)*(1-EXP(-r_stroke*F45*dt))),(1-EXP(-r_stroke*F45*dt)))</f>
        <v>0.00472192475144866</v>
      </c>
      <c r="O45" s="57" t="n">
        <f aca="false">IF(Apixaban!$B$2=1,EXP(LN(or_apx_ich)*D45)*(1-EXP(-r_ich*dt))/(1-(1-EXP(-r_ich*dt))+EXP(LN(or_apx_ich)*D45)*(1-EXP(-r_ich*dt))),(1-EXP(-r_ich*dt)))</f>
        <v>0.000843513249640701</v>
      </c>
      <c r="P45" s="57" t="n">
        <f aca="false">IF(Apixaban!$B$2=1,EXP(LN(or_apx_mb)*D45)*(1-EXP(-r_mb*dt))/(1-(1-EXP(-r_mb*dt))+EXP(LN(or_apx_mb)*D45)*(1-EXP(-r_mb*dt))),(1-EXP(-r_mb*dt)))</f>
        <v>0.00669446907979895</v>
      </c>
      <c r="Q45" s="57" t="n">
        <f aca="false">IF(Apixaban!$B$2=1,EXP(LN(or_apx_mi)*D45)*(1-EXP(-r_mi*dt))/(1-(1-EXP(-r_mi*dt))+EXP(LN(or_apx_mi)*D45)*(1-EXP(-r_mi*dt))),(1-EXP(-r_mi*dt)))</f>
        <v>0.00132321915530843</v>
      </c>
      <c r="R45" s="57" t="n">
        <f aca="false">(1-EXP(-r_tia*dt))</f>
        <v>0.0020060281549299</v>
      </c>
      <c r="S45" s="57" t="n">
        <f aca="false">(1-EXP(-r_minor*dt))</f>
        <v>0.0437937690785545</v>
      </c>
      <c r="T45" s="57" t="n">
        <f aca="false">M45*N45</f>
        <v>0.00169545569161981</v>
      </c>
      <c r="U45" s="57" t="n">
        <f aca="false">M45*O45</f>
        <v>0.00030287211578738</v>
      </c>
      <c r="V45" s="57" t="n">
        <f aca="false">M45*P45</f>
        <v>0.00240371803897041</v>
      </c>
      <c r="W45" s="57" t="n">
        <f aca="false">M45*Q45</f>
        <v>0.00047511545952522</v>
      </c>
      <c r="X45" s="57" t="n">
        <f aca="false">M45*R45</f>
        <v>0.000720285059981534</v>
      </c>
      <c r="Y45" s="57" t="n">
        <f aca="false">M45*S45</f>
        <v>0.0157246036203647</v>
      </c>
      <c r="Z45" s="57" t="n">
        <f aca="false">T45*f_stroke_fatal</f>
        <v>0.000401822998913896</v>
      </c>
      <c r="AA45" s="57" t="n">
        <f aca="false">T45*(1-f_stroke_fatal)*f_stroke_major</f>
        <v>0.000430779686671071</v>
      </c>
      <c r="AB45" s="57" t="n">
        <f aca="false">T45*(1-f_stroke_fatal)*(1-f_stroke_major)</f>
        <v>0.000862853006034847</v>
      </c>
      <c r="AC45" s="57" t="n">
        <f aca="false">U45*(1-f_bleed_fatal)</f>
        <v>0.00027743085806124</v>
      </c>
      <c r="AD45" s="57" t="n">
        <f aca="false">V45*(1-f_bleed_fatal)</f>
        <v>0.00220180572369689</v>
      </c>
      <c r="AE45" s="57" t="n">
        <f aca="false">W45*f_mi_fatal</f>
        <v>5.74889706025516E-005</v>
      </c>
      <c r="AF45" s="57" t="n">
        <f aca="false">W45-AE45</f>
        <v>0.000417626488922668</v>
      </c>
      <c r="AG45" s="57" t="n">
        <f aca="false">M45-T45-U45-V45-AE45</f>
        <v>0.354600759631731</v>
      </c>
      <c r="AH45" s="19" t="n">
        <f aca="false">Z45*c_stroke_fatal+AA45*c_stroke_major+AB45*c_stroke_minor+U45*c_ich+V45*c_major_bleed+AE45*c_mi_fatal+AF45*c_mi_nonfatal+X45*c_tia+Y45*c_minor_bleed</f>
        <v>97.5335623230149</v>
      </c>
      <c r="AI45" s="57" t="n">
        <f aca="false">dt*(AF45*dec_mi+AD45*dec_major_bleed+Y45*dec_minor_bleed+X45*dec_tia)</f>
        <v>0.000133344661484572</v>
      </c>
      <c r="AJ45" s="57" t="n">
        <f aca="false">G45*L45+Z45+U45-AC45+V45-AD45+AE45</f>
        <v>0.00871202975538668</v>
      </c>
      <c r="AK45" s="57" t="n">
        <f aca="false">1-EXP(LN(1-E45)*hr_death_prior_stroke*dt)</f>
        <v>0.049570474672099</v>
      </c>
      <c r="AL45" s="57" t="n">
        <f aca="false">H45*(1-AK45)</f>
        <v>0.0327917900026802</v>
      </c>
      <c r="AM45" s="57" t="n">
        <f aca="false">(1-EXP(-r_stroke*F45*rr_stroke_prior*rr_asa_stroke*dt))</f>
        <v>0.0211134319233167</v>
      </c>
      <c r="AN45" s="57" t="n">
        <f aca="false">(1-EXP(-r_ich*rr_asa_ich*dt))</f>
        <v>0.00102357767802375</v>
      </c>
      <c r="AO45" s="57" t="n">
        <f aca="false">(1-EXP(-r_mb*rr_asa_mb*dt))</f>
        <v>0.00951809672747972</v>
      </c>
      <c r="AP45" s="57" t="n">
        <f aca="false">(1-EXP(-r_mi*rr_asa_mi*dt))</f>
        <v>0.00213413516393479</v>
      </c>
      <c r="AQ45" s="57" t="n">
        <f aca="false">(1-EXP(-r_tia*rr_asa_tia*dt))</f>
        <v>0.00312764565589152</v>
      </c>
      <c r="AR45" s="57" t="n">
        <f aca="false">(1-EXP(-r_minor*rr_asa_minor*dt))</f>
        <v>0.0278181950466747</v>
      </c>
      <c r="AS45" s="57" t="n">
        <f aca="false">AL45*AM45</f>
        <v>0.000692347225865287</v>
      </c>
      <c r="AT45" s="57" t="n">
        <f aca="false">AL45*AN45</f>
        <v>3.35649442691857E-005</v>
      </c>
      <c r="AU45" s="57" t="n">
        <f aca="false">AL45*AO45</f>
        <v>0.000312115429112713</v>
      </c>
      <c r="AV45" s="57" t="n">
        <f aca="false">AL45*AP45</f>
        <v>6.99821121330852E-005</v>
      </c>
      <c r="AW45" s="57" t="n">
        <f aca="false">AL45*AQ45</f>
        <v>0.00010256109955079</v>
      </c>
      <c r="AX45" s="57" t="n">
        <f aca="false">AL45*AR45</f>
        <v>0.000912208410224157</v>
      </c>
      <c r="AY45" s="57" t="n">
        <f aca="false">AS45*f_stroke_fatal_recur</f>
        <v>0.000257615479272215</v>
      </c>
      <c r="AZ45" s="57" t="n">
        <f aca="false">AS45*(1-f_stroke_fatal_recur)*f_stroke_major</f>
        <v>0.000144765671615493</v>
      </c>
      <c r="BA45" s="57" t="n">
        <f aca="false">AS45*(1-f_stroke_fatal_recur)*(1-f_stroke_major)</f>
        <v>0.000289966074977579</v>
      </c>
      <c r="BB45" s="57" t="n">
        <f aca="false">AT45*(1-f_bleed_fatal)</f>
        <v>3.07454889505741E-005</v>
      </c>
      <c r="BC45" s="57" t="n">
        <f aca="false">AU45*(1-f_bleed_fatal)</f>
        <v>0.000285897733067245</v>
      </c>
      <c r="BD45" s="57" t="n">
        <f aca="false">AV45*f_mi_fatal</f>
        <v>8.46783556810331E-006</v>
      </c>
      <c r="BE45" s="57" t="n">
        <f aca="false">AV45-BD45</f>
        <v>6.15142765649819E-005</v>
      </c>
      <c r="BF45" s="57" t="n">
        <f aca="false">AL45-AS45-AT45-AU45-BD45</f>
        <v>0.0317452945678649</v>
      </c>
      <c r="BG45" s="19" t="n">
        <f aca="false">AY45*c_stroke_fatal+AZ45*c_stroke_major+BA45*c_stroke_minor+AT45*c_ich+AU45*c_major_bleed+BD45*c_mi_fatal+BE45*c_mi_nonfatal+AW45*c_tia+AX45*c_minor_bleed</f>
        <v>28.2874417771301</v>
      </c>
      <c r="BH45" s="57" t="n">
        <f aca="false">dt*(BE45*dec_mi+BC45*dec_major_bleed+AX45*dec_minor_bleed+AW45*dec_tia)</f>
        <v>1.41035946498637E-005</v>
      </c>
      <c r="BI45" s="57" t="n">
        <f aca="false">H45*AK45+AY45+AT45-BB45+AU45-BC45+BD45</f>
        <v>0.00200540466136326</v>
      </c>
      <c r="BJ45" s="57" t="n">
        <f aca="false">1-EXP(LN(1-E45)*hr_death_prior_stroke*dt)</f>
        <v>0.049570474672099</v>
      </c>
      <c r="BK45" s="57" t="n">
        <f aca="false">I45*(1-BJ45)</f>
        <v>0.0148890379864378</v>
      </c>
      <c r="BL45" s="57" t="n">
        <f aca="false">(1-EXP(-r_stroke*F45*rr_stroke_prior*rr_asa_stroke*dt))</f>
        <v>0.0211134319233167</v>
      </c>
      <c r="BM45" s="57" t="n">
        <f aca="false">(1-EXP(-r_ich*rr_asa_ich*dt))</f>
        <v>0.00102357767802375</v>
      </c>
      <c r="BN45" s="57" t="n">
        <f aca="false">(1-EXP(-r_mb*rr_asa_mb*dt))</f>
        <v>0.00951809672747972</v>
      </c>
      <c r="BO45" s="57" t="n">
        <f aca="false">(1-EXP(-r_mi*rr_asa_mi*dt))</f>
        <v>0.00213413516393479</v>
      </c>
      <c r="BP45" s="57" t="n">
        <f aca="false">(1-EXP(-r_tia*rr_asa_tia*dt))</f>
        <v>0.00312764565589152</v>
      </c>
      <c r="BQ45" s="57" t="n">
        <f aca="false">(1-EXP(-r_minor*rr_asa_minor*dt))</f>
        <v>0.0278181950466747</v>
      </c>
      <c r="BR45" s="57" t="n">
        <f aca="false">BK45*BL45</f>
        <v>0.000314358689930331</v>
      </c>
      <c r="BS45" s="57" t="n">
        <f aca="false">BK45*BM45</f>
        <v>1.52400869301654E-005</v>
      </c>
      <c r="BT45" s="57" t="n">
        <f aca="false">BK45*BN45</f>
        <v>0.000141715303734035</v>
      </c>
      <c r="BU45" s="57" t="n">
        <f aca="false">BK45*BO45</f>
        <v>3.17752195240178E-005</v>
      </c>
      <c r="BV45" s="57" t="n">
        <f aca="false">BK45*BP45</f>
        <v>4.6567634978686E-005</v>
      </c>
      <c r="BW45" s="57" t="n">
        <f aca="false">BK45*BQ45</f>
        <v>0.000414186162764076</v>
      </c>
      <c r="BX45" s="57" t="n">
        <f aca="false">BR45*f_stroke_fatal_recur</f>
        <v>0.000116969724936177</v>
      </c>
      <c r="BY45" s="57" t="n">
        <f aca="false">BR45*(1-f_stroke_fatal_recur)*f_stroke_major</f>
        <v>6.57305253430533E-005</v>
      </c>
      <c r="BZ45" s="57" t="n">
        <f aca="false">BR45*(1-f_stroke_fatal_recur)*(1-f_stroke_major)</f>
        <v>0.000131658439651101</v>
      </c>
      <c r="CA45" s="57" t="n">
        <f aca="false">BS45*(1-f_bleed_fatal)</f>
        <v>1.39599196280315E-005</v>
      </c>
      <c r="CB45" s="57" t="n">
        <f aca="false">BT45*(1-f_bleed_fatal)</f>
        <v>0.000129811218220376</v>
      </c>
      <c r="CC45" s="57" t="n">
        <f aca="false">BU45*f_mi_fatal</f>
        <v>3.84480156240615E-006</v>
      </c>
      <c r="CD45" s="57" t="n">
        <f aca="false">BU45-CC45</f>
        <v>2.79304179616116E-005</v>
      </c>
      <c r="CE45" s="57" t="n">
        <f aca="false">BK45-BR45-BS45-BT45-CC45</f>
        <v>0.0144138791042809</v>
      </c>
      <c r="CF45" s="19" t="n">
        <f aca="false">BX45*c_stroke_fatal+BY45*c_stroke_major+BZ45*c_stroke_minor+BS45*c_ich+BT45*c_major_bleed+CC45*c_mi_fatal+CD45*c_mi_nonfatal+BV45*c_tia+BW45*c_minor_bleed</f>
        <v>12.843848875722</v>
      </c>
      <c r="CG45" s="57" t="n">
        <f aca="false">dt*(CD45*dec_mi+CB45*dec_major_bleed+BW45*dec_minor_bleed+BV45*dec_tia)</f>
        <v>6.40370521005342E-006</v>
      </c>
      <c r="CH45" s="57" t="n">
        <f aca="false">I45*BJ45+BX45+BS45-CA45+BT45-CB45+CC45</f>
        <v>0.000910549444808488</v>
      </c>
      <c r="CI45" s="57" t="n">
        <f aca="false">1-EXP(LN(1-E45)*dt)</f>
        <v>0.0218623746896884</v>
      </c>
      <c r="CJ45" s="57" t="n">
        <f aca="false">J45*(1-CI45)</f>
        <v>0.0890653082996963</v>
      </c>
      <c r="CK45" s="57" t="n">
        <f aca="false">(1-EXP(-r_stroke*F45*rr_asa_stroke*dt))</f>
        <v>0.00965288538106879</v>
      </c>
      <c r="CL45" s="57" t="n">
        <f aca="false">(1-EXP(-r_ich*rr_asa_ich*dt))</f>
        <v>0.00102357767802375</v>
      </c>
      <c r="CM45" s="57" t="n">
        <f aca="false">(1-EXP(-r_mb*rr_asa_mb*dt))</f>
        <v>0.00951809672747972</v>
      </c>
      <c r="CN45" s="57" t="n">
        <f aca="false">(1-EXP(-r_mi*rr_asa_mi*dt))</f>
        <v>0.00213413516393479</v>
      </c>
      <c r="CO45" s="57" t="n">
        <f aca="false">(1-EXP(-r_tia*rr_asa_tia*dt))</f>
        <v>0.00312764565589152</v>
      </c>
      <c r="CP45" s="57" t="n">
        <f aca="false">(1-EXP(-r_minor*rr_asa_minor*dt))</f>
        <v>0.0278181950466747</v>
      </c>
      <c r="CQ45" s="57" t="n">
        <f aca="false">CJ45*CK45</f>
        <v>0.000859737212446523</v>
      </c>
      <c r="CR45" s="57" t="n">
        <f aca="false">CJ45*CL45</f>
        <v>9.11652614618722E-005</v>
      </c>
      <c r="CS45" s="57" t="n">
        <f aca="false">CJ45*CM45</f>
        <v>0.000847732219459312</v>
      </c>
      <c r="CT45" s="57" t="n">
        <f aca="false">CJ45*CN45</f>
        <v>0.000190077406329075</v>
      </c>
      <c r="CU45" s="57" t="n">
        <f aca="false">CJ45*CO45</f>
        <v>0.000278564724594184</v>
      </c>
      <c r="CV45" s="57" t="n">
        <f aca="false">CJ45*CP45</f>
        <v>0.00247763611817317</v>
      </c>
      <c r="CW45" s="57" t="n">
        <f aca="false">CQ45*f_stroke_fatal</f>
        <v>0.000203757719349826</v>
      </c>
      <c r="CX45" s="57" t="n">
        <f aca="false">CQ45*(1-f_stroke_fatal)*f_stroke_major</f>
        <v>0.0002184411712012</v>
      </c>
      <c r="CY45" s="57" t="n">
        <f aca="false">CQ45*(1-f_stroke_fatal)*(1-f_stroke_major)</f>
        <v>0.000437538321895497</v>
      </c>
      <c r="CZ45" s="57" t="n">
        <f aca="false">CR45*(1-f_bleed_fatal)</f>
        <v>8.3507379499075E-005</v>
      </c>
      <c r="DA45" s="57" t="n">
        <f aca="false">CS45*(1-f_bleed_fatal)</f>
        <v>0.00077652271302473</v>
      </c>
      <c r="DB45" s="57" t="n">
        <f aca="false">CT45*f_mi_fatal</f>
        <v>2.29993661658181E-005</v>
      </c>
      <c r="DC45" s="57" t="n">
        <f aca="false">CT45-DB45</f>
        <v>0.000167078040163257</v>
      </c>
      <c r="DD45" s="57" t="n">
        <f aca="false">CJ45-CQ45-CR45-CS45-DB45</f>
        <v>0.0872436742401628</v>
      </c>
      <c r="DE45" s="19" t="n">
        <f aca="false">CW45*c_stroke_fatal+CX45*c_stroke_major+CY45*c_stroke_minor+CR45*c_ich+CS45*c_major_bleed+DB45*c_mi_fatal+DC45*c_mi_nonfatal+CU45*c_tia+CV45*c_minor_bleed</f>
        <v>43.7586322105258</v>
      </c>
      <c r="DF45" s="57" t="n">
        <f aca="false">dt*(DC45*dec_mi+DA45*dec_major_bleed+CV45*dec_minor_bleed+CU45*dec_tia)</f>
        <v>3.83065701970336E-005</v>
      </c>
      <c r="DG45" s="57" t="n">
        <f aca="false">J45*CI45+CW45+CR45-CZ45+CS45-DA45+DB45</f>
        <v>0.00229632505787516</v>
      </c>
      <c r="DH45" s="57" t="n">
        <f aca="false">AG45</f>
        <v>0.354600759631731</v>
      </c>
      <c r="DI45" s="57" t="n">
        <f aca="false">AB45+AC45+BF45+BA45+BB45+BC45+CY45+CZ45</f>
        <v>0.034013233430351</v>
      </c>
      <c r="DJ45" s="57" t="n">
        <f aca="false">AA45+AZ45+BY45+CX45+CE45+BZ45+CA45+CB45</f>
        <v>0.0155490257366112</v>
      </c>
      <c r="DK45" s="57" t="n">
        <f aca="false">AD45+DD45+DA45</f>
        <v>0.0902220026768844</v>
      </c>
      <c r="DL45" s="57" t="n">
        <f aca="false">K45+AJ45+BI45+CH45+DG45</f>
        <v>0.505614978524422</v>
      </c>
      <c r="DM45" s="58" t="n">
        <f aca="false">SUM(DH45:DL45)</f>
        <v>1</v>
      </c>
      <c r="DN45" s="19" t="n">
        <f aca="false">dt*(G45*Apixaban!$H$2+(H45+I45+J45)*c_aspirin)</f>
        <v>28.7570781560166</v>
      </c>
      <c r="DO45" s="19" t="n">
        <f aca="false">dt*(H45*c_lt_minor_stroke+I45*c_lt_major_stroke)</f>
        <v>195.5457279154</v>
      </c>
      <c r="DP45" s="19" t="n">
        <f aca="false">AH45+BG45+CF45+DE45</f>
        <v>182.423485186393</v>
      </c>
      <c r="DQ45" s="19" t="n">
        <f aca="false">DN45+DO45+DP45</f>
        <v>406.726291257809</v>
      </c>
      <c r="DR45" s="57" t="n">
        <f aca="false">dt*(G45*(u_af-dec_per_year_over_70*MAX(B45-ref_age,0))+H45*(u_minor_stroke-dec_per_year_over_70*MAX(B45-ref_age,0))+I45*(u_major_stroke-dec_per_year_over_70*MAX(B45-ref_age,0))+J45*(u_af-dec_per_year_over_70*MAX(B45-ref_age,0)))-AI45-BH45-CG45-DF45</f>
        <v>0.0999939505969497</v>
      </c>
      <c r="DS45" s="57" t="n">
        <f aca="false">dt*(G45+H45+I45+J45)</f>
        <v>0.127077332598753</v>
      </c>
      <c r="DT45" s="19" t="n">
        <f aca="false">DQ45*C45</f>
        <v>351.769624099629</v>
      </c>
      <c r="DU45" s="19" t="n">
        <f aca="false">DN45*C45</f>
        <v>24.8714351409694</v>
      </c>
      <c r="DV45" s="19" t="n">
        <f aca="false">DP45*C45</f>
        <v>157.77450877963</v>
      </c>
      <c r="DW45" s="19" t="n">
        <f aca="false">DO45*C45</f>
        <v>169.123680179029</v>
      </c>
      <c r="DX45" s="57" t="n">
        <f aca="false">DR45*C45</f>
        <v>0.0864828145359057</v>
      </c>
      <c r="DY45" s="57" t="n">
        <f aca="false">DS45*C45</f>
        <v>0.109906702567973</v>
      </c>
      <c r="DZ45" s="57" t="n">
        <f aca="false">T45+AS45+BR45+CQ45</f>
        <v>0.00356189881986195</v>
      </c>
      <c r="EA45" s="57" t="n">
        <f aca="false">U45+AT45+BS45+CR45</f>
        <v>0.000442842408448603</v>
      </c>
      <c r="EB45" s="57" t="n">
        <f aca="false">V45+AU45+BT45+CS45</f>
        <v>0.00370528099127647</v>
      </c>
      <c r="EC45" s="57" t="n">
        <f aca="false">G45*dt*C45</f>
        <v>0.0793713038321261</v>
      </c>
    </row>
    <row r="46" customFormat="false" ht="15" hidden="false" customHeight="false" outlineLevel="0" collapsed="false">
      <c r="A46" s="8" t="n">
        <v>40</v>
      </c>
      <c r="B46" s="54" t="n">
        <f aca="false">start_age+A46*dt</f>
        <v>80</v>
      </c>
      <c r="C46" s="16" t="n">
        <f aca="false">(1+disc_rate)^-(A46*dt)</f>
        <v>0.861667231722184</v>
      </c>
      <c r="D46" s="55" t="n">
        <f aca="false">IF(A46*dt&gt;=wane_start,(1-wane_decay)^(A46*dt-wane_start),1)</f>
        <v>1</v>
      </c>
      <c r="E46" s="25" t="n">
        <f aca="false">MIN(p_nonvasc_death*MIN(EXP(gomp_int+gomp_slope*INT(B46)),1)/qx_ref,0.999)</f>
        <v>0.0939575459703644</v>
      </c>
      <c r="F46" s="55" t="n">
        <f aca="false">rr_stroke_per_decade^((B46-ref_age)/10)</f>
        <v>1.5</v>
      </c>
      <c r="G46" s="57" t="n">
        <f aca="false">DH45</f>
        <v>0.354600759631731</v>
      </c>
      <c r="H46" s="57" t="n">
        <f aca="false">DI45</f>
        <v>0.034013233430351</v>
      </c>
      <c r="I46" s="57" t="n">
        <f aca="false">DJ45</f>
        <v>0.0155490257366112</v>
      </c>
      <c r="J46" s="57" t="n">
        <f aca="false">DK45</f>
        <v>0.0902220026768844</v>
      </c>
      <c r="K46" s="57" t="n">
        <f aca="false">DL45</f>
        <v>0.505614978524422</v>
      </c>
      <c r="L46" s="57" t="n">
        <f aca="false">1-EXP(LN(1-E46)*dt)</f>
        <v>0.0243655277169612</v>
      </c>
      <c r="M46" s="57" t="n">
        <f aca="false">G46*(1-L46)</f>
        <v>0.345960724994469</v>
      </c>
      <c r="N46" s="57" t="n">
        <f aca="false">IF(Apixaban!$B$2=1,EXP(LN(or_apx_stroke)*D46)*(1-EXP(-r_stroke*F46*dt))/(1-(1-EXP(-r_stroke*F46*dt))+EXP(LN(or_apx_stroke)*D46)*(1-EXP(-r_stroke*F46*dt))),(1-EXP(-r_stroke*F46*dt)))</f>
        <v>0.0047699480304271</v>
      </c>
      <c r="O46" s="57" t="n">
        <f aca="false">IF(Apixaban!$B$2=1,EXP(LN(or_apx_ich)*D46)*(1-EXP(-r_ich*dt))/(1-(1-EXP(-r_ich*dt))+EXP(LN(or_apx_ich)*D46)*(1-EXP(-r_ich*dt))),(1-EXP(-r_ich*dt)))</f>
        <v>0.000843513249640701</v>
      </c>
      <c r="P46" s="57" t="n">
        <f aca="false">IF(Apixaban!$B$2=1,EXP(LN(or_apx_mb)*D46)*(1-EXP(-r_mb*dt))/(1-(1-EXP(-r_mb*dt))+EXP(LN(or_apx_mb)*D46)*(1-EXP(-r_mb*dt))),(1-EXP(-r_mb*dt)))</f>
        <v>0.00669446907979895</v>
      </c>
      <c r="Q46" s="57" t="n">
        <f aca="false">IF(Apixaban!$B$2=1,EXP(LN(or_apx_mi)*D46)*(1-EXP(-r_mi*dt))/(1-(1-EXP(-r_mi*dt))+EXP(LN(or_apx_mi)*D46)*(1-EXP(-r_mi*dt))),(1-EXP(-r_mi*dt)))</f>
        <v>0.00132321915530843</v>
      </c>
      <c r="R46" s="57" t="n">
        <f aca="false">(1-EXP(-r_tia*dt))</f>
        <v>0.0020060281549299</v>
      </c>
      <c r="S46" s="57" t="n">
        <f aca="false">(1-EXP(-r_minor*dt))</f>
        <v>0.0437937690785545</v>
      </c>
      <c r="T46" s="57" t="n">
        <f aca="false">M46*N46</f>
        <v>0.0016502146787925</v>
      </c>
      <c r="U46" s="57" t="n">
        <f aca="false">M46*O46</f>
        <v>0.000291822455388137</v>
      </c>
      <c r="V46" s="57" t="n">
        <f aca="false">M46*P46</f>
        <v>0.0023160233763003</v>
      </c>
      <c r="W46" s="57" t="n">
        <f aca="false">M46*Q46</f>
        <v>0.000457781858297073</v>
      </c>
      <c r="X46" s="57" t="n">
        <f aca="false">M46*R46</f>
        <v>0.000694006954838863</v>
      </c>
      <c r="Y46" s="57" t="n">
        <f aca="false">M46*S46</f>
        <v>0.0151509241006571</v>
      </c>
      <c r="Z46" s="57" t="n">
        <f aca="false">T46*f_stroke_fatal</f>
        <v>0.000391100878873822</v>
      </c>
      <c r="AA46" s="57" t="n">
        <f aca="false">T46*(1-f_stroke_fatal)*f_stroke_major</f>
        <v>0.000419284895372919</v>
      </c>
      <c r="AB46" s="57" t="n">
        <f aca="false">T46*(1-f_stroke_fatal)*(1-f_stroke_major)</f>
        <v>0.000839828904545757</v>
      </c>
      <c r="AC46" s="57" t="n">
        <f aca="false">U46*(1-f_bleed_fatal)</f>
        <v>0.000267309369135534</v>
      </c>
      <c r="AD46" s="57" t="n">
        <f aca="false">V46*(1-f_bleed_fatal)</f>
        <v>0.00212147741269108</v>
      </c>
      <c r="AE46" s="57" t="n">
        <f aca="false">W46*f_mi_fatal</f>
        <v>5.53916048539458E-005</v>
      </c>
      <c r="AF46" s="57" t="n">
        <f aca="false">W46-AE46</f>
        <v>0.000402390253443127</v>
      </c>
      <c r="AG46" s="57" t="n">
        <f aca="false">M46-T46-U46-V46-AE46</f>
        <v>0.341647272879134</v>
      </c>
      <c r="AH46" s="19" t="n">
        <f aca="false">Z46*c_stroke_fatal+AA46*c_stroke_major+AB46*c_stroke_minor+U46*c_ich+V46*c_major_bleed+AE46*c_mi_fatal+AF46*c_mi_nonfatal+X46*c_tia+Y46*c_minor_bleed</f>
        <v>94.5891069369348</v>
      </c>
      <c r="AI46" s="57" t="n">
        <f aca="false">dt*(AF46*dec_mi+AD46*dec_major_bleed+Y46*dec_minor_bleed+X46*dec_tia)</f>
        <v>0.000128479858326229</v>
      </c>
      <c r="AJ46" s="57" t="n">
        <f aca="false">G46*L46+Z46+U46-AC46+V46-AD46+AE46</f>
        <v>0.00930558617085205</v>
      </c>
      <c r="AK46" s="57" t="n">
        <f aca="false">1-EXP(LN(1-E46)*hr_death_prior_stroke*dt)</f>
        <v>0.055155335593114</v>
      </c>
      <c r="AL46" s="57" t="n">
        <f aca="false">H46*(1-AK46)</f>
        <v>0.0321372221258931</v>
      </c>
      <c r="AM46" s="57" t="n">
        <f aca="false">(1-EXP(-r_stroke*F46*rr_stroke_prior*rr_asa_stroke*dt))</f>
        <v>0.0213262291989511</v>
      </c>
      <c r="AN46" s="57" t="n">
        <f aca="false">(1-EXP(-r_ich*rr_asa_ich*dt))</f>
        <v>0.00102357767802375</v>
      </c>
      <c r="AO46" s="57" t="n">
        <f aca="false">(1-EXP(-r_mb*rr_asa_mb*dt))</f>
        <v>0.00951809672747972</v>
      </c>
      <c r="AP46" s="57" t="n">
        <f aca="false">(1-EXP(-r_mi*rr_asa_mi*dt))</f>
        <v>0.00213413516393479</v>
      </c>
      <c r="AQ46" s="57" t="n">
        <f aca="false">(1-EXP(-r_tia*rr_asa_tia*dt))</f>
        <v>0.00312764565589152</v>
      </c>
      <c r="AR46" s="57" t="n">
        <f aca="false">(1-EXP(-r_minor*rr_asa_minor*dt))</f>
        <v>0.0278181950466747</v>
      </c>
      <c r="AS46" s="57" t="n">
        <f aca="false">AL46*AM46</f>
        <v>0.000685365764874398</v>
      </c>
      <c r="AT46" s="57" t="n">
        <f aca="false">AL46*AN46</f>
        <v>3.2894943201755E-005</v>
      </c>
      <c r="AU46" s="57" t="n">
        <f aca="false">AL46*AO46</f>
        <v>0.000305885188746752</v>
      </c>
      <c r="AV46" s="57" t="n">
        <f aca="false">AL46*AP46</f>
        <v>6.85851758100516E-005</v>
      </c>
      <c r="AW46" s="57" t="n">
        <f aca="false">AL46*AQ46</f>
        <v>0.00010051384317447</v>
      </c>
      <c r="AX46" s="57" t="n">
        <f aca="false">AL46*AR46</f>
        <v>0.000893999513356403</v>
      </c>
      <c r="AY46" s="57" t="n">
        <f aca="false">AS46*f_stroke_fatal_recur</f>
        <v>0.000255017747452115</v>
      </c>
      <c r="AZ46" s="57" t="n">
        <f aca="false">AS46*(1-f_stroke_fatal_recur)*f_stroke_major</f>
        <v>0.00014330588980162</v>
      </c>
      <c r="BA46" s="57" t="n">
        <f aca="false">AS46*(1-f_stroke_fatal_recur)*(1-f_stroke_major)</f>
        <v>0.000287042127620663</v>
      </c>
      <c r="BB46" s="57" t="n">
        <f aca="false">AT46*(1-f_bleed_fatal)</f>
        <v>3.01317679728076E-005</v>
      </c>
      <c r="BC46" s="57" t="n">
        <f aca="false">AU46*(1-f_bleed_fatal)</f>
        <v>0.000280190832892025</v>
      </c>
      <c r="BD46" s="57" t="n">
        <f aca="false">AV46*f_mi_fatal</f>
        <v>8.29880627301625E-006</v>
      </c>
      <c r="BE46" s="57" t="n">
        <f aca="false">AV46-BD46</f>
        <v>6.02863695370354E-005</v>
      </c>
      <c r="BF46" s="57" t="n">
        <f aca="false">AL46-AS46-AT46-AU46-BD46</f>
        <v>0.0311047774227971</v>
      </c>
      <c r="BG46" s="19" t="n">
        <f aca="false">AY46*c_stroke_fatal+AZ46*c_stroke_major+BA46*c_stroke_minor+AT46*c_ich+AU46*c_major_bleed+BD46*c_mi_fatal+BE46*c_mi_nonfatal+AW46*c_tia+AX46*c_minor_bleed</f>
        <v>27.9585818232208</v>
      </c>
      <c r="BH46" s="57" t="n">
        <f aca="false">dt*(BE46*dec_mi+BC46*dec_major_bleed+AX46*dec_minor_bleed+AW46*dec_tia)</f>
        <v>1.38220680846998E-005</v>
      </c>
      <c r="BI46" s="57" t="n">
        <f aca="false">H46*AK46+AY46+AT46-BB46+AU46-BC46+BD46</f>
        <v>0.00216778538926674</v>
      </c>
      <c r="BJ46" s="57" t="n">
        <f aca="false">1-EXP(LN(1-E46)*hr_death_prior_stroke*dt)</f>
        <v>0.055155335593114</v>
      </c>
      <c r="BK46" s="57" t="n">
        <f aca="false">I46*(1-BJ46)</f>
        <v>0.0146914140039624</v>
      </c>
      <c r="BL46" s="57" t="n">
        <f aca="false">(1-EXP(-r_stroke*F46*rr_stroke_prior*rr_asa_stroke*dt))</f>
        <v>0.0213262291989511</v>
      </c>
      <c r="BM46" s="57" t="n">
        <f aca="false">(1-EXP(-r_ich*rr_asa_ich*dt))</f>
        <v>0.00102357767802375</v>
      </c>
      <c r="BN46" s="57" t="n">
        <f aca="false">(1-EXP(-r_mb*rr_asa_mb*dt))</f>
        <v>0.00951809672747972</v>
      </c>
      <c r="BO46" s="57" t="n">
        <f aca="false">(1-EXP(-r_mi*rr_asa_mi*dt))</f>
        <v>0.00213413516393479</v>
      </c>
      <c r="BP46" s="57" t="n">
        <f aca="false">(1-EXP(-r_tia*rr_asa_tia*dt))</f>
        <v>0.00312764565589152</v>
      </c>
      <c r="BQ46" s="57" t="n">
        <f aca="false">(1-EXP(-r_minor*rr_asa_minor*dt))</f>
        <v>0.0278181950466747</v>
      </c>
      <c r="BR46" s="57" t="n">
        <f aca="false">BK46*BL46</f>
        <v>0.000313312462305183</v>
      </c>
      <c r="BS46" s="57" t="n">
        <f aca="false">BK46*BM46</f>
        <v>1.50378034330614E-005</v>
      </c>
      <c r="BT46" s="57" t="n">
        <f aca="false">BK46*BN46</f>
        <v>0.000139834299553165</v>
      </c>
      <c r="BU46" s="57" t="n">
        <f aca="false">BK46*BO46</f>
        <v>3.13534632337803E-005</v>
      </c>
      <c r="BV46" s="57" t="n">
        <f aca="false">BK46*BP46</f>
        <v>4.59495371883969E-005</v>
      </c>
      <c r="BW46" s="57" t="n">
        <f aca="false">BK46*BQ46</f>
        <v>0.000408688620273675</v>
      </c>
      <c r="BX46" s="57" t="n">
        <f aca="false">BR46*f_stroke_fatal_recur</f>
        <v>0.000116580434099135</v>
      </c>
      <c r="BY46" s="57" t="n">
        <f aca="false">BR46*(1-f_stroke_fatal_recur)*f_stroke_major</f>
        <v>6.55117653926138E-005</v>
      </c>
      <c r="BZ46" s="57" t="n">
        <f aca="false">BR46*(1-f_stroke_fatal_recur)*(1-f_stroke_major)</f>
        <v>0.000131220262813434</v>
      </c>
      <c r="CA46" s="57" t="n">
        <f aca="false">BS46*(1-f_bleed_fatal)</f>
        <v>1.37746279446843E-005</v>
      </c>
      <c r="CB46" s="57" t="n">
        <f aca="false">BT46*(1-f_bleed_fatal)</f>
        <v>0.000128088218390699</v>
      </c>
      <c r="CC46" s="57" t="n">
        <f aca="false">BU46*f_mi_fatal</f>
        <v>3.79376905128741E-006</v>
      </c>
      <c r="CD46" s="57" t="n">
        <f aca="false">BU46-CC46</f>
        <v>2.75596941824928E-005</v>
      </c>
      <c r="CE46" s="57" t="n">
        <f aca="false">BK46-BR46-BS46-BT46-CC46</f>
        <v>0.0142194356696197</v>
      </c>
      <c r="CF46" s="19" t="n">
        <f aca="false">BX46*c_stroke_fatal+BY46*c_stroke_major+BZ46*c_stroke_minor+BS46*c_ich+BT46*c_major_bleed+CC46*c_mi_fatal+CD46*c_mi_nonfatal+BV46*c_tia+BW46*c_minor_bleed</f>
        <v>12.7811638143314</v>
      </c>
      <c r="CG46" s="57" t="n">
        <f aca="false">dt*(CD46*dec_mi+CB46*dec_major_bleed+BW46*dec_minor_bleed+BV46*dec_tia)</f>
        <v>6.31870806467964E-006</v>
      </c>
      <c r="CH46" s="57" t="n">
        <f aca="false">I46*BJ46+BX46+BS46-CA46+BT46-CB46+CC46</f>
        <v>0.000990995192450023</v>
      </c>
      <c r="CI46" s="57" t="n">
        <f aca="false">1-EXP(LN(1-E46)*dt)</f>
        <v>0.0243655277169612</v>
      </c>
      <c r="CJ46" s="57" t="n">
        <f aca="false">J46*(1-CI46)</f>
        <v>0.088023695969981</v>
      </c>
      <c r="CK46" s="57" t="n">
        <f aca="false">(1-EXP(-r_stroke*F46*rr_asa_stroke*dt))</f>
        <v>0.00975074966084721</v>
      </c>
      <c r="CL46" s="57" t="n">
        <f aca="false">(1-EXP(-r_ich*rr_asa_ich*dt))</f>
        <v>0.00102357767802375</v>
      </c>
      <c r="CM46" s="57" t="n">
        <f aca="false">(1-EXP(-r_mb*rr_asa_mb*dt))</f>
        <v>0.00951809672747972</v>
      </c>
      <c r="CN46" s="57" t="n">
        <f aca="false">(1-EXP(-r_mi*rr_asa_mi*dt))</f>
        <v>0.00213413516393479</v>
      </c>
      <c r="CO46" s="57" t="n">
        <f aca="false">(1-EXP(-r_tia*rr_asa_tia*dt))</f>
        <v>0.00312764565589152</v>
      </c>
      <c r="CP46" s="57" t="n">
        <f aca="false">(1-EXP(-r_minor*rr_asa_minor*dt))</f>
        <v>0.0278181950466747</v>
      </c>
      <c r="CQ46" s="57" t="n">
        <f aca="false">CJ46*CK46</f>
        <v>0.000858297023625811</v>
      </c>
      <c r="CR46" s="57" t="n">
        <f aca="false">CJ46*CL46</f>
        <v>9.00990903320213E-005</v>
      </c>
      <c r="CS46" s="57" t="n">
        <f aca="false">CJ46*CM46</f>
        <v>0.000837818052552546</v>
      </c>
      <c r="CT46" s="57" t="n">
        <f aca="false">CJ46*CN46</f>
        <v>0.000187854464829042</v>
      </c>
      <c r="CU46" s="57" t="n">
        <f aca="false">CJ46*CO46</f>
        <v>0.000275306930316027</v>
      </c>
      <c r="CV46" s="57" t="n">
        <f aca="false">CJ46*CP46</f>
        <v>0.00244866034322213</v>
      </c>
      <c r="CW46" s="57" t="n">
        <f aca="false">CQ46*f_stroke_fatal</f>
        <v>0.000203416394599317</v>
      </c>
      <c r="CX46" s="57" t="n">
        <f aca="false">CQ46*(1-f_stroke_fatal)*f_stroke_major</f>
        <v>0.000218075249465822</v>
      </c>
      <c r="CY46" s="57" t="n">
        <f aca="false">CQ46*(1-f_stroke_fatal)*(1-f_stroke_major)</f>
        <v>0.000436805379560671</v>
      </c>
      <c r="CZ46" s="57" t="n">
        <f aca="false">CR46*(1-f_bleed_fatal)</f>
        <v>8.25307667441316E-005</v>
      </c>
      <c r="DA46" s="57" t="n">
        <f aca="false">CS46*(1-f_bleed_fatal)</f>
        <v>0.000767441336138132</v>
      </c>
      <c r="DB46" s="57" t="n">
        <f aca="false">CT46*f_mi_fatal</f>
        <v>2.2730390244314E-005</v>
      </c>
      <c r="DC46" s="57" t="n">
        <f aca="false">CT46-DB46</f>
        <v>0.000165124074584728</v>
      </c>
      <c r="DD46" s="57" t="n">
        <f aca="false">CJ46-CQ46-CR46-CS46-DB46</f>
        <v>0.0862147514132263</v>
      </c>
      <c r="DE46" s="19" t="n">
        <f aca="false">CW46*c_stroke_fatal+CX46*c_stroke_major+CY46*c_stroke_minor+CR46*c_ich+CS46*c_major_bleed+DB46*c_mi_fatal+DC46*c_mi_nonfatal+CU46*c_tia+CV46*c_minor_bleed</f>
        <v>43.5651589461027</v>
      </c>
      <c r="DF46" s="57" t="n">
        <f aca="false">dt*(DC46*dec_mi+DA46*dec_major_bleed+CV46*dec_minor_bleed+CU46*dec_tia)</f>
        <v>3.78585776330594E-005</v>
      </c>
      <c r="DG46" s="57" t="n">
        <f aca="false">J46*CI46+CW46+CR46-CZ46+CS46-DA46+DB46</f>
        <v>0.00250239853174931</v>
      </c>
      <c r="DH46" s="57" t="n">
        <f aca="false">AG46</f>
        <v>0.341647272879134</v>
      </c>
      <c r="DI46" s="57" t="n">
        <f aca="false">AB46+AC46+BF46+BA46+BB46+BC46+CY46+CZ46</f>
        <v>0.0333286165712687</v>
      </c>
      <c r="DJ46" s="57" t="n">
        <f aca="false">AA46+AZ46+BY46+CX46+CE46+BZ46+CA46+CB46</f>
        <v>0.0153386965788015</v>
      </c>
      <c r="DK46" s="57" t="n">
        <f aca="false">AD46+DD46+DA46</f>
        <v>0.0891036701620556</v>
      </c>
      <c r="DL46" s="57" t="n">
        <f aca="false">K46+AJ46+BI46+CH46+DG46</f>
        <v>0.52058174380874</v>
      </c>
      <c r="DM46" s="58" t="n">
        <f aca="false">SUM(DH46:DL46)</f>
        <v>1</v>
      </c>
      <c r="DN46" s="19" t="n">
        <f aca="false">dt*(G46*Apixaban!$H$2+(H46+I46+J46)*c_aspirin)</f>
        <v>27.811855182007</v>
      </c>
      <c r="DO46" s="19" t="n">
        <f aca="false">dt*(H46*c_lt_minor_stroke+I46*c_lt_major_stroke)</f>
        <v>193.463227886438</v>
      </c>
      <c r="DP46" s="19" t="n">
        <f aca="false">AH46+BG46+CF46+DE46</f>
        <v>178.89401152059</v>
      </c>
      <c r="DQ46" s="19" t="n">
        <f aca="false">DN46+DO46+DP46</f>
        <v>400.169094589035</v>
      </c>
      <c r="DR46" s="57" t="n">
        <f aca="false">dt*(G46*(u_af-dec_per_year_over_70*MAX(B46-ref_age,0))+H46*(u_minor_stroke-dec_per_year_over_70*MAX(B46-ref_age,0))+I46*(u_major_stroke-dec_per_year_over_70*MAX(B46-ref_age,0))+J46*(u_af-dec_per_year_over_70*MAX(B46-ref_age,0)))-AI46-BH46-CG46-DF46</f>
        <v>0.0972020837730063</v>
      </c>
      <c r="DS46" s="57" t="n">
        <f aca="false">dt*(G46+H46+I46+J46)</f>
        <v>0.123596255368895</v>
      </c>
      <c r="DT46" s="19" t="n">
        <f aca="false">DQ46*C46</f>
        <v>344.812595955307</v>
      </c>
      <c r="DU46" s="19" t="n">
        <f aca="false">DN46*C46</f>
        <v>23.9645642637382</v>
      </c>
      <c r="DV46" s="19" t="n">
        <f aca="false">DP46*C46</f>
        <v>154.147107678623</v>
      </c>
      <c r="DW46" s="19" t="n">
        <f aca="false">DO46*C46</f>
        <v>166.700924012946</v>
      </c>
      <c r="DX46" s="57" t="n">
        <f aca="false">DR46*C46</f>
        <v>0.0837558504423142</v>
      </c>
      <c r="DY46" s="57" t="n">
        <f aca="false">DS46*C46</f>
        <v>0.106498843214943</v>
      </c>
      <c r="DZ46" s="57" t="n">
        <f aca="false">T46+AS46+BR46+CQ46</f>
        <v>0.00350718992959789</v>
      </c>
      <c r="EA46" s="57" t="n">
        <f aca="false">U46+AT46+BS46+CR46</f>
        <v>0.000429854292354975</v>
      </c>
      <c r="EB46" s="57" t="n">
        <f aca="false">V46+AU46+BT46+CS46</f>
        <v>0.00359956091715276</v>
      </c>
      <c r="EC46" s="57" t="n">
        <f aca="false">G46*dt*C46</f>
        <v>0.0763869637296144</v>
      </c>
    </row>
    <row r="47" customFormat="false" ht="15" hidden="false" customHeight="false" outlineLevel="0" collapsed="false">
      <c r="A47" s="8" t="n">
        <v>41</v>
      </c>
      <c r="B47" s="54" t="n">
        <f aca="false">start_age+A47*dt</f>
        <v>80.25</v>
      </c>
      <c r="C47" s="16" t="n">
        <f aca="false">(1+disc_rate)^-(A47*dt)</f>
        <v>0.858465935896902</v>
      </c>
      <c r="D47" s="55" t="n">
        <f aca="false">IF(A47*dt&gt;=wane_start,(1-wane_decay)^(A47*dt-wane_start),1)</f>
        <v>1</v>
      </c>
      <c r="E47" s="25" t="n">
        <f aca="false">MIN(p_nonvasc_death*MIN(EXP(gomp_int+gomp_slope*INT(B47)),1)/qx_ref,0.999)</f>
        <v>0.0939575459703644</v>
      </c>
      <c r="F47" s="55" t="n">
        <f aca="false">rr_stroke_per_decade^((B47-ref_age)/10)</f>
        <v>1.51528226601887</v>
      </c>
      <c r="G47" s="57" t="n">
        <f aca="false">DH46</f>
        <v>0.341647272879134</v>
      </c>
      <c r="H47" s="57" t="n">
        <f aca="false">DI46</f>
        <v>0.0333286165712687</v>
      </c>
      <c r="I47" s="57" t="n">
        <f aca="false">DJ46</f>
        <v>0.0153386965788015</v>
      </c>
      <c r="J47" s="57" t="n">
        <f aca="false">DK46</f>
        <v>0.0891036701620556</v>
      </c>
      <c r="K47" s="57" t="n">
        <f aca="false">DL46</f>
        <v>0.52058174380874</v>
      </c>
      <c r="L47" s="57" t="n">
        <f aca="false">1-EXP(LN(1-E47)*dt)</f>
        <v>0.0243655277169612</v>
      </c>
      <c r="M47" s="57" t="n">
        <f aca="false">G47*(1-L47)</f>
        <v>0.333322856782373</v>
      </c>
      <c r="N47" s="57" t="n">
        <f aca="false">IF(Apixaban!$B$2=1,EXP(LN(or_apx_stroke)*D47)*(1-EXP(-r_stroke*F47*dt))/(1-(1-EXP(-r_stroke*F47*dt))+EXP(LN(or_apx_stroke)*D47)*(1-EXP(-r_stroke*F47*dt))),(1-EXP(-r_stroke*F47*dt)))</f>
        <v>0.0048184588479899</v>
      </c>
      <c r="O47" s="57" t="n">
        <f aca="false">IF(Apixaban!$B$2=1,EXP(LN(or_apx_ich)*D47)*(1-EXP(-r_ich*dt))/(1-(1-EXP(-r_ich*dt))+EXP(LN(or_apx_ich)*D47)*(1-EXP(-r_ich*dt))),(1-EXP(-r_ich*dt)))</f>
        <v>0.000843513249640701</v>
      </c>
      <c r="P47" s="57" t="n">
        <f aca="false">IF(Apixaban!$B$2=1,EXP(LN(or_apx_mb)*D47)*(1-EXP(-r_mb*dt))/(1-(1-EXP(-r_mb*dt))+EXP(LN(or_apx_mb)*D47)*(1-EXP(-r_mb*dt))),(1-EXP(-r_mb*dt)))</f>
        <v>0.00669446907979895</v>
      </c>
      <c r="Q47" s="57" t="n">
        <f aca="false">IF(Apixaban!$B$2=1,EXP(LN(or_apx_mi)*D47)*(1-EXP(-r_mi*dt))/(1-(1-EXP(-r_mi*dt))+EXP(LN(or_apx_mi)*D47)*(1-EXP(-r_mi*dt))),(1-EXP(-r_mi*dt)))</f>
        <v>0.00132321915530843</v>
      </c>
      <c r="R47" s="57" t="n">
        <f aca="false">(1-EXP(-r_tia*dt))</f>
        <v>0.0020060281549299</v>
      </c>
      <c r="S47" s="57" t="n">
        <f aca="false">(1-EXP(-r_minor*dt))</f>
        <v>0.0437937690785545</v>
      </c>
      <c r="T47" s="57" t="n">
        <f aca="false">M47*N47</f>
        <v>0.0016061024685003</v>
      </c>
      <c r="U47" s="57" t="n">
        <f aca="false">M47*O47</f>
        <v>0.000281162246104022</v>
      </c>
      <c r="V47" s="57" t="n">
        <f aca="false">M47*P47</f>
        <v>0.00223141955831985</v>
      </c>
      <c r="W47" s="57" t="n">
        <f aca="false">M47*Q47</f>
        <v>0.000441059188996564</v>
      </c>
      <c r="X47" s="57" t="n">
        <f aca="false">M47*R47</f>
        <v>0.000668655035387106</v>
      </c>
      <c r="Y47" s="57" t="n">
        <f aca="false">M47*S47</f>
        <v>0.0145974642185313</v>
      </c>
      <c r="Z47" s="57" t="n">
        <f aca="false">T47*f_stroke_fatal</f>
        <v>0.000380646285034571</v>
      </c>
      <c r="AA47" s="57" t="n">
        <f aca="false">T47*(1-f_stroke_fatal)*f_stroke_major</f>
        <v>0.000408076909094087</v>
      </c>
      <c r="AB47" s="57" t="n">
        <f aca="false">T47*(1-f_stroke_fatal)*(1-f_stroke_major)</f>
        <v>0.00081737927437164</v>
      </c>
      <c r="AC47" s="57" t="n">
        <f aca="false">U47*(1-f_bleed_fatal)</f>
        <v>0.000257544617431284</v>
      </c>
      <c r="AD47" s="57" t="n">
        <f aca="false">V47*(1-f_bleed_fatal)</f>
        <v>0.00204398031542099</v>
      </c>
      <c r="AE47" s="57" t="n">
        <f aca="false">W47*f_mi_fatal</f>
        <v>5.33681618685843E-005</v>
      </c>
      <c r="AF47" s="57" t="n">
        <f aca="false">W47-AE47</f>
        <v>0.00038769102712798</v>
      </c>
      <c r="AG47" s="57" t="n">
        <f aca="false">M47-T47-U47-V47-AE47</f>
        <v>0.329150804347581</v>
      </c>
      <c r="AH47" s="19" t="n">
        <f aca="false">Z47*c_stroke_fatal+AA47*c_stroke_major+AB47*c_stroke_minor+U47*c_ich+V47*c_major_bleed+AE47*c_mi_fatal+AF47*c_mi_nonfatal+X47*c_tia+Y47*c_minor_bleed</f>
        <v>91.7312224146616</v>
      </c>
      <c r="AI47" s="57" t="n">
        <f aca="false">dt*(AF47*dec_mi+AD47*dec_major_bleed+Y47*dec_minor_bleed+X47*dec_tia)</f>
        <v>0.000123786517723877</v>
      </c>
      <c r="AJ47" s="57" t="n">
        <f aca="false">G47*L47+Z47+U47-AC47+V47-AD47+AE47</f>
        <v>0.00896948741523551</v>
      </c>
      <c r="AK47" s="57" t="n">
        <f aca="false">1-EXP(LN(1-E47)*hr_death_prior_stroke*dt)</f>
        <v>0.055155335593114</v>
      </c>
      <c r="AL47" s="57" t="n">
        <f aca="false">H47*(1-AK47)</f>
        <v>0.0314903655394262</v>
      </c>
      <c r="AM47" s="57" t="n">
        <f aca="false">(1-EXP(-r_stroke*F47*rr_stroke_prior*rr_asa_stroke*dt))</f>
        <v>0.0215411475222794</v>
      </c>
      <c r="AN47" s="57" t="n">
        <f aca="false">(1-EXP(-r_ich*rr_asa_ich*dt))</f>
        <v>0.00102357767802375</v>
      </c>
      <c r="AO47" s="57" t="n">
        <f aca="false">(1-EXP(-r_mb*rr_asa_mb*dt))</f>
        <v>0.00951809672747972</v>
      </c>
      <c r="AP47" s="57" t="n">
        <f aca="false">(1-EXP(-r_mi*rr_asa_mi*dt))</f>
        <v>0.00213413516393479</v>
      </c>
      <c r="AQ47" s="57" t="n">
        <f aca="false">(1-EXP(-r_tia*rr_asa_tia*dt))</f>
        <v>0.00312764565589152</v>
      </c>
      <c r="AR47" s="57" t="n">
        <f aca="false">(1-EXP(-r_minor*rr_asa_minor*dt))</f>
        <v>0.0278181950466747</v>
      </c>
      <c r="AS47" s="57" t="n">
        <f aca="false">AL47*AM47</f>
        <v>0.000678338609615284</v>
      </c>
      <c r="AT47" s="57" t="n">
        <f aca="false">AL47*AN47</f>
        <v>3.22328352389648E-005</v>
      </c>
      <c r="AU47" s="57" t="n">
        <f aca="false">AL47*AO47</f>
        <v>0.000299728345187952</v>
      </c>
      <c r="AV47" s="57" t="n">
        <f aca="false">AL47*AP47</f>
        <v>6.72046964228498E-005</v>
      </c>
      <c r="AW47" s="57" t="n">
        <f aca="false">AL47*AQ47</f>
        <v>9.84907049818223E-005</v>
      </c>
      <c r="AX47" s="57" t="n">
        <f aca="false">AL47*AR47</f>
        <v>0.000876005130666841</v>
      </c>
      <c r="AY47" s="57" t="n">
        <f aca="false">AS47*f_stroke_fatal_recur</f>
        <v>0.000252403013251751</v>
      </c>
      <c r="AZ47" s="57" t="n">
        <f aca="false">AS47*(1-f_stroke_fatal_recur)*f_stroke_major</f>
        <v>0.000141836553589056</v>
      </c>
      <c r="BA47" s="57" t="n">
        <f aca="false">AS47*(1-f_stroke_fatal_recur)*(1-f_stroke_major)</f>
        <v>0.000284099042774476</v>
      </c>
      <c r="BB47" s="57" t="n">
        <f aca="false">AT47*(1-f_bleed_fatal)</f>
        <v>2.95252770788918E-005</v>
      </c>
      <c r="BC47" s="57" t="n">
        <f aca="false">AU47*(1-f_bleed_fatal)</f>
        <v>0.000274551164192164</v>
      </c>
      <c r="BD47" s="57" t="n">
        <f aca="false">AV47*f_mi_fatal</f>
        <v>8.13176826716483E-006</v>
      </c>
      <c r="BE47" s="57" t="n">
        <f aca="false">AV47-BD47</f>
        <v>5.9072928155685E-005</v>
      </c>
      <c r="BF47" s="57" t="n">
        <f aca="false">AL47-AS47-AT47-AU47-BD47</f>
        <v>0.0304719339811168</v>
      </c>
      <c r="BG47" s="19" t="n">
        <f aca="false">AY47*c_stroke_fatal+AZ47*c_stroke_major+BA47*c_stroke_minor+AT47*c_ich+AU47*c_major_bleed+BD47*c_mi_fatal+BE47*c_mi_nonfatal+AW47*c_tia+AX47*c_minor_bleed</f>
        <v>27.6291847446512</v>
      </c>
      <c r="BH47" s="57" t="n">
        <f aca="false">dt*(BE47*dec_mi+BC47*dec_major_bleed+AX47*dec_minor_bleed+AW47*dec_tia)</f>
        <v>1.35438581092341E-005</v>
      </c>
      <c r="BI47" s="57" t="n">
        <f aca="false">H47*AK47+AY47+AT47-BB47+AU47-BC47+BD47</f>
        <v>0.00212667055251733</v>
      </c>
      <c r="BJ47" s="57" t="n">
        <f aca="false">1-EXP(LN(1-E47)*hr_death_prior_stroke*dt)</f>
        <v>0.055155335593114</v>
      </c>
      <c r="BK47" s="57" t="n">
        <f aca="false">I47*(1-BJ47)</f>
        <v>0.0144926856214368</v>
      </c>
      <c r="BL47" s="57" t="n">
        <f aca="false">(1-EXP(-r_stroke*F47*rr_stroke_prior*rr_asa_stroke*dt))</f>
        <v>0.0215411475222794</v>
      </c>
      <c r="BM47" s="57" t="n">
        <f aca="false">(1-EXP(-r_ich*rr_asa_ich*dt))</f>
        <v>0.00102357767802375</v>
      </c>
      <c r="BN47" s="57" t="n">
        <f aca="false">(1-EXP(-r_mb*rr_asa_mb*dt))</f>
        <v>0.00951809672747972</v>
      </c>
      <c r="BO47" s="57" t="n">
        <f aca="false">(1-EXP(-r_mi*rr_asa_mi*dt))</f>
        <v>0.00213413516393479</v>
      </c>
      <c r="BP47" s="57" t="n">
        <f aca="false">(1-EXP(-r_tia*rr_asa_tia*dt))</f>
        <v>0.00312764565589152</v>
      </c>
      <c r="BQ47" s="57" t="n">
        <f aca="false">(1-EXP(-r_minor*rr_asa_minor*dt))</f>
        <v>0.0278181950466747</v>
      </c>
      <c r="BR47" s="57" t="n">
        <f aca="false">BK47*BL47</f>
        <v>0.000312189078965387</v>
      </c>
      <c r="BS47" s="57" t="n">
        <f aca="false">BK47*BM47</f>
        <v>1.48343894967184E-005</v>
      </c>
      <c r="BT47" s="57" t="n">
        <f aca="false">BK47*BN47</f>
        <v>0.00013794278358579</v>
      </c>
      <c r="BU47" s="57" t="n">
        <f aca="false">BK47*BO47</f>
        <v>3.09293500045604E-005</v>
      </c>
      <c r="BV47" s="57" t="n">
        <f aca="false">BK47*BP47</f>
        <v>4.53279852260882E-005</v>
      </c>
      <c r="BW47" s="57" t="n">
        <f aca="false">BK47*BQ47</f>
        <v>0.000403160355367266</v>
      </c>
      <c r="BX47" s="57" t="n">
        <f aca="false">BR47*f_stroke_fatal_recur</f>
        <v>0.000116162434392231</v>
      </c>
      <c r="BY47" s="57" t="n">
        <f aca="false">BR47*(1-f_stroke_fatal_recur)*f_stroke_major</f>
        <v>6.52768726428611E-005</v>
      </c>
      <c r="BZ47" s="57" t="n">
        <f aca="false">BR47*(1-f_stroke_fatal_recur)*(1-f_stroke_major)</f>
        <v>0.000130749771930295</v>
      </c>
      <c r="CA47" s="57" t="n">
        <f aca="false">BS47*(1-f_bleed_fatal)</f>
        <v>1.3588300778994E-005</v>
      </c>
      <c r="CB47" s="57" t="n">
        <f aca="false">BT47*(1-f_bleed_fatal)</f>
        <v>0.000126355589764583</v>
      </c>
      <c r="CC47" s="57" t="n">
        <f aca="false">BU47*f_mi_fatal</f>
        <v>3.7424513505518E-006</v>
      </c>
      <c r="CD47" s="57" t="n">
        <f aca="false">BU47-CC47</f>
        <v>2.71868986540086E-005</v>
      </c>
      <c r="CE47" s="57" t="n">
        <f aca="false">BK47-BR47-BS47-BT47-CC47</f>
        <v>0.0140239769180383</v>
      </c>
      <c r="CF47" s="19" t="n">
        <f aca="false">BX47*c_stroke_fatal+BY47*c_stroke_major+BZ47*c_stroke_minor+BS47*c_ich+BT47*c_major_bleed+CC47*c_mi_fatal+CD47*c_mi_nonfatal+BV47*c_tia+BW47*c_minor_bleed</f>
        <v>12.7156697491966</v>
      </c>
      <c r="CG47" s="57" t="n">
        <f aca="false">dt*(CD47*dec_mi+CB47*dec_major_bleed+BW47*dec_minor_bleed+BV47*dec_tia)</f>
        <v>6.23323592203857E-006</v>
      </c>
      <c r="CH47" s="57" t="n">
        <f aca="false">I47*BJ47+BX47+BS47-CA47+BT47-CB47+CC47</f>
        <v>0.000978749125646461</v>
      </c>
      <c r="CI47" s="57" t="n">
        <f aca="false">1-EXP(LN(1-E47)*dt)</f>
        <v>0.0243655277169612</v>
      </c>
      <c r="CJ47" s="57" t="n">
        <f aca="false">J47*(1-CI47)</f>
        <v>0.086932612217039</v>
      </c>
      <c r="CK47" s="57" t="n">
        <f aca="false">(1-EXP(-r_stroke*F47*rr_asa_stroke*dt))</f>
        <v>0.00984960118020584</v>
      </c>
      <c r="CL47" s="57" t="n">
        <f aca="false">(1-EXP(-r_ich*rr_asa_ich*dt))</f>
        <v>0.00102357767802375</v>
      </c>
      <c r="CM47" s="57" t="n">
        <f aca="false">(1-EXP(-r_mb*rr_asa_mb*dt))</f>
        <v>0.00951809672747972</v>
      </c>
      <c r="CN47" s="57" t="n">
        <f aca="false">(1-EXP(-r_mi*rr_asa_mi*dt))</f>
        <v>0.00213413516393479</v>
      </c>
      <c r="CO47" s="57" t="n">
        <f aca="false">(1-EXP(-r_tia*rr_asa_tia*dt))</f>
        <v>0.00312764565589152</v>
      </c>
      <c r="CP47" s="57" t="n">
        <f aca="false">(1-EXP(-r_minor*rr_asa_minor*dt))</f>
        <v>0.0278181950466747</v>
      </c>
      <c r="CQ47" s="57" t="n">
        <f aca="false">CJ47*CK47</f>
        <v>0.000856251559891324</v>
      </c>
      <c r="CR47" s="57" t="n">
        <f aca="false">CJ47*CL47</f>
        <v>8.89822813576555E-005</v>
      </c>
      <c r="CS47" s="57" t="n">
        <f aca="false">CJ47*CM47</f>
        <v>0.000827433011854263</v>
      </c>
      <c r="CT47" s="57" t="n">
        <f aca="false">CJ47*CN47</f>
        <v>0.00018552594462509</v>
      </c>
      <c r="CU47" s="57" t="n">
        <f aca="false">CJ47*CO47</f>
        <v>0.000271894406955924</v>
      </c>
      <c r="CV47" s="57" t="n">
        <f aca="false">CJ47*CP47</f>
        <v>0.00241830836257053</v>
      </c>
      <c r="CW47" s="57" t="n">
        <f aca="false">CQ47*f_stroke_fatal</f>
        <v>0.000202931619694244</v>
      </c>
      <c r="CX47" s="57" t="n">
        <f aca="false">CQ47*(1-f_stroke_fatal)*f_stroke_major</f>
        <v>0.000217555540085628</v>
      </c>
      <c r="CY47" s="57" t="n">
        <f aca="false">CQ47*(1-f_stroke_fatal)*(1-f_stroke_major)</f>
        <v>0.000435764400111452</v>
      </c>
      <c r="CZ47" s="57" t="n">
        <f aca="false">CR47*(1-f_bleed_fatal)</f>
        <v>8.15077697236125E-005</v>
      </c>
      <c r="DA47" s="57" t="n">
        <f aca="false">CS47*(1-f_bleed_fatal)</f>
        <v>0.000757928638858505</v>
      </c>
      <c r="DB47" s="57" t="n">
        <f aca="false">CT47*f_mi_fatal</f>
        <v>2.24486392996359E-005</v>
      </c>
      <c r="DC47" s="57" t="n">
        <f aca="false">CT47-DB47</f>
        <v>0.000163077305325454</v>
      </c>
      <c r="DD47" s="57" t="n">
        <f aca="false">CJ47-CQ47-CR47-CS47-DB47</f>
        <v>0.0851374967246361</v>
      </c>
      <c r="DE47" s="19" t="n">
        <f aca="false">CW47*c_stroke_fatal+CX47*c_stroke_major+CY47*c_stroke_minor+CR47*c_ich+CS47*c_major_bleed+DB47*c_mi_fatal+DC47*c_mi_nonfatal+CU47*c_tia+CV47*c_minor_bleed</f>
        <v>43.3426604720467</v>
      </c>
      <c r="DF47" s="57" t="n">
        <f aca="false">dt*(DC47*dec_mi+DA47*dec_major_bleed+CV47*dec_minor_bleed+CU47*dec_tia)</f>
        <v>3.73893076426353E-005</v>
      </c>
      <c r="DG47" s="57" t="n">
        <f aca="false">J47*CI47+CW47+CR47-CZ47+CS47-DA47+DB47</f>
        <v>0.00247341708864022</v>
      </c>
      <c r="DH47" s="57" t="n">
        <f aca="false">AG47</f>
        <v>0.329150804347581</v>
      </c>
      <c r="DI47" s="57" t="n">
        <f aca="false">AB47+AC47+BF47+BA47+BB47+BC47+CY47+CZ47</f>
        <v>0.0326523055268003</v>
      </c>
      <c r="DJ47" s="57" t="n">
        <f aca="false">AA47+AZ47+BY47+CX47+CE47+BZ47+CA47+CB47</f>
        <v>0.0151274164559238</v>
      </c>
      <c r="DK47" s="57" t="n">
        <f aca="false">AD47+DD47+DA47</f>
        <v>0.0879394056789156</v>
      </c>
      <c r="DL47" s="57" t="n">
        <f aca="false">K47+AJ47+BI47+CH47+DG47</f>
        <v>0.535130067990779</v>
      </c>
      <c r="DM47" s="58" t="n">
        <f aca="false">SUM(DH47:DL47)</f>
        <v>1</v>
      </c>
      <c r="DN47" s="19" t="n">
        <f aca="false">dt*(G47*Apixaban!$H$2+(H47+I47+J47)*c_aspirin)</f>
        <v>26.8260820799073</v>
      </c>
      <c r="DO47" s="19" t="n">
        <f aca="false">dt*(H47*c_lt_minor_stroke+I47*c_lt_major_stroke)</f>
        <v>190.239313093407</v>
      </c>
      <c r="DP47" s="19" t="n">
        <f aca="false">AH47+BG47+CF47+DE47</f>
        <v>175.418737380556</v>
      </c>
      <c r="DQ47" s="19" t="n">
        <f aca="false">DN47+DO47+DP47</f>
        <v>392.48413255387</v>
      </c>
      <c r="DR47" s="57" t="n">
        <f aca="false">dt*(G47*(u_af-dec_per_year_over_70*MAX(B47-ref_age,0))+H47*(u_minor_stroke-dec_per_year_over_70*MAX(B47-ref_age,0))+I47*(u_major_stroke-dec_per_year_over_70*MAX(B47-ref_age,0))+J47*(u_af-dec_per_year_over_70*MAX(B47-ref_age,0)))-AI47-BH47-CG47-DF47</f>
        <v>0.0942143735824512</v>
      </c>
      <c r="DS47" s="57" t="n">
        <f aca="false">dt*(G47+H47+I47+J47)</f>
        <v>0.119854564047815</v>
      </c>
      <c r="DT47" s="19" t="n">
        <f aca="false">DQ47*C47</f>
        <v>336.934258177542</v>
      </c>
      <c r="DU47" s="19" t="n">
        <f aca="false">DN47*C47</f>
        <v>23.0292776591747</v>
      </c>
      <c r="DV47" s="19" t="n">
        <f aca="false">DP47*C47</f>
        <v>150.591010559252</v>
      </c>
      <c r="DW47" s="19" t="n">
        <f aca="false">DO47*C47</f>
        <v>163.313969959115</v>
      </c>
      <c r="DX47" s="57" t="n">
        <f aca="false">DR47*C47</f>
        <v>0.0808798303923993</v>
      </c>
      <c r="DY47" s="57" t="n">
        <f aca="false">DS47*C47</f>
        <v>0.102891060496823</v>
      </c>
      <c r="DZ47" s="57" t="n">
        <f aca="false">T47+AS47+BR47+CQ47</f>
        <v>0.00345288171697229</v>
      </c>
      <c r="EA47" s="57" t="n">
        <f aca="false">U47+AT47+BS47+CR47</f>
        <v>0.00041721175219736</v>
      </c>
      <c r="EB47" s="57" t="n">
        <f aca="false">V47+AU47+BT47+CS47</f>
        <v>0.00349652369894786</v>
      </c>
      <c r="EC47" s="57" t="n">
        <f aca="false">G47*dt*C47</f>
        <v>0.0733231364647025</v>
      </c>
    </row>
    <row r="48" customFormat="false" ht="15" hidden="false" customHeight="false" outlineLevel="0" collapsed="false">
      <c r="A48" s="8" t="n">
        <v>42</v>
      </c>
      <c r="B48" s="54" t="n">
        <f aca="false">start_age+A48*dt</f>
        <v>80.5</v>
      </c>
      <c r="C48" s="16" t="n">
        <f aca="false">(1+disc_rate)^-(A48*dt)</f>
        <v>0.855276533636308</v>
      </c>
      <c r="D48" s="55" t="n">
        <f aca="false">IF(A48*dt&gt;=wane_start,(1-wane_decay)^(A48*dt-wane_start),1)</f>
        <v>1</v>
      </c>
      <c r="E48" s="25" t="n">
        <f aca="false">MIN(p_nonvasc_death*MIN(EXP(gomp_int+gomp_slope*INT(B48)),1)/qx_ref,0.999)</f>
        <v>0.0939575459703644</v>
      </c>
      <c r="F48" s="55" t="n">
        <f aca="false">rr_stroke_per_decade^((B48-ref_age)/10)</f>
        <v>1.53072023047418</v>
      </c>
      <c r="G48" s="57" t="n">
        <f aca="false">DH47</f>
        <v>0.329150804347581</v>
      </c>
      <c r="H48" s="57" t="n">
        <f aca="false">DI47</f>
        <v>0.0326523055268003</v>
      </c>
      <c r="I48" s="57" t="n">
        <f aca="false">DJ47</f>
        <v>0.0151274164559238</v>
      </c>
      <c r="J48" s="57" t="n">
        <f aca="false">DK47</f>
        <v>0.0879394056789156</v>
      </c>
      <c r="K48" s="57" t="n">
        <f aca="false">DL47</f>
        <v>0.535130067990779</v>
      </c>
      <c r="L48" s="57" t="n">
        <f aca="false">1-EXP(LN(1-E48)*dt)</f>
        <v>0.0243655277169612</v>
      </c>
      <c r="M48" s="57" t="n">
        <f aca="false">G48*(1-L48)</f>
        <v>0.32113087130119</v>
      </c>
      <c r="N48" s="57" t="n">
        <f aca="false">IF(Apixaban!$B$2=1,EXP(LN(or_apx_stroke)*D48)*(1-EXP(-r_stroke*F48*dt))/(1-(1-EXP(-r_stroke*F48*dt))+EXP(LN(or_apx_stroke)*D48)*(1-EXP(-r_stroke*F48*dt))),(1-EXP(-r_stroke*F48*dt)))</f>
        <v>0.00486746213581498</v>
      </c>
      <c r="O48" s="57" t="n">
        <f aca="false">IF(Apixaban!$B$2=1,EXP(LN(or_apx_ich)*D48)*(1-EXP(-r_ich*dt))/(1-(1-EXP(-r_ich*dt))+EXP(LN(or_apx_ich)*D48)*(1-EXP(-r_ich*dt))),(1-EXP(-r_ich*dt)))</f>
        <v>0.000843513249640701</v>
      </c>
      <c r="P48" s="57" t="n">
        <f aca="false">IF(Apixaban!$B$2=1,EXP(LN(or_apx_mb)*D48)*(1-EXP(-r_mb*dt))/(1-(1-EXP(-r_mb*dt))+EXP(LN(or_apx_mb)*D48)*(1-EXP(-r_mb*dt))),(1-EXP(-r_mb*dt)))</f>
        <v>0.00669446907979895</v>
      </c>
      <c r="Q48" s="57" t="n">
        <f aca="false">IF(Apixaban!$B$2=1,EXP(LN(or_apx_mi)*D48)*(1-EXP(-r_mi*dt))/(1-(1-EXP(-r_mi*dt))+EXP(LN(or_apx_mi)*D48)*(1-EXP(-r_mi*dt))),(1-EXP(-r_mi*dt)))</f>
        <v>0.00132321915530843</v>
      </c>
      <c r="R48" s="57" t="n">
        <f aca="false">(1-EXP(-r_tia*dt))</f>
        <v>0.0020060281549299</v>
      </c>
      <c r="S48" s="57" t="n">
        <f aca="false">(1-EXP(-r_minor*dt))</f>
        <v>0.0437937690785545</v>
      </c>
      <c r="T48" s="57" t="n">
        <f aca="false">M48*N48</f>
        <v>0.00156309235669981</v>
      </c>
      <c r="U48" s="57" t="n">
        <f aca="false">M48*O48</f>
        <v>0.000270878144811216</v>
      </c>
      <c r="V48" s="57" t="n">
        <f aca="false">M48*P48</f>
        <v>0.00214980068849471</v>
      </c>
      <c r="W48" s="57" t="n">
        <f aca="false">M48*Q48</f>
        <v>0.00042492652026662</v>
      </c>
      <c r="X48" s="57" t="n">
        <f aca="false">M48*R48</f>
        <v>0.000644197569247355</v>
      </c>
      <c r="Y48" s="57" t="n">
        <f aca="false">M48*S48</f>
        <v>0.0140635312217593</v>
      </c>
      <c r="Z48" s="57" t="n">
        <f aca="false">T48*f_stroke_fatal</f>
        <v>0.000370452888537855</v>
      </c>
      <c r="AA48" s="57" t="n">
        <f aca="false">T48*(1-f_stroke_fatal)*f_stroke_major</f>
        <v>0.000397148942897932</v>
      </c>
      <c r="AB48" s="57" t="n">
        <f aca="false">T48*(1-f_stroke_fatal)*(1-f_stroke_major)</f>
        <v>0.000795490525264025</v>
      </c>
      <c r="AC48" s="57" t="n">
        <f aca="false">U48*(1-f_bleed_fatal)</f>
        <v>0.000248124380647074</v>
      </c>
      <c r="AD48" s="57" t="n">
        <f aca="false">V48*(1-f_bleed_fatal)</f>
        <v>0.00196921743066115</v>
      </c>
      <c r="AE48" s="57" t="n">
        <f aca="false">W48*f_mi_fatal</f>
        <v>5.1416108952261E-005</v>
      </c>
      <c r="AF48" s="57" t="n">
        <f aca="false">W48-AE48</f>
        <v>0.000373510411314359</v>
      </c>
      <c r="AG48" s="57" t="n">
        <f aca="false">M48-T48-U48-V48-AE48</f>
        <v>0.317095684002232</v>
      </c>
      <c r="AH48" s="19" t="n">
        <f aca="false">Z48*c_stroke_fatal+AA48*c_stroke_major+AB48*c_stroke_minor+U48*c_ich+V48*c_major_bleed+AE48*c_mi_fatal+AF48*c_mi_nonfatal+X48*c_tia+Y48*c_minor_bleed</f>
        <v>88.9573849937771</v>
      </c>
      <c r="AI48" s="57" t="n">
        <f aca="false">dt*(AF48*dec_mi+AD48*dec_major_bleed+Y48*dec_minor_bleed+X48*dec_tia)</f>
        <v>0.000119258765137617</v>
      </c>
      <c r="AJ48" s="57" t="n">
        <f aca="false">G48*L48+Z48+U48-AC48+V48-AD48+AE48</f>
        <v>0.00864513906587886</v>
      </c>
      <c r="AK48" s="57" t="n">
        <f aca="false">1-EXP(LN(1-E48)*hr_death_prior_stroke*dt)</f>
        <v>0.055155335593114</v>
      </c>
      <c r="AL48" s="57" t="n">
        <f aca="false">H48*(1-AK48)</f>
        <v>0.0308513566575808</v>
      </c>
      <c r="AM48" s="57" t="n">
        <f aca="false">(1-EXP(-r_stroke*F48*rr_stroke_prior*rr_asa_stroke*dt))</f>
        <v>0.0217582075515118</v>
      </c>
      <c r="AN48" s="57" t="n">
        <f aca="false">(1-EXP(-r_ich*rr_asa_ich*dt))</f>
        <v>0.00102357767802375</v>
      </c>
      <c r="AO48" s="57" t="n">
        <f aca="false">(1-EXP(-r_mb*rr_asa_mb*dt))</f>
        <v>0.00951809672747972</v>
      </c>
      <c r="AP48" s="57" t="n">
        <f aca="false">(1-EXP(-r_mi*rr_asa_mi*dt))</f>
        <v>0.00213413516393479</v>
      </c>
      <c r="AQ48" s="57" t="n">
        <f aca="false">(1-EXP(-r_tia*rr_asa_tia*dt))</f>
        <v>0.00312764565589152</v>
      </c>
      <c r="AR48" s="57" t="n">
        <f aca="false">(1-EXP(-r_minor*rr_asa_minor*dt))</f>
        <v>0.0278181950466747</v>
      </c>
      <c r="AS48" s="57" t="n">
        <f aca="false">AL48*AM48</f>
        <v>0.000671270221401358</v>
      </c>
      <c r="AT48" s="57" t="n">
        <f aca="false">AL48*AN48</f>
        <v>3.1578760011449E-005</v>
      </c>
      <c r="AU48" s="57" t="n">
        <f aca="false">AL48*AO48</f>
        <v>0.000293646196840829</v>
      </c>
      <c r="AV48" s="57" t="n">
        <f aca="false">AL48*AP48</f>
        <v>6.58409650980369E-005</v>
      </c>
      <c r="AW48" s="57" t="n">
        <f aca="false">AL48*AQ48</f>
        <v>9.64921116284424E-005</v>
      </c>
      <c r="AX48" s="57" t="n">
        <f aca="false">AL48*AR48</f>
        <v>0.000858229056955108</v>
      </c>
      <c r="AY48" s="57" t="n">
        <f aca="false">AS48*f_stroke_fatal_recur</f>
        <v>0.000249772936681231</v>
      </c>
      <c r="AZ48" s="57" t="n">
        <f aca="false">AS48*(1-f_stroke_fatal_recur)*f_stroke_major</f>
        <v>0.000140358595811802</v>
      </c>
      <c r="BA48" s="57" t="n">
        <f aca="false">AS48*(1-f_stroke_fatal_recur)*(1-f_stroke_major)</f>
        <v>0.000281138688908325</v>
      </c>
      <c r="BB48" s="57" t="n">
        <f aca="false">AT48*(1-f_bleed_fatal)</f>
        <v>2.89261441704873E-005</v>
      </c>
      <c r="BC48" s="57" t="n">
        <f aca="false">AU48*(1-f_bleed_fatal)</f>
        <v>0.0002689799163062</v>
      </c>
      <c r="BD48" s="57" t="n">
        <f aca="false">AV48*f_mi_fatal</f>
        <v>7.96675677686246E-006</v>
      </c>
      <c r="BE48" s="57" t="n">
        <f aca="false">AV48-BD48</f>
        <v>5.78742083211744E-005</v>
      </c>
      <c r="BF48" s="57" t="n">
        <f aca="false">AL48-AS48-AT48-AU48-BD48</f>
        <v>0.0298468947225503</v>
      </c>
      <c r="BG48" s="19" t="n">
        <f aca="false">AY48*c_stroke_fatal+AZ48*c_stroke_major+BA48*c_stroke_minor+AT48*c_ich+AU48*c_major_bleed+BD48*c_mi_fatal+BE48*c_mi_nonfatal+AW48*c_tia+AX48*c_minor_bleed</f>
        <v>27.2994227343979</v>
      </c>
      <c r="BH48" s="57" t="n">
        <f aca="false">dt*(BE48*dec_mi+BC48*dec_major_bleed+AX48*dec_minor_bleed+AW48*dec_tia)</f>
        <v>1.32690233946158E-005</v>
      </c>
      <c r="BI48" s="57" t="n">
        <f aca="false">H48*AK48+AY48+AT48-BB48+AU48-BC48+BD48</f>
        <v>0.00208600745905325</v>
      </c>
      <c r="BJ48" s="57" t="n">
        <f aca="false">1-EXP(LN(1-E48)*hr_death_prior_stroke*dt)</f>
        <v>0.055155335593114</v>
      </c>
      <c r="BK48" s="57" t="n">
        <f aca="false">I48*(1-BJ48)</f>
        <v>0.0142930587246406</v>
      </c>
      <c r="BL48" s="57" t="n">
        <f aca="false">(1-EXP(-r_stroke*F48*rr_stroke_prior*rr_asa_stroke*dt))</f>
        <v>0.0217582075515118</v>
      </c>
      <c r="BM48" s="57" t="n">
        <f aca="false">(1-EXP(-r_ich*rr_asa_ich*dt))</f>
        <v>0.00102357767802375</v>
      </c>
      <c r="BN48" s="57" t="n">
        <f aca="false">(1-EXP(-r_mb*rr_asa_mb*dt))</f>
        <v>0.00951809672747972</v>
      </c>
      <c r="BO48" s="57" t="n">
        <f aca="false">(1-EXP(-r_mi*rr_asa_mi*dt))</f>
        <v>0.00213413516393479</v>
      </c>
      <c r="BP48" s="57" t="n">
        <f aca="false">(1-EXP(-r_tia*rr_asa_tia*dt))</f>
        <v>0.00312764565589152</v>
      </c>
      <c r="BQ48" s="57" t="n">
        <f aca="false">(1-EXP(-r_minor*rr_asa_minor*dt))</f>
        <v>0.0278181950466747</v>
      </c>
      <c r="BR48" s="57" t="n">
        <f aca="false">BK48*BL48</f>
        <v>0.000310991338276676</v>
      </c>
      <c r="BS48" s="57" t="n">
        <f aca="false">BK48*BM48</f>
        <v>1.46300558612246E-005</v>
      </c>
      <c r="BT48" s="57" t="n">
        <f aca="false">BK48*BN48</f>
        <v>0.000136042715472677</v>
      </c>
      <c r="BU48" s="57" t="n">
        <f aca="false">BK48*BO48</f>
        <v>3.05033192244404E-005</v>
      </c>
      <c r="BV48" s="57" t="n">
        <f aca="false">BK48*BP48</f>
        <v>4.47036230295244E-005</v>
      </c>
      <c r="BW48" s="57" t="n">
        <f aca="false">BK48*BQ48</f>
        <v>0.000397607095415627</v>
      </c>
      <c r="BX48" s="57" t="n">
        <f aca="false">BR48*f_stroke_fatal_recur</f>
        <v>0.000115716767059368</v>
      </c>
      <c r="BY48" s="57" t="n">
        <f aca="false">BR48*(1-f_stroke_fatal_recur)*f_stroke_major</f>
        <v>6.50264322153635E-005</v>
      </c>
      <c r="BZ48" s="57" t="n">
        <f aca="false">BR48*(1-f_stroke_fatal_recur)*(1-f_stroke_major)</f>
        <v>0.000130248139001944</v>
      </c>
      <c r="CA48" s="57" t="n">
        <f aca="false">BS48*(1-f_bleed_fatal)</f>
        <v>1.34011311688818E-005</v>
      </c>
      <c r="CB48" s="57" t="n">
        <f aca="false">BT48*(1-f_bleed_fatal)</f>
        <v>0.000124615127372972</v>
      </c>
      <c r="CC48" s="57" t="n">
        <f aca="false">BU48*f_mi_fatal</f>
        <v>3.69090162615729E-006</v>
      </c>
      <c r="CD48" s="57" t="n">
        <f aca="false">BU48-CC48</f>
        <v>2.68124175982831E-005</v>
      </c>
      <c r="CE48" s="57" t="n">
        <f aca="false">BK48-BR48-BS48-BT48-CC48</f>
        <v>0.0138277037134038</v>
      </c>
      <c r="CF48" s="19" t="n">
        <f aca="false">BX48*c_stroke_fatal+BY48*c_stroke_major+BZ48*c_stroke_minor+BS48*c_ich+BT48*c_major_bleed+CC48*c_mi_fatal+CD48*c_mi_nonfatal+BV48*c_tia+BW48*c_minor_bleed</f>
        <v>12.6474908906691</v>
      </c>
      <c r="CG48" s="57" t="n">
        <f aca="false">dt*(CD48*dec_mi+CB48*dec_major_bleed+BW48*dec_minor_bleed+BV48*dec_tia)</f>
        <v>6.14737733263574E-006</v>
      </c>
      <c r="CH48" s="57" t="n">
        <f aca="false">I48*BJ48+BX48+BS48-CA48+BT48-CB48+CC48</f>
        <v>0.000966421912760848</v>
      </c>
      <c r="CI48" s="57" t="n">
        <f aca="false">1-EXP(LN(1-E48)*dt)</f>
        <v>0.0243655277169612</v>
      </c>
      <c r="CJ48" s="57" t="n">
        <f aca="false">J48*(1-CI48)</f>
        <v>0.0857967156524329</v>
      </c>
      <c r="CK48" s="57" t="n">
        <f aca="false">(1-EXP(-r_stroke*F48*rr_asa_stroke*dt))</f>
        <v>0.00994944979722123</v>
      </c>
      <c r="CL48" s="57" t="n">
        <f aca="false">(1-EXP(-r_ich*rr_asa_ich*dt))</f>
        <v>0.00102357767802375</v>
      </c>
      <c r="CM48" s="57" t="n">
        <f aca="false">(1-EXP(-r_mb*rr_asa_mb*dt))</f>
        <v>0.00951809672747972</v>
      </c>
      <c r="CN48" s="57" t="n">
        <f aca="false">(1-EXP(-r_mi*rr_asa_mi*dt))</f>
        <v>0.00213413516393479</v>
      </c>
      <c r="CO48" s="57" t="n">
        <f aca="false">(1-EXP(-r_tia*rr_asa_tia*dt))</f>
        <v>0.00312764565589152</v>
      </c>
      <c r="CP48" s="57" t="n">
        <f aca="false">(1-EXP(-r_minor*rr_asa_minor*dt))</f>
        <v>0.0278181950466747</v>
      </c>
      <c r="CQ48" s="57" t="n">
        <f aca="false">CJ48*CK48</f>
        <v>0.000853630115150346</v>
      </c>
      <c r="CR48" s="57" t="n">
        <f aca="false">CJ48*CL48</f>
        <v>8.78196029895808E-005</v>
      </c>
      <c r="CS48" s="57" t="n">
        <f aca="false">CJ48*CM48</f>
        <v>0.00081662143847993</v>
      </c>
      <c r="CT48" s="57" t="n">
        <f aca="false">CJ48*CN48</f>
        <v>0.000183101787823972</v>
      </c>
      <c r="CU48" s="57" t="n">
        <f aca="false">CJ48*CO48</f>
        <v>0.000268341725000092</v>
      </c>
      <c r="CV48" s="57" t="n">
        <f aca="false">CJ48*CP48</f>
        <v>0.00238670977038347</v>
      </c>
      <c r="CW48" s="57" t="n">
        <f aca="false">CQ48*f_stroke_fatal</f>
        <v>0.000202310337290632</v>
      </c>
      <c r="CX48" s="57" t="n">
        <f aca="false">CQ48*(1-f_stroke_fatal)*f_stroke_major</f>
        <v>0.000216889486027285</v>
      </c>
      <c r="CY48" s="57" t="n">
        <f aca="false">CQ48*(1-f_stroke_fatal)*(1-f_stroke_major)</f>
        <v>0.000434430291832429</v>
      </c>
      <c r="CZ48" s="57" t="n">
        <f aca="false">CR48*(1-f_bleed_fatal)</f>
        <v>8.04427563384561E-005</v>
      </c>
      <c r="DA48" s="57" t="n">
        <f aca="false">CS48*(1-f_bleed_fatal)</f>
        <v>0.000748025237647616</v>
      </c>
      <c r="DB48" s="57" t="n">
        <f aca="false">CT48*f_mi_fatal</f>
        <v>2.21553163267006E-005</v>
      </c>
      <c r="DC48" s="57" t="n">
        <f aca="false">CT48-DB48</f>
        <v>0.000160946471497271</v>
      </c>
      <c r="DD48" s="57" t="n">
        <f aca="false">CJ48-CQ48-CR48-CS48-DB48</f>
        <v>0.0840164891794863</v>
      </c>
      <c r="DE48" s="19" t="n">
        <f aca="false">CW48*c_stroke_fatal+CX48*c_stroke_major+CY48*c_stroke_minor+CR48*c_ich+CS48*c_major_bleed+DB48*c_mi_fatal+DC48*c_mi_nonfatal+CU48*c_tia+CV48*c_minor_bleed</f>
        <v>43.0928464493373</v>
      </c>
      <c r="DF48" s="57" t="n">
        <f aca="false">dt*(DC48*dec_mi+DA48*dec_major_bleed+CV48*dec_minor_bleed+CU48*dec_tia)</f>
        <v>3.69007638726835E-005</v>
      </c>
      <c r="DG48" s="57" t="n">
        <f aca="false">J48*CI48+CW48+CR48-CZ48+CS48-DA48+DB48</f>
        <v>0.00244312872758349</v>
      </c>
      <c r="DH48" s="57" t="n">
        <f aca="false">AG48</f>
        <v>0.317095684002232</v>
      </c>
      <c r="DI48" s="57" t="n">
        <f aca="false">AB48+AC48+BF48+BA48+BB48+BC48+CY48+CZ48</f>
        <v>0.0319844274260173</v>
      </c>
      <c r="DJ48" s="57" t="n">
        <f aca="false">AA48+AZ48+BY48+CX48+CE48+BZ48+CA48+CB48</f>
        <v>0.0149153915679</v>
      </c>
      <c r="DK48" s="57" t="n">
        <f aca="false">AD48+DD48+DA48</f>
        <v>0.0867337318477951</v>
      </c>
      <c r="DL48" s="57" t="n">
        <f aca="false">K48+AJ48+BI48+CH48+DG48</f>
        <v>0.549270765156056</v>
      </c>
      <c r="DM48" s="58" t="n">
        <f aca="false">SUM(DH48:DL48)</f>
        <v>1</v>
      </c>
      <c r="DN48" s="19" t="n">
        <f aca="false">dt*(G48*Apixaban!$H$2+(H48+I48+J48)*c_aspirin)</f>
        <v>25.8740187349778</v>
      </c>
      <c r="DO48" s="19" t="n">
        <f aca="false">dt*(H48*c_lt_minor_stroke+I48*c_lt_major_stroke)</f>
        <v>187.031643267595</v>
      </c>
      <c r="DP48" s="19" t="n">
        <f aca="false">AH48+BG48+CF48+DE48</f>
        <v>171.997145068181</v>
      </c>
      <c r="DQ48" s="19" t="n">
        <f aca="false">DN48+DO48+DP48</f>
        <v>384.902807070754</v>
      </c>
      <c r="DR48" s="57" t="n">
        <f aca="false">dt*(G48*(u_af-dec_per_year_over_70*MAX(B48-ref_age,0))+H48*(u_minor_stroke-dec_per_year_over_70*MAX(B48-ref_age,0))+I48*(u_major_stroke-dec_per_year_over_70*MAX(B48-ref_age,0))+J48*(u_af-dec_per_year_over_70*MAX(B48-ref_age,0)))-AI48-BH48-CG48-DF48</f>
        <v>0.0913114613294711</v>
      </c>
      <c r="DS48" s="57" t="n">
        <f aca="false">dt*(G48+H48+I48+J48)</f>
        <v>0.116217483002305</v>
      </c>
      <c r="DT48" s="19" t="n">
        <f aca="false">DQ48*C48</f>
        <v>329.198338618359</v>
      </c>
      <c r="DU48" s="19" t="n">
        <f aca="false">DN48*C48</f>
        <v>22.1294410548927</v>
      </c>
      <c r="DV48" s="19" t="n">
        <f aca="false">DP48*C48</f>
        <v>147.105122029255</v>
      </c>
      <c r="DW48" s="19" t="n">
        <f aca="false">DO48*C48</f>
        <v>159.963775534211</v>
      </c>
      <c r="DX48" s="57" t="n">
        <f aca="false">DR48*C48</f>
        <v>0.0780965501271358</v>
      </c>
      <c r="DY48" s="57" t="n">
        <f aca="false">DS48*C48</f>
        <v>0.099398086010148</v>
      </c>
      <c r="DZ48" s="57" t="n">
        <f aca="false">T48+AS48+BR48+CQ48</f>
        <v>0.00339898403152819</v>
      </c>
      <c r="EA48" s="57" t="n">
        <f aca="false">U48+AT48+BS48+CR48</f>
        <v>0.00040490656367347</v>
      </c>
      <c r="EB48" s="57" t="n">
        <f aca="false">V48+AU48+BT48+CS48</f>
        <v>0.00339611103928815</v>
      </c>
      <c r="EC48" s="57" t="n">
        <f aca="false">G48*dt*C48</f>
        <v>0.0703787397465003</v>
      </c>
    </row>
    <row r="49" customFormat="false" ht="15" hidden="false" customHeight="false" outlineLevel="0" collapsed="false">
      <c r="A49" s="8" t="n">
        <v>43</v>
      </c>
      <c r="B49" s="54" t="n">
        <f aca="false">start_age+A49*dt</f>
        <v>80.75</v>
      </c>
      <c r="C49" s="16" t="n">
        <f aca="false">(1+disc_rate)^-(A49*dt)</f>
        <v>0.852098980753022</v>
      </c>
      <c r="D49" s="55" t="n">
        <f aca="false">IF(A49*dt&gt;=wane_start,(1-wane_decay)^(A49*dt-wane_start),1)</f>
        <v>1</v>
      </c>
      <c r="E49" s="25" t="n">
        <f aca="false">MIN(p_nonvasc_death*MIN(EXP(gomp_int+gomp_slope*INT(B49)),1)/qx_ref,0.999)</f>
        <v>0.0939575459703644</v>
      </c>
      <c r="F49" s="55" t="n">
        <f aca="false">rr_stroke_per_decade^((B49-ref_age)/10)</f>
        <v>1.54631547964922</v>
      </c>
      <c r="G49" s="57" t="n">
        <f aca="false">DH48</f>
        <v>0.317095684002232</v>
      </c>
      <c r="H49" s="57" t="n">
        <f aca="false">DI48</f>
        <v>0.0319844274260173</v>
      </c>
      <c r="I49" s="57" t="n">
        <f aca="false">DJ48</f>
        <v>0.0149153915679</v>
      </c>
      <c r="J49" s="57" t="n">
        <f aca="false">DK48</f>
        <v>0.0867337318477951</v>
      </c>
      <c r="K49" s="57" t="n">
        <f aca="false">DL48</f>
        <v>0.549270765156056</v>
      </c>
      <c r="L49" s="57" t="n">
        <f aca="false">1-EXP(LN(1-E49)*dt)</f>
        <v>0.0243655277169612</v>
      </c>
      <c r="M49" s="57" t="n">
        <f aca="false">G49*(1-L49)</f>
        <v>0.309369480324746</v>
      </c>
      <c r="N49" s="57" t="n">
        <f aca="false">IF(Apixaban!$B$2=1,EXP(LN(or_apx_stroke)*D49)*(1-EXP(-r_stroke*F49*dt))/(1-(1-EXP(-r_stroke*F49*dt))+EXP(LN(or_apx_stroke)*D49)*(1-EXP(-r_stroke*F49*dt))),(1-EXP(-r_stroke*F49*dt)))</f>
        <v>0.00491696287509902</v>
      </c>
      <c r="O49" s="57" t="n">
        <f aca="false">IF(Apixaban!$B$2=1,EXP(LN(or_apx_ich)*D49)*(1-EXP(-r_ich*dt))/(1-(1-EXP(-r_ich*dt))+EXP(LN(or_apx_ich)*D49)*(1-EXP(-r_ich*dt))),(1-EXP(-r_ich*dt)))</f>
        <v>0.000843513249640701</v>
      </c>
      <c r="P49" s="57" t="n">
        <f aca="false">IF(Apixaban!$B$2=1,EXP(LN(or_apx_mb)*D49)*(1-EXP(-r_mb*dt))/(1-(1-EXP(-r_mb*dt))+EXP(LN(or_apx_mb)*D49)*(1-EXP(-r_mb*dt))),(1-EXP(-r_mb*dt)))</f>
        <v>0.00669446907979895</v>
      </c>
      <c r="Q49" s="57" t="n">
        <f aca="false">IF(Apixaban!$B$2=1,EXP(LN(or_apx_mi)*D49)*(1-EXP(-r_mi*dt))/(1-(1-EXP(-r_mi*dt))+EXP(LN(or_apx_mi)*D49)*(1-EXP(-r_mi*dt))),(1-EXP(-r_mi*dt)))</f>
        <v>0.00132321915530843</v>
      </c>
      <c r="R49" s="57" t="n">
        <f aca="false">(1-EXP(-r_tia*dt))</f>
        <v>0.0020060281549299</v>
      </c>
      <c r="S49" s="57" t="n">
        <f aca="false">(1-EXP(-r_minor*dt))</f>
        <v>0.0437937690785545</v>
      </c>
      <c r="T49" s="57" t="n">
        <f aca="false">M49*N49</f>
        <v>0.00152115824944546</v>
      </c>
      <c r="U49" s="57" t="n">
        <f aca="false">M49*O49</f>
        <v>0.000260957255688382</v>
      </c>
      <c r="V49" s="57" t="n">
        <f aca="false">M49*P49</f>
        <v>0.00207106442026749</v>
      </c>
      <c r="W49" s="57" t="n">
        <f aca="false">M49*Q49</f>
        <v>0.000409363622433518</v>
      </c>
      <c r="X49" s="57" t="n">
        <f aca="false">M49*R49</f>
        <v>0.000620603887807472</v>
      </c>
      <c r="Y49" s="57" t="n">
        <f aca="false">M49*S49</f>
        <v>0.0135484555812943</v>
      </c>
      <c r="Z49" s="57" t="n">
        <f aca="false">T49*f_stroke_fatal</f>
        <v>0.000360514505118573</v>
      </c>
      <c r="AA49" s="57" t="n">
        <f aca="false">T49*(1-f_stroke_fatal)*f_stroke_major</f>
        <v>0.000386494366860852</v>
      </c>
      <c r="AB49" s="57" t="n">
        <f aca="false">T49*(1-f_stroke_fatal)*(1-f_stroke_major)</f>
        <v>0.000774149377466031</v>
      </c>
      <c r="AC49" s="57" t="n">
        <f aca="false">U49*(1-f_bleed_fatal)</f>
        <v>0.000239036846210558</v>
      </c>
      <c r="AD49" s="57" t="n">
        <f aca="false">V49*(1-f_bleed_fatal)</f>
        <v>0.00189709500896502</v>
      </c>
      <c r="AE49" s="57" t="n">
        <f aca="false">W49*f_mi_fatal</f>
        <v>4.95329983144557E-005</v>
      </c>
      <c r="AF49" s="57" t="n">
        <f aca="false">W49-AE49</f>
        <v>0.000359830624119063</v>
      </c>
      <c r="AG49" s="57" t="n">
        <f aca="false">M49-T49-U49-V49-AE49</f>
        <v>0.305466767401031</v>
      </c>
      <c r="AH49" s="19" t="n">
        <f aca="false">Z49*c_stroke_fatal+AA49*c_stroke_major+AB49*c_stroke_minor+U49*c_ich+V49*c_major_bleed+AE49*c_mi_fatal+AF49*c_mi_nonfatal+X49*c_tia+Y49*c_minor_bleed</f>
        <v>86.2651449822213</v>
      </c>
      <c r="AI49" s="57" t="n">
        <f aca="false">dt*(AF49*dec_mi+AD49*dec_major_bleed+Y49*dec_minor_bleed+X49*dec_tia)</f>
        <v>0.000114890922960165</v>
      </c>
      <c r="AJ49" s="57" t="n">
        <f aca="false">G49*L49+Z49+U49-AC49+V49-AD49+AE49</f>
        <v>0.00833214100169847</v>
      </c>
      <c r="AK49" s="57" t="n">
        <f aca="false">1-EXP(LN(1-E49)*hr_death_prior_stroke*dt)</f>
        <v>0.055155335593114</v>
      </c>
      <c r="AL49" s="57" t="n">
        <f aca="false">H49*(1-AK49)</f>
        <v>0.0302203155975817</v>
      </c>
      <c r="AM49" s="57" t="n">
        <f aca="false">(1-EXP(-r_stroke*F49*rr_stroke_prior*rr_asa_stroke*dt))</f>
        <v>0.0219774301361657</v>
      </c>
      <c r="AN49" s="57" t="n">
        <f aca="false">(1-EXP(-r_ich*rr_asa_ich*dt))</f>
        <v>0.00102357767802375</v>
      </c>
      <c r="AO49" s="57" t="n">
        <f aca="false">(1-EXP(-r_mb*rr_asa_mb*dt))</f>
        <v>0.00951809672747972</v>
      </c>
      <c r="AP49" s="57" t="n">
        <f aca="false">(1-EXP(-r_mi*rr_asa_mi*dt))</f>
        <v>0.00213413516393479</v>
      </c>
      <c r="AQ49" s="57" t="n">
        <f aca="false">(1-EXP(-r_tia*rr_asa_tia*dt))</f>
        <v>0.00312764565589152</v>
      </c>
      <c r="AR49" s="57" t="n">
        <f aca="false">(1-EXP(-r_minor*rr_asa_minor*dt))</f>
        <v>0.0278181950466747</v>
      </c>
      <c r="AS49" s="57" t="n">
        <f aca="false">AL49*AM49</f>
        <v>0.00066416487473873</v>
      </c>
      <c r="AT49" s="57" t="n">
        <f aca="false">AL49*AN49</f>
        <v>3.09328404685175E-005</v>
      </c>
      <c r="AU49" s="57" t="n">
        <f aca="false">AL49*AO49</f>
        <v>0.000287639886992747</v>
      </c>
      <c r="AV49" s="57" t="n">
        <f aca="false">AL49*AP49</f>
        <v>6.44942381820061E-005</v>
      </c>
      <c r="AW49" s="57" t="n">
        <f aca="false">AL49*AQ49</f>
        <v>9.45184387984471E-005</v>
      </c>
      <c r="AX49" s="57" t="n">
        <f aca="false">AL49*AR49</f>
        <v>0.000840674633665593</v>
      </c>
      <c r="AY49" s="57" t="n">
        <f aca="false">AS49*f_stroke_fatal_recur</f>
        <v>0.000247129108241534</v>
      </c>
      <c r="AZ49" s="57" t="n">
        <f aca="false">AS49*(1-f_stroke_fatal_recur)*f_stroke_major</f>
        <v>0.000138872910243566</v>
      </c>
      <c r="BA49" s="57" t="n">
        <f aca="false">AS49*(1-f_stroke_fatal_recur)*(1-f_stroke_major)</f>
        <v>0.00027816285625363</v>
      </c>
      <c r="BB49" s="57" t="n">
        <f aca="false">AT49*(1-f_bleed_fatal)</f>
        <v>2.8334481869162E-005</v>
      </c>
      <c r="BC49" s="57" t="n">
        <f aca="false">AU49*(1-f_bleed_fatal)</f>
        <v>0.000263478136485356</v>
      </c>
      <c r="BD49" s="57" t="n">
        <f aca="false">AV49*f_mi_fatal</f>
        <v>7.80380282002274E-006</v>
      </c>
      <c r="BE49" s="57" t="n">
        <f aca="false">AV49-BD49</f>
        <v>5.66904353619834E-005</v>
      </c>
      <c r="BF49" s="57" t="n">
        <f aca="false">AL49-AS49-AT49-AU49-BD49</f>
        <v>0.0292297741925617</v>
      </c>
      <c r="BG49" s="19" t="n">
        <f aca="false">AY49*c_stroke_fatal+AZ49*c_stroke_major+BA49*c_stroke_minor+AT49*c_ich+AU49*c_major_bleed+BD49*c_mi_fatal+BE49*c_mi_nonfatal+AW49*c_tia+AX49*c_minor_bleed</f>
        <v>26.9694593498873</v>
      </c>
      <c r="BH49" s="57" t="n">
        <f aca="false">dt*(BE49*dec_mi+BC49*dec_major_bleed+AX49*dec_minor_bleed+AW49*dec_tia)</f>
        <v>1.29976156026984E-005</v>
      </c>
      <c r="BI49" s="57" t="n">
        <f aca="false">H49*AK49+AY49+AT49-BB49+AU49-BC49+BD49</f>
        <v>0.00204580484860389</v>
      </c>
      <c r="BJ49" s="57" t="n">
        <f aca="false">1-EXP(LN(1-E49)*hr_death_prior_stroke*dt)</f>
        <v>0.055155335593114</v>
      </c>
      <c r="BK49" s="57" t="n">
        <f aca="false">I49*(1-BJ49)</f>
        <v>0.0140927281404698</v>
      </c>
      <c r="BL49" s="57" t="n">
        <f aca="false">(1-EXP(-r_stroke*F49*rr_stroke_prior*rr_asa_stroke*dt))</f>
        <v>0.0219774301361657</v>
      </c>
      <c r="BM49" s="57" t="n">
        <f aca="false">(1-EXP(-r_ich*rr_asa_ich*dt))</f>
        <v>0.00102357767802375</v>
      </c>
      <c r="BN49" s="57" t="n">
        <f aca="false">(1-EXP(-r_mb*rr_asa_mb*dt))</f>
        <v>0.00951809672747972</v>
      </c>
      <c r="BO49" s="57" t="n">
        <f aca="false">(1-EXP(-r_mi*rr_asa_mi*dt))</f>
        <v>0.00213413516393479</v>
      </c>
      <c r="BP49" s="57" t="n">
        <f aca="false">(1-EXP(-r_tia*rr_asa_tia*dt))</f>
        <v>0.00312764565589152</v>
      </c>
      <c r="BQ49" s="57" t="n">
        <f aca="false">(1-EXP(-r_minor*rr_asa_minor*dt))</f>
        <v>0.0278181950466747</v>
      </c>
      <c r="BR49" s="57" t="n">
        <f aca="false">BK49*BL49</f>
        <v>0.000309721948135151</v>
      </c>
      <c r="BS49" s="57" t="n">
        <f aca="false">BK49*BM49</f>
        <v>1.4425001947042E-005</v>
      </c>
      <c r="BT49" s="57" t="n">
        <f aca="false">BK49*BN49</f>
        <v>0.000134135949595067</v>
      </c>
      <c r="BU49" s="57" t="n">
        <f aca="false">BK49*BO49</f>
        <v>3.00757866803499E-005</v>
      </c>
      <c r="BV49" s="57" t="n">
        <f aca="false">BK49*BP49</f>
        <v>4.40770599482005E-005</v>
      </c>
      <c r="BW49" s="57" t="n">
        <f aca="false">BK49*BQ49</f>
        <v>0.00039203426015135</v>
      </c>
      <c r="BX49" s="57" t="n">
        <f aca="false">BR49*f_stroke_fatal_recur</f>
        <v>0.000115244439681608</v>
      </c>
      <c r="BY49" s="57" t="n">
        <f aca="false">BR49*(1-f_stroke_fatal_recur)*f_stroke_major</f>
        <v>6.47610103150297E-005</v>
      </c>
      <c r="BZ49" s="57" t="n">
        <f aca="false">BR49*(1-f_stroke_fatal_recur)*(1-f_stroke_major)</f>
        <v>0.000129716498138513</v>
      </c>
      <c r="CA49" s="57" t="n">
        <f aca="false">BS49*(1-f_bleed_fatal)</f>
        <v>1.32133017834904E-005</v>
      </c>
      <c r="CB49" s="57" t="n">
        <f aca="false">BT49*(1-f_bleed_fatal)</f>
        <v>0.000122868529829081</v>
      </c>
      <c r="CC49" s="57" t="n">
        <f aca="false">BU49*f_mi_fatal</f>
        <v>3.63917018832234E-006</v>
      </c>
      <c r="CD49" s="57" t="n">
        <f aca="false">BU49-CC49</f>
        <v>2.64366164920276E-005</v>
      </c>
      <c r="CE49" s="57" t="n">
        <f aca="false">BK49-BR49-BS49-BT49-CC49</f>
        <v>0.0136308060706042</v>
      </c>
      <c r="CF49" s="19" t="n">
        <f aca="false">BX49*c_stroke_fatal+BY49*c_stroke_major+BZ49*c_stroke_minor+BS49*c_ich+BT49*c_major_bleed+CC49*c_mi_fatal+CD49*c_mi_nonfatal+BV49*c_tia+BW49*c_minor_bleed</f>
        <v>12.5767468405865</v>
      </c>
      <c r="CG49" s="57" t="n">
        <f aca="false">dt*(CD49*dec_mi+CB49*dec_major_bleed+BW49*dec_minor_bleed+BV49*dec_tia)</f>
        <v>6.06121609060278E-006</v>
      </c>
      <c r="CH49" s="57" t="n">
        <f aca="false">I49*BJ49+BX49+BS49-CA49+BT49-CB49+CC49</f>
        <v>0.000954026157229696</v>
      </c>
      <c r="CI49" s="57" t="n">
        <f aca="false">1-EXP(LN(1-E49)*dt)</f>
        <v>0.0243655277169612</v>
      </c>
      <c r="CJ49" s="57" t="n">
        <f aca="false">J49*(1-CI49)</f>
        <v>0.0846204187004622</v>
      </c>
      <c r="CK49" s="57" t="n">
        <f aca="false">(1-EXP(-r_stroke*F49*rr_asa_stroke*dt))</f>
        <v>0.0100503054663383</v>
      </c>
      <c r="CL49" s="57" t="n">
        <f aca="false">(1-EXP(-r_ich*rr_asa_ich*dt))</f>
        <v>0.00102357767802375</v>
      </c>
      <c r="CM49" s="57" t="n">
        <f aca="false">(1-EXP(-r_mb*rr_asa_mb*dt))</f>
        <v>0.00951809672747972</v>
      </c>
      <c r="CN49" s="57" t="n">
        <f aca="false">(1-EXP(-r_mi*rr_asa_mi*dt))</f>
        <v>0.00213413516393479</v>
      </c>
      <c r="CO49" s="57" t="n">
        <f aca="false">(1-EXP(-r_tia*rr_asa_tia*dt))</f>
        <v>0.00312764565589152</v>
      </c>
      <c r="CP49" s="57" t="n">
        <f aca="false">(1-EXP(-r_minor*rr_asa_minor*dt))</f>
        <v>0.0278181950466747</v>
      </c>
      <c r="CQ49" s="57" t="n">
        <f aca="false">CJ49*CK49</f>
        <v>0.000850461056629094</v>
      </c>
      <c r="CR49" s="57" t="n">
        <f aca="false">CJ49*CL49</f>
        <v>8.66155716868163E-005</v>
      </c>
      <c r="CS49" s="57" t="n">
        <f aca="false">CJ49*CM49</f>
        <v>0.000805425330310833</v>
      </c>
      <c r="CT49" s="57" t="n">
        <f aca="false">CJ49*CN49</f>
        <v>0.000180591411135542</v>
      </c>
      <c r="CU49" s="57" t="n">
        <f aca="false">CJ49*CO49</f>
        <v>0.000264662684948222</v>
      </c>
      <c r="CV49" s="57" t="n">
        <f aca="false">CJ49*CP49</f>
        <v>0.00235398731234074</v>
      </c>
      <c r="CW49" s="57" t="n">
        <f aca="false">CQ49*f_stroke_fatal</f>
        <v>0.000201559270421095</v>
      </c>
      <c r="CX49" s="57" t="n">
        <f aca="false">CQ49*(1-f_stroke_fatal)*f_stroke_major</f>
        <v>0.000216084294807264</v>
      </c>
      <c r="CY49" s="57" t="n">
        <f aca="false">CQ49*(1-f_stroke_fatal)*(1-f_stroke_major)</f>
        <v>0.000432817491400735</v>
      </c>
      <c r="CZ49" s="57" t="n">
        <f aca="false">CR49*(1-f_bleed_fatal)</f>
        <v>7.93398636651237E-005</v>
      </c>
      <c r="DA49" s="57" t="n">
        <f aca="false">CS49*(1-f_bleed_fatal)</f>
        <v>0.000737769602564723</v>
      </c>
      <c r="DB49" s="57" t="n">
        <f aca="false">CT49*f_mi_fatal</f>
        <v>2.18515607474005E-005</v>
      </c>
      <c r="DC49" s="57" t="n">
        <f aca="false">CT49-DB49</f>
        <v>0.000158739850388141</v>
      </c>
      <c r="DD49" s="57" t="n">
        <f aca="false">CJ49-CQ49-CR49-CS49-DB49</f>
        <v>0.082856065181088</v>
      </c>
      <c r="DE49" s="19" t="n">
        <f aca="false">CW49*c_stroke_fatal+CX49*c_stroke_major+CY49*c_stroke_minor+CR49*c_ich+CS49*c_major_bleed+DB49*c_mi_fatal+DC49*c_mi_nonfatal+CU49*c_tia+CV49*c_minor_bleed</f>
        <v>42.8173591491368</v>
      </c>
      <c r="DF49" s="57" t="n">
        <f aca="false">dt*(DC49*dec_mi+DA49*dec_major_bleed+CV49*dec_minor_bleed+CU49*dec_tia)</f>
        <v>3.63948440861421E-005</v>
      </c>
      <c r="DG49" s="57" t="n">
        <f aca="false">J49*CI49+CW49+CR49-CZ49+CS49-DA49+DB49</f>
        <v>0.00241165541426923</v>
      </c>
      <c r="DH49" s="57" t="n">
        <f aca="false">AG49</f>
        <v>0.305466767401031</v>
      </c>
      <c r="DI49" s="57" t="n">
        <f aca="false">AB49+AC49+BF49+BA49+BB49+BC49+CY49+CZ49</f>
        <v>0.0313250932459123</v>
      </c>
      <c r="DJ49" s="57" t="n">
        <f aca="false">AA49+AZ49+BY49+CX49+CE49+BZ49+CA49+CB49</f>
        <v>0.014702816982582</v>
      </c>
      <c r="DK49" s="57" t="n">
        <f aca="false">AD49+DD49+DA49</f>
        <v>0.0854909297926178</v>
      </c>
      <c r="DL49" s="57" t="n">
        <f aca="false">K49+AJ49+BI49+CH49+DG49</f>
        <v>0.563014392577857</v>
      </c>
      <c r="DM49" s="58" t="n">
        <f aca="false">SUM(DH49:DL49)</f>
        <v>1</v>
      </c>
      <c r="DN49" s="19" t="n">
        <f aca="false">dt*(G49*Apixaban!$H$2+(H49+I49+J49)*c_aspirin)</f>
        <v>24.9545438066218</v>
      </c>
      <c r="DO49" s="19" t="n">
        <f aca="false">dt*(H49*c_lt_minor_stroke+I49*c_lt_major_stroke)</f>
        <v>183.841908284963</v>
      </c>
      <c r="DP49" s="19" t="n">
        <f aca="false">AH49+BG49+CF49+DE49</f>
        <v>168.628710321832</v>
      </c>
      <c r="DQ49" s="19" t="n">
        <f aca="false">DN49+DO49+DP49</f>
        <v>377.425162413416</v>
      </c>
      <c r="DR49" s="57" t="n">
        <f aca="false">dt*(G49*(u_af-dec_per_year_over_70*MAX(B49-ref_age,0))+H49*(u_minor_stroke-dec_per_year_over_70*MAX(B49-ref_age,0))+I49*(u_major_stroke-dec_per_year_over_70*MAX(B49-ref_age,0))+J49*(u_af-dec_per_year_over_70*MAX(B49-ref_age,0)))-AI49-BH49-CG49-DF49</f>
        <v>0.0884911199647334</v>
      </c>
      <c r="DS49" s="57" t="n">
        <f aca="false">dt*(G49+H49+I49+J49)</f>
        <v>0.112682308710986</v>
      </c>
      <c r="DT49" s="19" t="n">
        <f aca="false">DQ49*C49</f>
        <v>321.603596203016</v>
      </c>
      <c r="DU49" s="19" t="n">
        <f aca="false">DN49*C49</f>
        <v>21.263741342779</v>
      </c>
      <c r="DV49" s="19" t="n">
        <f aca="false">DP49*C49</f>
        <v>143.688352190929</v>
      </c>
      <c r="DW49" s="19" t="n">
        <f aca="false">DO49*C49</f>
        <v>156.651502669307</v>
      </c>
      <c r="DX49" s="57" t="n">
        <f aca="false">DR49*C49</f>
        <v>0.0754031931276427</v>
      </c>
      <c r="DY49" s="57" t="n">
        <f aca="false">DS49*C49</f>
        <v>0.0960164804015285</v>
      </c>
      <c r="DZ49" s="57" t="n">
        <f aca="false">T49+AS49+BR49+CQ49</f>
        <v>0.00334550612894843</v>
      </c>
      <c r="EA49" s="57" t="n">
        <f aca="false">U49+AT49+BS49+CR49</f>
        <v>0.000392930669790757</v>
      </c>
      <c r="EB49" s="57" t="n">
        <f aca="false">V49+AU49+BT49+CS49</f>
        <v>0.00329826558716613</v>
      </c>
      <c r="EC49" s="57" t="n">
        <f aca="false">G49*dt*C49</f>
        <v>0.0675492272848709</v>
      </c>
    </row>
    <row r="50" customFormat="false" ht="15" hidden="false" customHeight="false" outlineLevel="0" collapsed="false">
      <c r="A50" s="8" t="n">
        <v>44</v>
      </c>
      <c r="B50" s="54" t="n">
        <f aca="false">start_age+A50*dt</f>
        <v>81</v>
      </c>
      <c r="C50" s="16" t="n">
        <f aca="false">(1+disc_rate)^-(A50*dt)</f>
        <v>0.848933233223827</v>
      </c>
      <c r="D50" s="55" t="n">
        <f aca="false">IF(A50*dt&gt;=wane_start,(1-wane_decay)^(A50*dt-wane_start),1)</f>
        <v>1</v>
      </c>
      <c r="E50" s="25" t="n">
        <f aca="false">MIN(p_nonvasc_death*MIN(EXP(gomp_int+gomp_slope*INT(B50)),1)/qx_ref,0.999)</f>
        <v>0.104321407440289</v>
      </c>
      <c r="F50" s="55" t="n">
        <f aca="false">rr_stroke_per_decade^((B50-ref_age)/10)</f>
        <v>1.56206961598862</v>
      </c>
      <c r="G50" s="57" t="n">
        <f aca="false">DH49</f>
        <v>0.305466767401031</v>
      </c>
      <c r="H50" s="57" t="n">
        <f aca="false">DI49</f>
        <v>0.0313250932459123</v>
      </c>
      <c r="I50" s="57" t="n">
        <f aca="false">DJ49</f>
        <v>0.014702816982582</v>
      </c>
      <c r="J50" s="57" t="n">
        <f aca="false">DK49</f>
        <v>0.0854909297926178</v>
      </c>
      <c r="K50" s="57" t="n">
        <f aca="false">DL49</f>
        <v>0.563014392577857</v>
      </c>
      <c r="L50" s="57" t="n">
        <f aca="false">1-EXP(LN(1-E50)*dt)</f>
        <v>0.0271675499979046</v>
      </c>
      <c r="M50" s="57" t="n">
        <f aca="false">G50*(1-L50)</f>
        <v>0.297167983724965</v>
      </c>
      <c r="N50" s="57" t="n">
        <f aca="false">IF(Apixaban!$B$2=1,EXP(LN(or_apx_stroke)*D50)*(1-EXP(-r_stroke*F50*dt))/(1-(1-EXP(-r_stroke*F50*dt))+EXP(LN(or_apx_stroke)*D50)*(1-EXP(-r_stroke*F50*dt))),(1-EXP(-r_stroke*F50*dt)))</f>
        <v>0.00496696609704717</v>
      </c>
      <c r="O50" s="57" t="n">
        <f aca="false">IF(Apixaban!$B$2=1,EXP(LN(or_apx_ich)*D50)*(1-EXP(-r_ich*dt))/(1-(1-EXP(-r_ich*dt))+EXP(LN(or_apx_ich)*D50)*(1-EXP(-r_ich*dt))),(1-EXP(-r_ich*dt)))</f>
        <v>0.000843513249640701</v>
      </c>
      <c r="P50" s="57" t="n">
        <f aca="false">IF(Apixaban!$B$2=1,EXP(LN(or_apx_mb)*D50)*(1-EXP(-r_mb*dt))/(1-(1-EXP(-r_mb*dt))+EXP(LN(or_apx_mb)*D50)*(1-EXP(-r_mb*dt))),(1-EXP(-r_mb*dt)))</f>
        <v>0.00669446907979895</v>
      </c>
      <c r="Q50" s="57" t="n">
        <f aca="false">IF(Apixaban!$B$2=1,EXP(LN(or_apx_mi)*D50)*(1-EXP(-r_mi*dt))/(1-(1-EXP(-r_mi*dt))+EXP(LN(or_apx_mi)*D50)*(1-EXP(-r_mi*dt))),(1-EXP(-r_mi*dt)))</f>
        <v>0.00132321915530843</v>
      </c>
      <c r="R50" s="57" t="n">
        <f aca="false">(1-EXP(-r_tia*dt))</f>
        <v>0.0020060281549299</v>
      </c>
      <c r="S50" s="57" t="n">
        <f aca="false">(1-EXP(-r_minor*dt))</f>
        <v>0.0437937690785545</v>
      </c>
      <c r="T50" s="57" t="n">
        <f aca="false">M50*N50</f>
        <v>0.00147602330028977</v>
      </c>
      <c r="U50" s="57" t="n">
        <f aca="false">M50*O50</f>
        <v>0.00025066513164102</v>
      </c>
      <c r="V50" s="57" t="n">
        <f aca="false">M50*P50</f>
        <v>0.00198938187855298</v>
      </c>
      <c r="W50" s="57" t="n">
        <f aca="false">M50*Q50</f>
        <v>0.000393218368409257</v>
      </c>
      <c r="X50" s="57" t="n">
        <f aca="false">M50*R50</f>
        <v>0.000596127342096028</v>
      </c>
      <c r="Y50" s="57" t="n">
        <f aca="false">M50*S50</f>
        <v>0.0130141060567907</v>
      </c>
      <c r="Z50" s="57" t="n">
        <f aca="false">T50*f_stroke_fatal</f>
        <v>0.000349817522168675</v>
      </c>
      <c r="AA50" s="57" t="n">
        <f aca="false">T50*(1-f_stroke_fatal)*f_stroke_major</f>
        <v>0.000375026524114324</v>
      </c>
      <c r="AB50" s="57" t="n">
        <f aca="false">T50*(1-f_stroke_fatal)*(1-f_stroke_major)</f>
        <v>0.000751179254006768</v>
      </c>
      <c r="AC50" s="57" t="n">
        <f aca="false">U50*(1-f_bleed_fatal)</f>
        <v>0.000229609260583174</v>
      </c>
      <c r="AD50" s="57" t="n">
        <f aca="false">V50*(1-f_bleed_fatal)</f>
        <v>0.00182227380075453</v>
      </c>
      <c r="AE50" s="57" t="n">
        <f aca="false">W50*f_mi_fatal</f>
        <v>4.75794225775201E-005</v>
      </c>
      <c r="AF50" s="57" t="n">
        <f aca="false">W50-AE50</f>
        <v>0.000345638945831737</v>
      </c>
      <c r="AG50" s="57" t="n">
        <f aca="false">M50-T50-U50-V50-AE50</f>
        <v>0.293404333991904</v>
      </c>
      <c r="AH50" s="19" t="n">
        <f aca="false">Z50*c_stroke_fatal+AA50*c_stroke_major+AB50*c_stroke_minor+U50*c_ich+V50*c_major_bleed+AE50*c_mi_fatal+AF50*c_mi_nonfatal+X50*c_tia+Y50*c_minor_bleed</f>
        <v>83.4118756437931</v>
      </c>
      <c r="AI50" s="57" t="n">
        <f aca="false">dt*(AF50*dec_mi+AD50*dec_major_bleed+Y50*dec_minor_bleed+X50*dec_tia)</f>
        <v>0.000110359638218139</v>
      </c>
      <c r="AJ50" s="57" t="n">
        <f aca="false">G50*L50+Z50+U50-AC50+V50-AD50+AE50</f>
        <v>0.00888434456966829</v>
      </c>
      <c r="AK50" s="57" t="n">
        <f aca="false">1-EXP(LN(1-E50)*hr_death_prior_stroke*dt)</f>
        <v>0.0613849538308807</v>
      </c>
      <c r="AL50" s="57" t="n">
        <f aca="false">H50*(1-AK50)</f>
        <v>0.0294022038432639</v>
      </c>
      <c r="AM50" s="57" t="n">
        <f aca="false">(1-EXP(-r_stroke*F50*rr_stroke_prior*rr_asa_stroke*dt))</f>
        <v>0.0221988363186323</v>
      </c>
      <c r="AN50" s="57" t="n">
        <f aca="false">(1-EXP(-r_ich*rr_asa_ich*dt))</f>
        <v>0.00102357767802375</v>
      </c>
      <c r="AO50" s="57" t="n">
        <f aca="false">(1-EXP(-r_mb*rr_asa_mb*dt))</f>
        <v>0.00951809672747972</v>
      </c>
      <c r="AP50" s="57" t="n">
        <f aca="false">(1-EXP(-r_mi*rr_asa_mi*dt))</f>
        <v>0.00213413516393479</v>
      </c>
      <c r="AQ50" s="57" t="n">
        <f aca="false">(1-EXP(-r_tia*rr_asa_tia*dt))</f>
        <v>0.00312764565589152</v>
      </c>
      <c r="AR50" s="57" t="n">
        <f aca="false">(1-EXP(-r_minor*rr_asa_minor*dt))</f>
        <v>0.0278181950466747</v>
      </c>
      <c r="AS50" s="57" t="n">
        <f aca="false">AL50*AM50</f>
        <v>0.000652694710523677</v>
      </c>
      <c r="AT50" s="57" t="n">
        <f aca="false">AL50*AN50</f>
        <v>3.00954395386689E-005</v>
      </c>
      <c r="AU50" s="57" t="n">
        <f aca="false">AL50*AO50</f>
        <v>0.000279853020181262</v>
      </c>
      <c r="AV50" s="57" t="n">
        <f aca="false">AL50*AP50</f>
        <v>6.27482771190882E-005</v>
      </c>
      <c r="AW50" s="57" t="n">
        <f aca="false">AL50*AQ50</f>
        <v>9.19596751240213E-005</v>
      </c>
      <c r="AX50" s="57" t="n">
        <f aca="false">AL50*AR50</f>
        <v>0.000817916241314004</v>
      </c>
      <c r="AY50" s="57" t="n">
        <f aca="false">AS50*f_stroke_fatal_recur</f>
        <v>0.000242861174838755</v>
      </c>
      <c r="AZ50" s="57" t="n">
        <f aca="false">AS50*(1-f_stroke_fatal_recur)*f_stroke_major</f>
        <v>0.000136474567383079</v>
      </c>
      <c r="BA50" s="57" t="n">
        <f aca="false">AS50*(1-f_stroke_fatal_recur)*(1-f_stroke_major)</f>
        <v>0.000273358968301843</v>
      </c>
      <c r="BB50" s="57" t="n">
        <f aca="false">AT50*(1-f_bleed_fatal)</f>
        <v>2.75674226174207E-005</v>
      </c>
      <c r="BC50" s="57" t="n">
        <f aca="false">AU50*(1-f_bleed_fatal)</f>
        <v>0.000256345366486036</v>
      </c>
      <c r="BD50" s="57" t="n">
        <f aca="false">AV50*f_mi_fatal</f>
        <v>7.59254153140967E-006</v>
      </c>
      <c r="BE50" s="57" t="n">
        <f aca="false">AV50-BD50</f>
        <v>5.51557355876785E-005</v>
      </c>
      <c r="BF50" s="57" t="n">
        <f aca="false">AL50-AS50-AT50-AU50-BD50</f>
        <v>0.0284319681314889</v>
      </c>
      <c r="BG50" s="19" t="n">
        <f aca="false">AY50*c_stroke_fatal+AZ50*c_stroke_major+BA50*c_stroke_minor+AT50*c_ich+AU50*c_major_bleed+BD50*c_mi_fatal+BE50*c_mi_nonfatal+AW50*c_tia+AX50*c_minor_bleed</f>
        <v>26.4638088120529</v>
      </c>
      <c r="BH50" s="57" t="n">
        <f aca="false">dt*(BE50*dec_mi+BC50*dec_major_bleed+AX50*dec_minor_bleed+AW50*dec_tia)</f>
        <v>1.26457495850078E-005</v>
      </c>
      <c r="BI50" s="57" t="n">
        <f aca="false">H50*AK50+AY50+AT50-BB50+AU50-BC50+BD50</f>
        <v>0.002199378789635</v>
      </c>
      <c r="BJ50" s="57" t="n">
        <f aca="false">1-EXP(LN(1-E50)*hr_death_prior_stroke*dt)</f>
        <v>0.0613849538308807</v>
      </c>
      <c r="BK50" s="57" t="n">
        <f aca="false">I50*(1-BJ50)</f>
        <v>0.0138002852409223</v>
      </c>
      <c r="BL50" s="57" t="n">
        <f aca="false">(1-EXP(-r_stroke*F50*rr_stroke_prior*rr_asa_stroke*dt))</f>
        <v>0.0221988363186323</v>
      </c>
      <c r="BM50" s="57" t="n">
        <f aca="false">(1-EXP(-r_ich*rr_asa_ich*dt))</f>
        <v>0.00102357767802375</v>
      </c>
      <c r="BN50" s="57" t="n">
        <f aca="false">(1-EXP(-r_mb*rr_asa_mb*dt))</f>
        <v>0.00951809672747972</v>
      </c>
      <c r="BO50" s="57" t="n">
        <f aca="false">(1-EXP(-r_mi*rr_asa_mi*dt))</f>
        <v>0.00213413516393479</v>
      </c>
      <c r="BP50" s="57" t="n">
        <f aca="false">(1-EXP(-r_tia*rr_asa_tia*dt))</f>
        <v>0.00312764565589152</v>
      </c>
      <c r="BQ50" s="57" t="n">
        <f aca="false">(1-EXP(-r_minor*rr_asa_minor*dt))</f>
        <v>0.0278181950466747</v>
      </c>
      <c r="BR50" s="57" t="n">
        <f aca="false">BK50*BL50</f>
        <v>0.000306350273213671</v>
      </c>
      <c r="BS50" s="57" t="n">
        <f aca="false">BK50*BM50</f>
        <v>1.41256639229686E-005</v>
      </c>
      <c r="BT50" s="57" t="n">
        <f aca="false">BK50*BN50</f>
        <v>0.000131352449789909</v>
      </c>
      <c r="BU50" s="57" t="n">
        <f aca="false">BK50*BO50</f>
        <v>2.94516740049826E-005</v>
      </c>
      <c r="BV50" s="57" t="n">
        <f aca="false">BK50*BP50</f>
        <v>4.31624021838345E-005</v>
      </c>
      <c r="BW50" s="57" t="n">
        <f aca="false">BK50*BQ50</f>
        <v>0.000383899026531723</v>
      </c>
      <c r="BX50" s="57" t="n">
        <f aca="false">BR50*f_stroke_fatal_recur</f>
        <v>0.000113989873160075</v>
      </c>
      <c r="BY50" s="57" t="n">
        <f aca="false">BR50*(1-f_stroke_fatal_recur)*f_stroke_major</f>
        <v>6.40560132178476E-005</v>
      </c>
      <c r="BZ50" s="57" t="n">
        <f aca="false">BR50*(1-f_stroke_fatal_recur)*(1-f_stroke_major)</f>
        <v>0.000128304386835749</v>
      </c>
      <c r="CA50" s="57" t="n">
        <f aca="false">BS50*(1-f_bleed_fatal)</f>
        <v>1.29391081534393E-005</v>
      </c>
      <c r="CB50" s="57" t="n">
        <f aca="false">BT50*(1-f_bleed_fatal)</f>
        <v>0.000120318844007557</v>
      </c>
      <c r="CC50" s="57" t="n">
        <f aca="false">BU50*f_mi_fatal</f>
        <v>3.5636525546029E-006</v>
      </c>
      <c r="CD50" s="57" t="n">
        <f aca="false">BU50-CC50</f>
        <v>2.58880214503797E-005</v>
      </c>
      <c r="CE50" s="57" t="n">
        <f aca="false">BK50-BR50-BS50-BT50-CC50</f>
        <v>0.0133448932014412</v>
      </c>
      <c r="CF50" s="19" t="n">
        <f aca="false">BX50*c_stroke_fatal+BY50*c_stroke_major+BZ50*c_stroke_minor+BS50*c_ich+BT50*c_major_bleed+CC50*c_mi_fatal+CD50*c_mi_nonfatal+BV50*c_tia+BW50*c_minor_bleed</f>
        <v>12.4211134687182</v>
      </c>
      <c r="CG50" s="57" t="n">
        <f aca="false">dt*(CD50*dec_mi+CB50*dec_major_bleed+BW50*dec_minor_bleed+BV50*dec_tia)</f>
        <v>5.93543777496001E-006</v>
      </c>
      <c r="CH50" s="57" t="n">
        <f aca="false">I50*BJ50+BX50+BS50-CA50+BT50-CB50+CC50</f>
        <v>0.00103230542892624</v>
      </c>
      <c r="CI50" s="57" t="n">
        <f aca="false">1-EXP(LN(1-E50)*dt)</f>
        <v>0.0271675499979046</v>
      </c>
      <c r="CJ50" s="57" t="n">
        <f aca="false">J50*(1-CI50)</f>
        <v>0.0831683506831095</v>
      </c>
      <c r="CK50" s="57" t="n">
        <f aca="false">(1-EXP(-r_stroke*F50*rr_asa_stroke*dt))</f>
        <v>0.0101521782392702</v>
      </c>
      <c r="CL50" s="57" t="n">
        <f aca="false">(1-EXP(-r_ich*rr_asa_ich*dt))</f>
        <v>0.00102357767802375</v>
      </c>
      <c r="CM50" s="57" t="n">
        <f aca="false">(1-EXP(-r_mb*rr_asa_mb*dt))</f>
        <v>0.00951809672747972</v>
      </c>
      <c r="CN50" s="57" t="n">
        <f aca="false">(1-EXP(-r_mi*rr_asa_mi*dt))</f>
        <v>0.00213413516393479</v>
      </c>
      <c r="CO50" s="57" t="n">
        <f aca="false">(1-EXP(-r_tia*rr_asa_tia*dt))</f>
        <v>0.00312764565589152</v>
      </c>
      <c r="CP50" s="57" t="n">
        <f aca="false">(1-EXP(-r_minor*rr_asa_minor*dt))</f>
        <v>0.0278181950466747</v>
      </c>
      <c r="CQ50" s="57" t="n">
        <f aca="false">CJ50*CK50</f>
        <v>0.000844339920001054</v>
      </c>
      <c r="CR50" s="57" t="n">
        <f aca="false">CJ50*CL50</f>
        <v>8.51292672772818E-005</v>
      </c>
      <c r="CS50" s="57" t="n">
        <f aca="false">CJ50*CM50</f>
        <v>0.00079160440646679</v>
      </c>
      <c r="CT50" s="57" t="n">
        <f aca="false">CJ50*CN50</f>
        <v>0.000177492501719284</v>
      </c>
      <c r="CU50" s="57" t="n">
        <f aca="false">CJ50*CO50</f>
        <v>0.00026012113072169</v>
      </c>
      <c r="CV50" s="57" t="n">
        <f aca="false">CJ50*CP50</f>
        <v>0.00231359340101298</v>
      </c>
      <c r="CW50" s="57" t="n">
        <f aca="false">CQ50*f_stroke_fatal</f>
        <v>0.00020010856104025</v>
      </c>
      <c r="CX50" s="57" t="n">
        <f aca="false">CQ50*(1-f_stroke_fatal)*f_stroke_major</f>
        <v>0.000214529042533948</v>
      </c>
      <c r="CY50" s="57" t="n">
        <f aca="false">CQ50*(1-f_stroke_fatal)*(1-f_stroke_major)</f>
        <v>0.000429702316426857</v>
      </c>
      <c r="CZ50" s="57" t="n">
        <f aca="false">CR50*(1-f_bleed_fatal)</f>
        <v>7.79784088259902E-005</v>
      </c>
      <c r="DA50" s="57" t="n">
        <f aca="false">CS50*(1-f_bleed_fatal)</f>
        <v>0.00072510963632358</v>
      </c>
      <c r="DB50" s="57" t="n">
        <f aca="false">CT50*f_mi_fatal</f>
        <v>2.14765927080334E-005</v>
      </c>
      <c r="DC50" s="57" t="n">
        <f aca="false">CT50-DB50</f>
        <v>0.000156015909011251</v>
      </c>
      <c r="DD50" s="57" t="n">
        <f aca="false">CJ50-CQ50-CR50-CS50-DB50</f>
        <v>0.0814258004966563</v>
      </c>
      <c r="DE50" s="19" t="n">
        <f aca="false">CW50*c_stroke_fatal+CX50*c_stroke_major+CY50*c_stroke_minor+CR50*c_ich+CS50*c_major_bleed+DB50*c_mi_fatal+DC50*c_mi_nonfatal+CU50*c_tia+CV50*c_minor_bleed</f>
        <v>42.3956647061792</v>
      </c>
      <c r="DF50" s="57" t="n">
        <f aca="false">dt*(DC50*dec_mi+DA50*dec_major_bleed+CV50*dec_minor_bleed+CU50*dec_tia)</f>
        <v>3.57703164614196E-005</v>
      </c>
      <c r="DG50" s="57" t="n">
        <f aca="false">J50*CI50+CW50+CR50-CZ50+CS50-DA50+DB50</f>
        <v>0.00261780989185108</v>
      </c>
      <c r="DH50" s="57" t="n">
        <f aca="false">AG50</f>
        <v>0.293404333991904</v>
      </c>
      <c r="DI50" s="57" t="n">
        <f aca="false">AB50+AC50+BF50+BA50+BB50+BC50+CY50+CZ50</f>
        <v>0.030477709128737</v>
      </c>
      <c r="DJ50" s="57" t="n">
        <f aca="false">AA50+AZ50+BY50+CX50+CE50+BZ50+CA50+CB50</f>
        <v>0.0143965416876871</v>
      </c>
      <c r="DK50" s="57" t="n">
        <f aca="false">AD50+DD50+DA50</f>
        <v>0.0839731839337344</v>
      </c>
      <c r="DL50" s="57" t="n">
        <f aca="false">K50+AJ50+BI50+CH50+DG50</f>
        <v>0.577748231257938</v>
      </c>
      <c r="DM50" s="58" t="n">
        <f aca="false">SUM(DH50:DL50)</f>
        <v>1</v>
      </c>
      <c r="DN50" s="19" t="n">
        <f aca="false">dt*(G50*Apixaban!$H$2+(H50+I50+J50)*c_aspirin)</f>
        <v>24.0665725317829</v>
      </c>
      <c r="DO50" s="19" t="n">
        <f aca="false">dt*(H50*c_lt_minor_stroke+I50*c_lt_major_stroke)</f>
        <v>180.671681679727</v>
      </c>
      <c r="DP50" s="19" t="n">
        <f aca="false">AH50+BG50+CF50+DE50</f>
        <v>164.692462630743</v>
      </c>
      <c r="DQ50" s="19" t="n">
        <f aca="false">DN50+DO50+DP50</f>
        <v>369.430716842253</v>
      </c>
      <c r="DR50" s="57" t="n">
        <f aca="false">dt*(G50*(u_af-dec_per_year_over_70*MAX(B50-ref_age,0))+H50*(u_minor_stroke-dec_per_year_over_70*MAX(B50-ref_age,0))+I50*(u_major_stroke-dec_per_year_over_70*MAX(B50-ref_age,0))+J50*(u_af-dec_per_year_over_70*MAX(B50-ref_age,0)))-AI50-BH50-CG50-DF50</f>
        <v>0.0857517207334654</v>
      </c>
      <c r="DS50" s="57" t="n">
        <f aca="false">dt*(G50+H50+I50+J50)</f>
        <v>0.109246401855536</v>
      </c>
      <c r="DT50" s="19" t="n">
        <f aca="false">DQ50*C50</f>
        <v>313.62201290109</v>
      </c>
      <c r="DU50" s="19" t="n">
        <f aca="false">DN50*C50</f>
        <v>20.4309132320222</v>
      </c>
      <c r="DV50" s="19" t="n">
        <f aca="false">DP50*C50</f>
        <v>139.812904788711</v>
      </c>
      <c r="DW50" s="19" t="n">
        <f aca="false">DO50*C50</f>
        <v>153.378194880357</v>
      </c>
      <c r="DX50" s="57" t="n">
        <f aca="false">DR50*C50</f>
        <v>0.0727974855367674</v>
      </c>
      <c r="DY50" s="57" t="n">
        <f aca="false">DS50*C50</f>
        <v>0.0927429011452894</v>
      </c>
      <c r="DZ50" s="57" t="n">
        <f aca="false">T50+AS50+BR50+CQ50</f>
        <v>0.00327940820402817</v>
      </c>
      <c r="EA50" s="57" t="n">
        <f aca="false">U50+AT50+BS50+CR50</f>
        <v>0.000380015502379939</v>
      </c>
      <c r="EB50" s="57" t="n">
        <f aca="false">V50+AU50+BT50+CS50</f>
        <v>0.00319219175499094</v>
      </c>
      <c r="EC50" s="57" t="n">
        <f aca="false">G50*dt*C50</f>
        <v>0.0648302226230469</v>
      </c>
    </row>
    <row r="51" customFormat="false" ht="15" hidden="false" customHeight="false" outlineLevel="0" collapsed="false">
      <c r="A51" s="8" t="n">
        <v>45</v>
      </c>
      <c r="B51" s="54" t="n">
        <f aca="false">start_age+A51*dt</f>
        <v>81.25</v>
      </c>
      <c r="C51" s="16" t="n">
        <f aca="false">(1+disc_rate)^-(A51*dt)</f>
        <v>0.845779247189066</v>
      </c>
      <c r="D51" s="55" t="n">
        <f aca="false">IF(A51*dt&gt;=wane_start,(1-wane_decay)^(A51*dt-wane_start),1)</f>
        <v>1</v>
      </c>
      <c r="E51" s="25" t="n">
        <f aca="false">MIN(p_nonvasc_death*MIN(EXP(gomp_int+gomp_slope*INT(B51)),1)/qx_ref,0.999)</f>
        <v>0.104321407440289</v>
      </c>
      <c r="F51" s="55" t="n">
        <f aca="false">rr_stroke_per_decade^((B51-ref_age)/10)</f>
        <v>1.57798425826297</v>
      </c>
      <c r="G51" s="57" t="n">
        <f aca="false">DH50</f>
        <v>0.293404333991904</v>
      </c>
      <c r="H51" s="57" t="n">
        <f aca="false">DI50</f>
        <v>0.030477709128737</v>
      </c>
      <c r="I51" s="57" t="n">
        <f aca="false">DJ50</f>
        <v>0.0143965416876871</v>
      </c>
      <c r="J51" s="57" t="n">
        <f aca="false">DK50</f>
        <v>0.0839731839337344</v>
      </c>
      <c r="K51" s="57" t="n">
        <f aca="false">DL50</f>
        <v>0.577748231257938</v>
      </c>
      <c r="L51" s="57" t="n">
        <f aca="false">1-EXP(LN(1-E51)*dt)</f>
        <v>0.0271675499979046</v>
      </c>
      <c r="M51" s="57" t="n">
        <f aca="false">G51*(1-L51)</f>
        <v>0.285433257078577</v>
      </c>
      <c r="N51" s="57" t="n">
        <f aca="false">IF(Apixaban!$B$2=1,EXP(LN(or_apx_stroke)*D51)*(1-EXP(-r_stroke*F51*dt))/(1-(1-EXP(-r_stroke*F51*dt))+EXP(LN(or_apx_stroke)*D51)*(1-EXP(-r_stroke*F51*dt))),(1-EXP(-r_stroke*F51*dt)))</f>
        <v>0.0050174768833674</v>
      </c>
      <c r="O51" s="57" t="n">
        <f aca="false">IF(Apixaban!$B$2=1,EXP(LN(or_apx_ich)*D51)*(1-EXP(-r_ich*dt))/(1-(1-EXP(-r_ich*dt))+EXP(LN(or_apx_ich)*D51)*(1-EXP(-r_ich*dt))),(1-EXP(-r_ich*dt)))</f>
        <v>0.000843513249640701</v>
      </c>
      <c r="P51" s="57" t="n">
        <f aca="false">IF(Apixaban!$B$2=1,EXP(LN(or_apx_mb)*D51)*(1-EXP(-r_mb*dt))/(1-(1-EXP(-r_mb*dt))+EXP(LN(or_apx_mb)*D51)*(1-EXP(-r_mb*dt))),(1-EXP(-r_mb*dt)))</f>
        <v>0.00669446907979895</v>
      </c>
      <c r="Q51" s="57" t="n">
        <f aca="false">IF(Apixaban!$B$2=1,EXP(LN(or_apx_mi)*D51)*(1-EXP(-r_mi*dt))/(1-(1-EXP(-r_mi*dt))+EXP(LN(or_apx_mi)*D51)*(1-EXP(-r_mi*dt))),(1-EXP(-r_mi*dt)))</f>
        <v>0.00132321915530843</v>
      </c>
      <c r="R51" s="57" t="n">
        <f aca="false">(1-EXP(-r_tia*dt))</f>
        <v>0.0020060281549299</v>
      </c>
      <c r="S51" s="57" t="n">
        <f aca="false">(1-EXP(-r_minor*dt))</f>
        <v>0.0437937690785545</v>
      </c>
      <c r="T51" s="57" t="n">
        <f aca="false">M51*N51</f>
        <v>0.00143215476913602</v>
      </c>
      <c r="U51" s="57" t="n">
        <f aca="false">M51*O51</f>
        <v>0.00024076673423388</v>
      </c>
      <c r="V51" s="57" t="n">
        <f aca="false">M51*P51</f>
        <v>0.00191082411385884</v>
      </c>
      <c r="W51" s="57" t="n">
        <f aca="false">M51*Q51</f>
        <v>0.000377690753328448</v>
      </c>
      <c r="X51" s="57" t="n">
        <f aca="false">M51*R51</f>
        <v>0.000572587150052968</v>
      </c>
      <c r="Y51" s="57" t="n">
        <f aca="false">M51*S51</f>
        <v>0.0125001981478389</v>
      </c>
      <c r="Z51" s="57" t="n">
        <f aca="false">T51*f_stroke_fatal</f>
        <v>0.000339420680285238</v>
      </c>
      <c r="AA51" s="57" t="n">
        <f aca="false">T51*(1-f_stroke_fatal)*f_stroke_major</f>
        <v>0.000363880451587312</v>
      </c>
      <c r="AB51" s="57" t="n">
        <f aca="false">T51*(1-f_stroke_fatal)*(1-f_stroke_major)</f>
        <v>0.000728853637263474</v>
      </c>
      <c r="AC51" s="57" t="n">
        <f aca="false">U51*(1-f_bleed_fatal)</f>
        <v>0.000220542328558234</v>
      </c>
      <c r="AD51" s="57" t="n">
        <f aca="false">V51*(1-f_bleed_fatal)</f>
        <v>0.00175031488829469</v>
      </c>
      <c r="AE51" s="57" t="n">
        <f aca="false">W51*f_mi_fatal</f>
        <v>4.57005811527422E-005</v>
      </c>
      <c r="AF51" s="57" t="n">
        <f aca="false">W51-AE51</f>
        <v>0.000331990172175706</v>
      </c>
      <c r="AG51" s="57" t="n">
        <f aca="false">M51-T51-U51-V51-AE51</f>
        <v>0.281803810880195</v>
      </c>
      <c r="AH51" s="19" t="n">
        <f aca="false">Z51*c_stroke_fatal+AA51*c_stroke_major+AB51*c_stroke_minor+U51*c_ich+V51*c_major_bleed+AE51*c_mi_fatal+AF51*c_mi_nonfatal+X51*c_tia+Y51*c_minor_bleed</f>
        <v>80.6507542698151</v>
      </c>
      <c r="AI51" s="57" t="n">
        <f aca="false">dt*(AF51*dec_mi+AD51*dec_major_bleed+Y51*dec_minor_bleed+X51*dec_tia)</f>
        <v>0.000106001698405609</v>
      </c>
      <c r="AJ51" s="57" t="n">
        <f aca="false">G51*L51+Z51+U51-AC51+V51-AD51+AE51</f>
        <v>0.00853693180600471</v>
      </c>
      <c r="AK51" s="57" t="n">
        <f aca="false">1-EXP(LN(1-E51)*hr_death_prior_stroke*dt)</f>
        <v>0.0613849538308807</v>
      </c>
      <c r="AL51" s="57" t="n">
        <f aca="false">H51*(1-AK51)</f>
        <v>0.0286068363609984</v>
      </c>
      <c r="AM51" s="57" t="n">
        <f aca="false">(1-EXP(-r_stroke*F51*rr_stroke_prior*rr_asa_stroke*dt))</f>
        <v>0.0224224473357514</v>
      </c>
      <c r="AN51" s="57" t="n">
        <f aca="false">(1-EXP(-r_ich*rr_asa_ich*dt))</f>
        <v>0.00102357767802375</v>
      </c>
      <c r="AO51" s="57" t="n">
        <f aca="false">(1-EXP(-r_mb*rr_asa_mb*dt))</f>
        <v>0.00951809672747972</v>
      </c>
      <c r="AP51" s="57" t="n">
        <f aca="false">(1-EXP(-r_mi*rr_asa_mi*dt))</f>
        <v>0.00213413516393479</v>
      </c>
      <c r="AQ51" s="57" t="n">
        <f aca="false">(1-EXP(-r_tia*rr_asa_tia*dt))</f>
        <v>0.00312764565589152</v>
      </c>
      <c r="AR51" s="57" t="n">
        <f aca="false">(1-EXP(-r_minor*rr_asa_minor*dt))</f>
        <v>0.0278181950466747</v>
      </c>
      <c r="AS51" s="57" t="n">
        <f aca="false">AL51*AM51</f>
        <v>0.000641435281746945</v>
      </c>
      <c r="AT51" s="57" t="n">
        <f aca="false">AL51*AN51</f>
        <v>2.9281319137996E-005</v>
      </c>
      <c r="AU51" s="57" t="n">
        <f aca="false">AL51*AO51</f>
        <v>0.000272282635551167</v>
      </c>
      <c r="AV51" s="57" t="n">
        <f aca="false">AL51*AP51</f>
        <v>6.10508554069352E-005</v>
      </c>
      <c r="AW51" s="57" t="n">
        <f aca="false">AL51*AQ51</f>
        <v>8.94720474732763E-005</v>
      </c>
      <c r="AX51" s="57" t="n">
        <f aca="false">AL51*AR51</f>
        <v>0.000795790553558561</v>
      </c>
      <c r="AY51" s="57" t="n">
        <f aca="false">AS51*f_stroke_fatal_recur</f>
        <v>0.000238671653985221</v>
      </c>
      <c r="AZ51" s="57" t="n">
        <f aca="false">AS51*(1-f_stroke_fatal_recur)*f_stroke_major</f>
        <v>0.000134120288044654</v>
      </c>
      <c r="BA51" s="57" t="n">
        <f aca="false">AS51*(1-f_stroke_fatal_recur)*(1-f_stroke_major)</f>
        <v>0.00026864333971707</v>
      </c>
      <c r="BB51" s="57" t="n">
        <f aca="false">AT51*(1-f_bleed_fatal)</f>
        <v>2.68216883304044E-005</v>
      </c>
      <c r="BC51" s="57" t="n">
        <f aca="false">AU51*(1-f_bleed_fatal)</f>
        <v>0.000249410894164869</v>
      </c>
      <c r="BD51" s="57" t="n">
        <f aca="false">AV51*f_mi_fatal</f>
        <v>7.38715350423915E-006</v>
      </c>
      <c r="BE51" s="57" t="n">
        <f aca="false">AV51-BD51</f>
        <v>5.3663701902696E-005</v>
      </c>
      <c r="BF51" s="57" t="n">
        <f aca="false">AL51-AS51-AT51-AU51-BD51</f>
        <v>0.0276564499710581</v>
      </c>
      <c r="BG51" s="19" t="n">
        <f aca="false">AY51*c_stroke_fatal+AZ51*c_stroke_major+BA51*c_stroke_minor+AT51*c_ich+AU51*c_major_bleed+BD51*c_mi_fatal+BE51*c_mi_nonfatal+AW51*c_tia+AX51*c_minor_bleed</f>
        <v>25.9684870217453</v>
      </c>
      <c r="BH51" s="57" t="n">
        <f aca="false">dt*(BE51*dec_mi+BC51*dec_major_bleed+AX51*dec_minor_bleed+AW51*dec_tia)</f>
        <v>1.23036657717534E-005</v>
      </c>
      <c r="BI51" s="57" t="n">
        <f aca="false">H51*AK51+AY51+AT51-BB51+AU51-BC51+BD51</f>
        <v>0.00214226294742188</v>
      </c>
      <c r="BJ51" s="57" t="n">
        <f aca="false">1-EXP(LN(1-E51)*hr_death_prior_stroke*dt)</f>
        <v>0.0613849538308807</v>
      </c>
      <c r="BK51" s="57" t="n">
        <f aca="false">I51*(1-BJ51)</f>
        <v>0.0135128106408641</v>
      </c>
      <c r="BL51" s="57" t="n">
        <f aca="false">(1-EXP(-r_stroke*F51*rr_stroke_prior*rr_asa_stroke*dt))</f>
        <v>0.0224224473357514</v>
      </c>
      <c r="BM51" s="57" t="n">
        <f aca="false">(1-EXP(-r_ich*rr_asa_ich*dt))</f>
        <v>0.00102357767802375</v>
      </c>
      <c r="BN51" s="57" t="n">
        <f aca="false">(1-EXP(-r_mb*rr_asa_mb*dt))</f>
        <v>0.00951809672747972</v>
      </c>
      <c r="BO51" s="57" t="n">
        <f aca="false">(1-EXP(-r_mi*rr_asa_mi*dt))</f>
        <v>0.00213413516393479</v>
      </c>
      <c r="BP51" s="57" t="n">
        <f aca="false">(1-EXP(-r_tia*rr_asa_tia*dt))</f>
        <v>0.00312764565589152</v>
      </c>
      <c r="BQ51" s="57" t="n">
        <f aca="false">(1-EXP(-r_minor*rr_asa_minor*dt))</f>
        <v>0.0278181950466747</v>
      </c>
      <c r="BR51" s="57" t="n">
        <f aca="false">BK51*BL51</f>
        <v>0.000302990284952756</v>
      </c>
      <c r="BS51" s="57" t="n">
        <f aca="false">BK51*BM51</f>
        <v>1.38314113393502E-005</v>
      </c>
      <c r="BT51" s="57" t="n">
        <f aca="false">BK51*BN51</f>
        <v>0.000128616238739862</v>
      </c>
      <c r="BU51" s="57" t="n">
        <f aca="false">BK51*BO51</f>
        <v>2.88381643522603E-005</v>
      </c>
      <c r="BV51" s="57" t="n">
        <f aca="false">BK51*BP51</f>
        <v>4.22632834997832E-005</v>
      </c>
      <c r="BW51" s="57" t="n">
        <f aca="false">BK51*BQ51</f>
        <v>0.000375902002036338</v>
      </c>
      <c r="BX51" s="57" t="n">
        <f aca="false">BR51*f_stroke_fatal_recur</f>
        <v>0.000112739655128071</v>
      </c>
      <c r="BY51" s="57" t="n">
        <f aca="false">BR51*(1-f_stroke_fatal_recur)*f_stroke_major</f>
        <v>6.335345973162E-005</v>
      </c>
      <c r="BZ51" s="57" t="n">
        <f aca="false">BR51*(1-f_stroke_fatal_recur)*(1-f_stroke_major)</f>
        <v>0.000126897170093065</v>
      </c>
      <c r="CA51" s="57" t="n">
        <f aca="false">BS51*(1-f_bleed_fatal)</f>
        <v>1.26695727868448E-005</v>
      </c>
      <c r="CB51" s="57" t="n">
        <f aca="false">BT51*(1-f_bleed_fatal)</f>
        <v>0.000117812474685713</v>
      </c>
      <c r="CC51" s="57" t="n">
        <f aca="false">BU51*f_mi_fatal</f>
        <v>3.48941788662349E-006</v>
      </c>
      <c r="CD51" s="57" t="n">
        <f aca="false">BU51-CC51</f>
        <v>2.53487464656368E-005</v>
      </c>
      <c r="CE51" s="57" t="n">
        <f aca="false">BK51-BR51-BS51-BT51-CC51</f>
        <v>0.0130638832879455</v>
      </c>
      <c r="CF51" s="19" t="n">
        <f aca="false">BX51*c_stroke_fatal+BY51*c_stroke_major+BZ51*c_stroke_minor+BS51*c_ich+BT51*c_major_bleed+CC51*c_mi_fatal+CD51*c_mi_nonfatal+BV51*c_tia+BW51*c_minor_bleed</f>
        <v>12.2665520691059</v>
      </c>
      <c r="CG51" s="57" t="n">
        <f aca="false">dt*(CD51*dec_mi+CB51*dec_major_bleed+BW51*dec_minor_bleed+BV51*dec_tia)</f>
        <v>5.81179630156007E-006</v>
      </c>
      <c r="CH51" s="57" t="n">
        <f aca="false">I51*BJ51+BX51+BS51-CA51+BT51-CB51+CC51</f>
        <v>0.00101192572244437</v>
      </c>
      <c r="CI51" s="57" t="n">
        <f aca="false">1-EXP(LN(1-E51)*dt)</f>
        <v>0.0271675499979046</v>
      </c>
      <c r="CJ51" s="57" t="n">
        <f aca="false">J51*(1-CI51)</f>
        <v>0.0816918382607315</v>
      </c>
      <c r="CK51" s="57" t="n">
        <f aca="false">(1-EXP(-r_stroke*F51*rr_asa_stroke*dt))</f>
        <v>0.0102550782659052</v>
      </c>
      <c r="CL51" s="57" t="n">
        <f aca="false">(1-EXP(-r_ich*rr_asa_ich*dt))</f>
        <v>0.00102357767802375</v>
      </c>
      <c r="CM51" s="57" t="n">
        <f aca="false">(1-EXP(-r_mb*rr_asa_mb*dt))</f>
        <v>0.00951809672747972</v>
      </c>
      <c r="CN51" s="57" t="n">
        <f aca="false">(1-EXP(-r_mi*rr_asa_mi*dt))</f>
        <v>0.00213413516393479</v>
      </c>
      <c r="CO51" s="57" t="n">
        <f aca="false">(1-EXP(-r_tia*rr_asa_tia*dt))</f>
        <v>0.00312764565589152</v>
      </c>
      <c r="CP51" s="57" t="n">
        <f aca="false">(1-EXP(-r_minor*rr_asa_minor*dt))</f>
        <v>0.0278181950466747</v>
      </c>
      <c r="CQ51" s="57" t="n">
        <f aca="false">CJ51*CK51</f>
        <v>0.000837756195049471</v>
      </c>
      <c r="CR51" s="57" t="n">
        <f aca="false">CJ51*CL51</f>
        <v>8.36179421204109E-005</v>
      </c>
      <c r="CS51" s="57" t="n">
        <f aca="false">CJ51*CM51</f>
        <v>0.000777550818411271</v>
      </c>
      <c r="CT51" s="57" t="n">
        <f aca="false">CJ51*CN51</f>
        <v>0.000174341424638701</v>
      </c>
      <c r="CU51" s="57" t="n">
        <f aca="false">CJ51*CO51</f>
        <v>0.000255503123057969</v>
      </c>
      <c r="CV51" s="57" t="n">
        <f aca="false">CJ51*CP51</f>
        <v>0.00227251949045843</v>
      </c>
      <c r="CW51" s="57" t="n">
        <f aca="false">CQ51*f_stroke_fatal</f>
        <v>0.000198548218226725</v>
      </c>
      <c r="CX51" s="57" t="n">
        <f aca="false">CQ51*(1-f_stroke_fatal)*f_stroke_major</f>
        <v>0.000212856256281975</v>
      </c>
      <c r="CY51" s="57" t="n">
        <f aca="false">CQ51*(1-f_stroke_fatal)*(1-f_stroke_major)</f>
        <v>0.000426351720540772</v>
      </c>
      <c r="CZ51" s="57" t="n">
        <f aca="false">CR51*(1-f_bleed_fatal)</f>
        <v>7.65940349822964E-005</v>
      </c>
      <c r="DA51" s="57" t="n">
        <f aca="false">CS51*(1-f_bleed_fatal)</f>
        <v>0.000712236549664724</v>
      </c>
      <c r="DB51" s="57" t="n">
        <f aca="false">CT51*f_mi_fatal</f>
        <v>2.10953123812828E-005</v>
      </c>
      <c r="DC51" s="57" t="n">
        <f aca="false">CT51-DB51</f>
        <v>0.000153246112257418</v>
      </c>
      <c r="DD51" s="57" t="n">
        <f aca="false">CJ51-CQ51-CR51-CS51-DB51</f>
        <v>0.079971817992769</v>
      </c>
      <c r="DE51" s="19" t="n">
        <f aca="false">CW51*c_stroke_fatal+CX51*c_stroke_major+CY51*c_stroke_minor+CR51*c_ich+CS51*c_major_bleed+DB51*c_mi_fatal+DC51*c_mi_nonfatal+CU51*c_tia+CV51*c_minor_bleed</f>
        <v>41.953587079669</v>
      </c>
      <c r="DF51" s="57" t="n">
        <f aca="false">dt*(DC51*dec_mi+DA51*dec_major_bleed+CV51*dec_minor_bleed+CU51*dec_tia)</f>
        <v>3.51352754130656E-005</v>
      </c>
      <c r="DG51" s="57" t="n">
        <f aca="false">J51*CI51+CW51+CR51-CZ51+CS51-DA51+DB51</f>
        <v>0.00257332737949564</v>
      </c>
      <c r="DH51" s="57" t="n">
        <f aca="false">AG51</f>
        <v>0.281803810880195</v>
      </c>
      <c r="DI51" s="57" t="n">
        <f aca="false">AB51+AC51+BF51+BA51+BB51+BC51+CY51+CZ51</f>
        <v>0.0296536676146152</v>
      </c>
      <c r="DJ51" s="57" t="n">
        <f aca="false">AA51+AZ51+BY51+CX51+CE51+BZ51+CA51+CB51</f>
        <v>0.0140954729611567</v>
      </c>
      <c r="DK51" s="57" t="n">
        <f aca="false">AD51+DD51+DA51</f>
        <v>0.0824343694307284</v>
      </c>
      <c r="DL51" s="57" t="n">
        <f aca="false">K51+AJ51+BI51+CH51+DG51</f>
        <v>0.592012679113304</v>
      </c>
      <c r="DM51" s="58" t="n">
        <f aca="false">SUM(DH51:DL51)</f>
        <v>1</v>
      </c>
      <c r="DN51" s="19" t="n">
        <f aca="false">dt*(G51*Apixaban!$H$2+(H51+I51+J51)*c_aspirin)</f>
        <v>23.1408344798304</v>
      </c>
      <c r="DO51" s="19" t="n">
        <f aca="false">dt*(H51*c_lt_minor_stroke+I51*c_lt_major_stroke)</f>
        <v>176.381354594493</v>
      </c>
      <c r="DP51" s="19" t="n">
        <f aca="false">AH51+BG51+CF51+DE51</f>
        <v>160.839380440335</v>
      </c>
      <c r="DQ51" s="19" t="n">
        <f aca="false">DN51+DO51+DP51</f>
        <v>360.361569514658</v>
      </c>
      <c r="DR51" s="57" t="n">
        <f aca="false">dt*(G51*(u_af-dec_per_year_over_70*MAX(B51-ref_age,0))+H51*(u_minor_stroke-dec_per_year_over_70*MAX(B51-ref_age,0))+I51*(u_major_stroke-dec_per_year_over_70*MAX(B51-ref_age,0))+J51*(u_af-dec_per_year_over_70*MAX(B51-ref_age,0)))-AI51-BH51-CG51-DF51</f>
        <v>0.0828269387481388</v>
      </c>
      <c r="DS51" s="57" t="n">
        <f aca="false">dt*(G51+H51+I51+J51)</f>
        <v>0.105562942185516</v>
      </c>
      <c r="DT51" s="19" t="n">
        <f aca="false">DQ51*C51</f>
        <v>304.786336979978</v>
      </c>
      <c r="DU51" s="19" t="n">
        <f aca="false">DN51*C51</f>
        <v>19.5720375656777</v>
      </c>
      <c r="DV51" s="19" t="n">
        <f aca="false">DP51*C51</f>
        <v>136.034610107182</v>
      </c>
      <c r="DW51" s="19" t="n">
        <f aca="false">DO51*C51</f>
        <v>149.179689307118</v>
      </c>
      <c r="DX51" s="57" t="n">
        <f aca="false">DR51*C51</f>
        <v>0.0700533059013757</v>
      </c>
      <c r="DY51" s="57" t="n">
        <f aca="false">DS51*C51</f>
        <v>0.0892829457727282</v>
      </c>
      <c r="DZ51" s="57" t="n">
        <f aca="false">T51+AS51+BR51+CQ51</f>
        <v>0.0032143365308852</v>
      </c>
      <c r="EA51" s="57" t="n">
        <f aca="false">U51+AT51+BS51+CR51</f>
        <v>0.000367497406831637</v>
      </c>
      <c r="EB51" s="57" t="n">
        <f aca="false">V51+AU51+BT51+CS51</f>
        <v>0.00308927380656114</v>
      </c>
      <c r="EC51" s="57" t="n">
        <f aca="false">G51*dt*C51</f>
        <v>0.0620388241814203</v>
      </c>
    </row>
    <row r="52" customFormat="false" ht="15" hidden="false" customHeight="false" outlineLevel="0" collapsed="false">
      <c r="A52" s="8" t="n">
        <v>46</v>
      </c>
      <c r="B52" s="54" t="n">
        <f aca="false">start_age+A52*dt</f>
        <v>81.5</v>
      </c>
      <c r="C52" s="16" t="n">
        <f aca="false">(1+disc_rate)^-(A52*dt)</f>
        <v>0.842636978952028</v>
      </c>
      <c r="D52" s="55" t="n">
        <f aca="false">IF(A52*dt&gt;=wane_start,(1-wane_decay)^(A52*dt-wane_start),1)</f>
        <v>1</v>
      </c>
      <c r="E52" s="25" t="n">
        <f aca="false">MIN(p_nonvasc_death*MIN(EXP(gomp_int+gomp_slope*INT(B52)),1)/qx_ref,0.999)</f>
        <v>0.104321407440289</v>
      </c>
      <c r="F52" s="55" t="n">
        <f aca="false">rr_stroke_per_decade^((B52-ref_age)/10)</f>
        <v>1.5940610417352</v>
      </c>
      <c r="G52" s="57" t="n">
        <f aca="false">DH51</f>
        <v>0.281803810880195</v>
      </c>
      <c r="H52" s="57" t="n">
        <f aca="false">DI51</f>
        <v>0.0296536676146152</v>
      </c>
      <c r="I52" s="57" t="n">
        <f aca="false">DJ51</f>
        <v>0.0140954729611567</v>
      </c>
      <c r="J52" s="57" t="n">
        <f aca="false">DK51</f>
        <v>0.0824343694307284</v>
      </c>
      <c r="K52" s="57" t="n">
        <f aca="false">DL51</f>
        <v>0.592012679113304</v>
      </c>
      <c r="L52" s="57" t="n">
        <f aca="false">1-EXP(LN(1-E52)*dt)</f>
        <v>0.0271675499979046</v>
      </c>
      <c r="M52" s="57" t="n">
        <f aca="false">G52*(1-L52)</f>
        <v>0.274147891758507</v>
      </c>
      <c r="N52" s="57" t="n">
        <f aca="false">IF(Apixaban!$B$2=1,EXP(LN(or_apx_stroke)*D52)*(1-EXP(-r_stroke*F52*dt))/(1-(1-EXP(-r_stroke*F52*dt))+EXP(LN(or_apx_stroke)*D52)*(1-EXP(-r_stroke*F52*dt))),(1-EXP(-r_stroke*F52*dt)))</f>
        <v>0.0050685003667695</v>
      </c>
      <c r="O52" s="57" t="n">
        <f aca="false">IF(Apixaban!$B$2=1,EXP(LN(or_apx_ich)*D52)*(1-EXP(-r_ich*dt))/(1-(1-EXP(-r_ich*dt))+EXP(LN(or_apx_ich)*D52)*(1-EXP(-r_ich*dt))),(1-EXP(-r_ich*dt)))</f>
        <v>0.000843513249640701</v>
      </c>
      <c r="P52" s="57" t="n">
        <f aca="false">IF(Apixaban!$B$2=1,EXP(LN(or_apx_mb)*D52)*(1-EXP(-r_mb*dt))/(1-(1-EXP(-r_mb*dt))+EXP(LN(or_apx_mb)*D52)*(1-EXP(-r_mb*dt))),(1-EXP(-r_mb*dt)))</f>
        <v>0.00669446907979895</v>
      </c>
      <c r="Q52" s="57" t="n">
        <f aca="false">IF(Apixaban!$B$2=1,EXP(LN(or_apx_mi)*D52)*(1-EXP(-r_mi*dt))/(1-(1-EXP(-r_mi*dt))+EXP(LN(or_apx_mi)*D52)*(1-EXP(-r_mi*dt))),(1-EXP(-r_mi*dt)))</f>
        <v>0.00132321915530843</v>
      </c>
      <c r="R52" s="57" t="n">
        <f aca="false">(1-EXP(-r_tia*dt))</f>
        <v>0.0020060281549299</v>
      </c>
      <c r="S52" s="57" t="n">
        <f aca="false">(1-EXP(-r_minor*dt))</f>
        <v>0.0437937690785545</v>
      </c>
      <c r="T52" s="57" t="n">
        <f aca="false">M52*N52</f>
        <v>0.00138951868992708</v>
      </c>
      <c r="U52" s="57" t="n">
        <f aca="false">M52*O52</f>
        <v>0.000231247379059366</v>
      </c>
      <c r="V52" s="57" t="n">
        <f aca="false">M52*P52</f>
        <v>0.0018352745846694</v>
      </c>
      <c r="W52" s="57" t="n">
        <f aca="false">M52*Q52</f>
        <v>0.000362757741762279</v>
      </c>
      <c r="X52" s="57" t="n">
        <f aca="false">M52*R52</f>
        <v>0.000549948389482239</v>
      </c>
      <c r="Y52" s="57" t="n">
        <f aca="false">M52*S52</f>
        <v>0.0120059694650446</v>
      </c>
      <c r="Z52" s="57" t="n">
        <f aca="false">T52*f_stroke_fatal</f>
        <v>0.000329315929512718</v>
      </c>
      <c r="AA52" s="57" t="n">
        <f aca="false">T52*(1-f_stroke_fatal)*f_stroke_major</f>
        <v>0.000353047519217983</v>
      </c>
      <c r="AB52" s="57" t="n">
        <f aca="false">T52*(1-f_stroke_fatal)*(1-f_stroke_major)</f>
        <v>0.00070715524119638</v>
      </c>
      <c r="AC52" s="57" t="n">
        <f aca="false">U52*(1-f_bleed_fatal)</f>
        <v>0.000211822599218379</v>
      </c>
      <c r="AD52" s="57" t="n">
        <f aca="false">V52*(1-f_bleed_fatal)</f>
        <v>0.00168111151955717</v>
      </c>
      <c r="AE52" s="57" t="n">
        <f aca="false">W52*f_mi_fatal</f>
        <v>4.38936867532357E-005</v>
      </c>
      <c r="AF52" s="57" t="n">
        <f aca="false">W52-AE52</f>
        <v>0.000318864055009043</v>
      </c>
      <c r="AG52" s="57" t="n">
        <f aca="false">M52-T52-U52-V52-AE52</f>
        <v>0.270647957418098</v>
      </c>
      <c r="AH52" s="19" t="n">
        <f aca="false">Z52*c_stroke_fatal+AA52*c_stroke_major+AB52*c_stroke_minor+U52*c_ich+V52*c_major_bleed+AE52*c_mi_fatal+AF52*c_mi_nonfatal+X52*c_tia+Y52*c_minor_bleed</f>
        <v>77.9788342694415</v>
      </c>
      <c r="AI52" s="57" t="n">
        <f aca="false">dt*(AF52*dec_mi+AD52*dec_major_bleed+Y52*dec_minor_bleed+X52*dec_tia)</f>
        <v>0.00010181063845941</v>
      </c>
      <c r="AJ52" s="57" t="n">
        <f aca="false">G52*L52+Z52+U52-AC52+V52-AD52+AE52</f>
        <v>0.00820271658290693</v>
      </c>
      <c r="AK52" s="57" t="n">
        <f aca="false">1-EXP(LN(1-E52)*hr_death_prior_stroke*dt)</f>
        <v>0.0613849538308807</v>
      </c>
      <c r="AL52" s="57" t="n">
        <f aca="false">H52*(1-AK52)</f>
        <v>0.0278333785971758</v>
      </c>
      <c r="AM52" s="57" t="n">
        <f aca="false">(1-EXP(-r_stroke*F52*rr_stroke_prior*rr_asa_stroke*dt))</f>
        <v>0.022648284620395</v>
      </c>
      <c r="AN52" s="57" t="n">
        <f aca="false">(1-EXP(-r_ich*rr_asa_ich*dt))</f>
        <v>0.00102357767802375</v>
      </c>
      <c r="AO52" s="57" t="n">
        <f aca="false">(1-EXP(-r_mb*rr_asa_mb*dt))</f>
        <v>0.00951809672747972</v>
      </c>
      <c r="AP52" s="57" t="n">
        <f aca="false">(1-EXP(-r_mi*rr_asa_mi*dt))</f>
        <v>0.00213413516393479</v>
      </c>
      <c r="AQ52" s="57" t="n">
        <f aca="false">(1-EXP(-r_tia*rr_asa_tia*dt))</f>
        <v>0.00312764565589152</v>
      </c>
      <c r="AR52" s="57" t="n">
        <f aca="false">(1-EXP(-r_minor*rr_asa_minor*dt))</f>
        <v>0.0278181950466747</v>
      </c>
      <c r="AS52" s="57" t="n">
        <f aca="false">AL52*AM52</f>
        <v>0.000630378280416048</v>
      </c>
      <c r="AT52" s="57" t="n">
        <f aca="false">AL52*AN52</f>
        <v>2.8489625036053E-005</v>
      </c>
      <c r="AU52" s="57" t="n">
        <f aca="false">AL52*AO52</f>
        <v>0.000264920789740483</v>
      </c>
      <c r="AV52" s="57" t="n">
        <f aca="false">AL52*AP52</f>
        <v>5.94001919953428E-005</v>
      </c>
      <c r="AW52" s="57" t="n">
        <f aca="false">AL52*AQ52</f>
        <v>8.70529456582408E-005</v>
      </c>
      <c r="AX52" s="57" t="n">
        <f aca="false">AL52*AR52</f>
        <v>0.000774274354624177</v>
      </c>
      <c r="AY52" s="57" t="n">
        <f aca="false">AS52*f_stroke_fatal_recur</f>
        <v>0.000234557454360007</v>
      </c>
      <c r="AZ52" s="57" t="n">
        <f aca="false">AS52*(1-f_stroke_fatal_recur)*f_stroke_major</f>
        <v>0.000131808335076662</v>
      </c>
      <c r="BA52" s="57" t="n">
        <f aca="false">AS52*(1-f_stroke_fatal_recur)*(1-f_stroke_major)</f>
        <v>0.000264012490979379</v>
      </c>
      <c r="BB52" s="57" t="n">
        <f aca="false">AT52*(1-f_bleed_fatal)</f>
        <v>2.60964965330246E-005</v>
      </c>
      <c r="BC52" s="57" t="n">
        <f aca="false">AU52*(1-f_bleed_fatal)</f>
        <v>0.000242667443402282</v>
      </c>
      <c r="BD52" s="57" t="n">
        <f aca="false">AV52*f_mi_fatal</f>
        <v>7.18742323143648E-006</v>
      </c>
      <c r="BE52" s="57" t="n">
        <f aca="false">AV52-BD52</f>
        <v>5.22127687639064E-005</v>
      </c>
      <c r="BF52" s="57" t="n">
        <f aca="false">AL52-AS52-AT52-AU52-BD52</f>
        <v>0.0269024024787518</v>
      </c>
      <c r="BG52" s="19" t="n">
        <f aca="false">AY52*c_stroke_fatal+AZ52*c_stroke_major+BA52*c_stroke_minor+AT52*c_ich+AU52*c_major_bleed+BD52*c_mi_fatal+BE52*c_mi_nonfatal+AW52*c_tia+AX52*c_minor_bleed</f>
        <v>25.4830951443598</v>
      </c>
      <c r="BH52" s="57" t="n">
        <f aca="false">dt*(BE52*dec_mi+BC52*dec_major_bleed+AX52*dec_minor_bleed+AW52*dec_tia)</f>
        <v>1.19710052253528E-005</v>
      </c>
      <c r="BI52" s="57" t="n">
        <f aca="false">H52*AK52+AY52+AT52-BB52+AU52-BC52+BD52</f>
        <v>0.00208668036987211</v>
      </c>
      <c r="BJ52" s="57" t="n">
        <f aca="false">1-EXP(LN(1-E52)*hr_death_prior_stroke*dt)</f>
        <v>0.0613849538308807</v>
      </c>
      <c r="BK52" s="57" t="n">
        <f aca="false">I52*(1-BJ52)</f>
        <v>0.0132302230042116</v>
      </c>
      <c r="BL52" s="57" t="n">
        <f aca="false">(1-EXP(-r_stroke*F52*rr_stroke_prior*rr_asa_stroke*dt))</f>
        <v>0.022648284620395</v>
      </c>
      <c r="BM52" s="57" t="n">
        <f aca="false">(1-EXP(-r_ich*rr_asa_ich*dt))</f>
        <v>0.00102357767802375</v>
      </c>
      <c r="BN52" s="57" t="n">
        <f aca="false">(1-EXP(-r_mb*rr_asa_mb*dt))</f>
        <v>0.00951809672747972</v>
      </c>
      <c r="BO52" s="57" t="n">
        <f aca="false">(1-EXP(-r_mi*rr_asa_mi*dt))</f>
        <v>0.00213413516393479</v>
      </c>
      <c r="BP52" s="57" t="n">
        <f aca="false">(1-EXP(-r_tia*rr_asa_tia*dt))</f>
        <v>0.00312764565589152</v>
      </c>
      <c r="BQ52" s="57" t="n">
        <f aca="false">(1-EXP(-r_minor*rr_asa_minor*dt))</f>
        <v>0.0278181950466747</v>
      </c>
      <c r="BR52" s="57" t="n">
        <f aca="false">BK52*BL52</f>
        <v>0.000299641856190683</v>
      </c>
      <c r="BS52" s="57" t="n">
        <f aca="false">BK52*BM52</f>
        <v>1.35421609423873E-005</v>
      </c>
      <c r="BT52" s="57" t="n">
        <f aca="false">BK52*BN52</f>
        <v>0.000125926542280214</v>
      </c>
      <c r="BU52" s="57" t="n">
        <f aca="false">BK52*BO52</f>
        <v>2.82350841399871E-005</v>
      </c>
      <c r="BV52" s="57" t="n">
        <f aca="false">BK52*BP52</f>
        <v>4.13794495055986E-005</v>
      </c>
      <c r="BW52" s="57" t="n">
        <f aca="false">BK52*BQ52</f>
        <v>0.000368040924042162</v>
      </c>
      <c r="BX52" s="57" t="n">
        <f aca="false">BR52*f_stroke_fatal_recur</f>
        <v>0.000111493738269991</v>
      </c>
      <c r="BY52" s="57" t="n">
        <f aca="false">BR52*(1-f_stroke_fatal_recur)*f_stroke_major</f>
        <v>6.26533232675904E-005</v>
      </c>
      <c r="BZ52" s="57" t="n">
        <f aca="false">BR52*(1-f_stroke_fatal_recur)*(1-f_stroke_major)</f>
        <v>0.000125494794653101</v>
      </c>
      <c r="CA52" s="57" t="n">
        <f aca="false">BS52*(1-f_bleed_fatal)</f>
        <v>1.24046194232268E-005</v>
      </c>
      <c r="CB52" s="57" t="n">
        <f aca="false">BT52*(1-f_bleed_fatal)</f>
        <v>0.000115348712728676</v>
      </c>
      <c r="CC52" s="57" t="n">
        <f aca="false">BU52*f_mi_fatal</f>
        <v>3.41644518093843E-006</v>
      </c>
      <c r="CD52" s="57" t="n">
        <f aca="false">BU52-CC52</f>
        <v>2.48186389590486E-005</v>
      </c>
      <c r="CE52" s="57" t="n">
        <f aca="false">BK52-BR52-BS52-BT52-CC52</f>
        <v>0.0127876959996174</v>
      </c>
      <c r="CF52" s="19" t="n">
        <f aca="false">BX52*c_stroke_fatal+BY52*c_stroke_major+BZ52*c_stroke_minor+BS52*c_ich+BT52*c_major_bleed+CC52*c_mi_fatal+CD52*c_mi_nonfatal+BV52*c_tia+BW52*c_minor_bleed</f>
        <v>12.1130473047075</v>
      </c>
      <c r="CG52" s="57" t="n">
        <f aca="false">dt*(CD52*dec_mi+CB52*dec_major_bleed+BW52*dec_minor_bleed+BV52*dec_tia)</f>
        <v>5.690256688136E-006</v>
      </c>
      <c r="CH52" s="57" t="n">
        <f aca="false">I52*BJ52+BX52+BS52-CA52+BT52-CB52+CC52</f>
        <v>0.000991875511466658</v>
      </c>
      <c r="CI52" s="57" t="n">
        <f aca="false">1-EXP(LN(1-E52)*dt)</f>
        <v>0.0271675499979046</v>
      </c>
      <c r="CJ52" s="57" t="n">
        <f aca="false">J52*(1-CI52)</f>
        <v>0.0801948295776734</v>
      </c>
      <c r="CK52" s="57" t="n">
        <f aca="false">(1-EXP(-r_stroke*F52*rr_asa_stroke*dt))</f>
        <v>0.010359015795221</v>
      </c>
      <c r="CL52" s="57" t="n">
        <f aca="false">(1-EXP(-r_ich*rr_asa_ich*dt))</f>
        <v>0.00102357767802375</v>
      </c>
      <c r="CM52" s="57" t="n">
        <f aca="false">(1-EXP(-r_mb*rr_asa_mb*dt))</f>
        <v>0.00951809672747972</v>
      </c>
      <c r="CN52" s="57" t="n">
        <f aca="false">(1-EXP(-r_mi*rr_asa_mi*dt))</f>
        <v>0.00213413516393479</v>
      </c>
      <c r="CO52" s="57" t="n">
        <f aca="false">(1-EXP(-r_tia*rr_asa_tia*dt))</f>
        <v>0.00312764565589152</v>
      </c>
      <c r="CP52" s="57" t="n">
        <f aca="false">(1-EXP(-r_minor*rr_asa_minor*dt))</f>
        <v>0.0278181950466747</v>
      </c>
      <c r="CQ52" s="57" t="n">
        <f aca="false">CJ52*CK52</f>
        <v>0.000830739506290177</v>
      </c>
      <c r="CR52" s="57" t="n">
        <f aca="false">CJ52*CL52</f>
        <v>8.20856374486249E-005</v>
      </c>
      <c r="CS52" s="57" t="n">
        <f aca="false">CJ52*CM52</f>
        <v>0.000763302144964047</v>
      </c>
      <c r="CT52" s="57" t="n">
        <f aca="false">CJ52*CN52</f>
        <v>0.000171146605767471</v>
      </c>
      <c r="CU52" s="57" t="n">
        <f aca="false">CJ52*CO52</f>
        <v>0.000250821010353571</v>
      </c>
      <c r="CV52" s="57" t="n">
        <f aca="false">CJ52*CP52</f>
        <v>0.00223087541092656</v>
      </c>
      <c r="CW52" s="57" t="n">
        <f aca="false">CQ52*f_stroke_fatal</f>
        <v>0.000196885262990772</v>
      </c>
      <c r="CX52" s="57" t="n">
        <f aca="false">CQ52*(1-f_stroke_fatal)*f_stroke_major</f>
        <v>0.000211073463018702</v>
      </c>
      <c r="CY52" s="57" t="n">
        <f aca="false">CQ52*(1-f_stroke_fatal)*(1-f_stroke_major)</f>
        <v>0.000422780780280703</v>
      </c>
      <c r="CZ52" s="57" t="n">
        <f aca="false">CR52*(1-f_bleed_fatal)</f>
        <v>7.51904439029404E-005</v>
      </c>
      <c r="DA52" s="57" t="n">
        <f aca="false">CS52*(1-f_bleed_fatal)</f>
        <v>0.000699184764787067</v>
      </c>
      <c r="DB52" s="57" t="n">
        <f aca="false">CT52*f_mi_fatal</f>
        <v>2.07087392978639E-005</v>
      </c>
      <c r="DC52" s="57" t="n">
        <f aca="false">CT52-DB52</f>
        <v>0.000150437866469607</v>
      </c>
      <c r="DD52" s="57" t="n">
        <f aca="false">CJ52-CQ52-CR52-CS52-DB52</f>
        <v>0.0784979935496726</v>
      </c>
      <c r="DE52" s="19" t="n">
        <f aca="false">CW52*c_stroke_fatal+CX52*c_stroke_major+CY52*c_stroke_minor+CR52*c_ich+CS52*c_major_bleed+DB52*c_mi_fatal+DC52*c_mi_nonfatal+CU52*c_tia+CV52*c_minor_bleed</f>
        <v>41.4927524755118</v>
      </c>
      <c r="DF52" s="57" t="n">
        <f aca="false">dt*(DC52*dec_mi+DA52*dec_major_bleed+CV52*dec_minor_bleed+CU52*dec_tia)</f>
        <v>3.44914190193935E-005</v>
      </c>
      <c r="DG52" s="57" t="n">
        <f aca="false">J52*CI52+CW52+CR52-CZ52+CS52-DA52+DB52</f>
        <v>0.00252814642906635</v>
      </c>
      <c r="DH52" s="57" t="n">
        <f aca="false">AG52</f>
        <v>0.270647957418098</v>
      </c>
      <c r="DI52" s="57" t="n">
        <f aca="false">AB52+AC52+BF52+BA52+BB52+BC52+CY52+CZ52</f>
        <v>0.0288521279742648</v>
      </c>
      <c r="DJ52" s="57" t="n">
        <f aca="false">AA52+AZ52+BY52+CX52+CE52+BZ52+CA52+CB52</f>
        <v>0.0137995267670034</v>
      </c>
      <c r="DK52" s="57" t="n">
        <f aca="false">AD52+DD52+DA52</f>
        <v>0.0808782898340169</v>
      </c>
      <c r="DL52" s="57" t="n">
        <f aca="false">K52+AJ52+BI52+CH52+DG52</f>
        <v>0.605822098006617</v>
      </c>
      <c r="DM52" s="58" t="n">
        <f aca="false">SUM(DH52:DL52)</f>
        <v>1</v>
      </c>
      <c r="DN52" s="19" t="n">
        <f aca="false">dt*(G52*Apixaban!$H$2+(H52+I52+J52)*c_aspirin)</f>
        <v>22.2496205785425</v>
      </c>
      <c r="DO52" s="19" t="n">
        <f aca="false">dt*(H52*c_lt_minor_stroke+I52*c_lt_major_stroke)</f>
        <v>172.18812231278</v>
      </c>
      <c r="DP52" s="19" t="n">
        <f aca="false">AH52+BG52+CF52+DE52</f>
        <v>157.067729194021</v>
      </c>
      <c r="DQ52" s="19" t="n">
        <f aca="false">DN52+DO52+DP52</f>
        <v>351.505472085343</v>
      </c>
      <c r="DR52" s="57" t="n">
        <f aca="false">dt*(G52*(u_af-dec_per_year_over_70*MAX(B52-ref_age,0))+H52*(u_minor_stroke-dec_per_year_over_70*MAX(B52-ref_age,0))+I52*(u_major_stroke-dec_per_year_over_70*MAX(B52-ref_age,0))+J52*(u_af-dec_per_year_over_70*MAX(B52-ref_age,0)))-AI52-BH52-CG52-DF52</f>
        <v>0.079996210019241</v>
      </c>
      <c r="DS52" s="57" t="n">
        <f aca="false">dt*(G52+H52+I52+J52)</f>
        <v>0.101996830221674</v>
      </c>
      <c r="DT52" s="19" t="n">
        <f aca="false">DQ52*C52</f>
        <v>296.1915090831</v>
      </c>
      <c r="DU52" s="19" t="n">
        <f aca="false">DN52*C52</f>
        <v>18.7483530671319</v>
      </c>
      <c r="DV52" s="19" t="n">
        <f aca="false">DP52*C52</f>
        <v>132.351076818905</v>
      </c>
      <c r="DW52" s="19" t="n">
        <f aca="false">DO52*C52</f>
        <v>145.092079197063</v>
      </c>
      <c r="DX52" s="57" t="n">
        <f aca="false">DR52*C52</f>
        <v>0.0674077647382251</v>
      </c>
      <c r="DY52" s="57" t="n">
        <f aca="false">DS52*C52</f>
        <v>0.0859463008806741</v>
      </c>
      <c r="DZ52" s="57" t="n">
        <f aca="false">T52+AS52+BR52+CQ52</f>
        <v>0.00315027833282399</v>
      </c>
      <c r="EA52" s="57" t="n">
        <f aca="false">U52+AT52+BS52+CR52</f>
        <v>0.000355364802486431</v>
      </c>
      <c r="EB52" s="57" t="n">
        <f aca="false">V52+AU52+BT52+CS52</f>
        <v>0.00298942406165414</v>
      </c>
      <c r="EC52" s="57" t="n">
        <f aca="false">G52*dt*C52</f>
        <v>0.059364577964314</v>
      </c>
    </row>
    <row r="53" customFormat="false" ht="15" hidden="false" customHeight="false" outlineLevel="0" collapsed="false">
      <c r="A53" s="8" t="n">
        <v>47</v>
      </c>
      <c r="B53" s="54" t="n">
        <f aca="false">start_age+A53*dt</f>
        <v>81.75</v>
      </c>
      <c r="C53" s="16" t="n">
        <f aca="false">(1+disc_rate)^-(A53*dt)</f>
        <v>0.839506384978346</v>
      </c>
      <c r="D53" s="55" t="n">
        <f aca="false">IF(A53*dt&gt;=wane_start,(1-wane_decay)^(A53*dt-wane_start),1)</f>
        <v>1</v>
      </c>
      <c r="E53" s="25" t="n">
        <f aca="false">MIN(p_nonvasc_death*MIN(EXP(gomp_int+gomp_slope*INT(B53)),1)/qx_ref,0.999)</f>
        <v>0.104321407440289</v>
      </c>
      <c r="F53" s="55" t="n">
        <f aca="false">rr_stroke_per_decade^((B53-ref_age)/10)</f>
        <v>1.61030161832861</v>
      </c>
      <c r="G53" s="57" t="n">
        <f aca="false">DH52</f>
        <v>0.270647957418098</v>
      </c>
      <c r="H53" s="57" t="n">
        <f aca="false">DI52</f>
        <v>0.0288521279742648</v>
      </c>
      <c r="I53" s="57" t="n">
        <f aca="false">DJ52</f>
        <v>0.0137995267670034</v>
      </c>
      <c r="J53" s="57" t="n">
        <f aca="false">DK52</f>
        <v>0.0808782898340169</v>
      </c>
      <c r="K53" s="57" t="n">
        <f aca="false">DL52</f>
        <v>0.605822098006617</v>
      </c>
      <c r="L53" s="57" t="n">
        <f aca="false">1-EXP(LN(1-E53)*dt)</f>
        <v>0.0271675499979046</v>
      </c>
      <c r="M53" s="57" t="n">
        <f aca="false">G53*(1-L53)</f>
        <v>0.263295115503111</v>
      </c>
      <c r="N53" s="57" t="n">
        <f aca="false">IF(Apixaban!$B$2=1,EXP(LN(or_apx_stroke)*D53)*(1-EXP(-r_stroke*F53*dt))/(1-(1-EXP(-r_stroke*F53*dt))+EXP(LN(or_apx_stroke)*D53)*(1-EXP(-r_stroke*F53*dt))),(1-EXP(-r_stroke*F53*dt)))</f>
        <v>0.00512004173146875</v>
      </c>
      <c r="O53" s="57" t="n">
        <f aca="false">IF(Apixaban!$B$2=1,EXP(LN(or_apx_ich)*D53)*(1-EXP(-r_ich*dt))/(1-(1-EXP(-r_ich*dt))+EXP(LN(or_apx_ich)*D53)*(1-EXP(-r_ich*dt))),(1-EXP(-r_ich*dt)))</f>
        <v>0.000843513249640701</v>
      </c>
      <c r="P53" s="57" t="n">
        <f aca="false">IF(Apixaban!$B$2=1,EXP(LN(or_apx_mb)*D53)*(1-EXP(-r_mb*dt))/(1-(1-EXP(-r_mb*dt))+EXP(LN(or_apx_mb)*D53)*(1-EXP(-r_mb*dt))),(1-EXP(-r_mb*dt)))</f>
        <v>0.00669446907979895</v>
      </c>
      <c r="Q53" s="57" t="n">
        <f aca="false">IF(Apixaban!$B$2=1,EXP(LN(or_apx_mi)*D53)*(1-EXP(-r_mi*dt))/(1-(1-EXP(-r_mi*dt))+EXP(LN(or_apx_mi)*D53)*(1-EXP(-r_mi*dt))),(1-EXP(-r_mi*dt)))</f>
        <v>0.00132321915530843</v>
      </c>
      <c r="R53" s="57" t="n">
        <f aca="false">(1-EXP(-r_tia*dt))</f>
        <v>0.0020060281549299</v>
      </c>
      <c r="S53" s="57" t="n">
        <f aca="false">(1-EXP(-r_minor*dt))</f>
        <v>0.0437937690785545</v>
      </c>
      <c r="T53" s="57" t="n">
        <f aca="false">M53*N53</f>
        <v>0.00134808197906782</v>
      </c>
      <c r="U53" s="57" t="n">
        <f aca="false">M53*O53</f>
        <v>0.000222092918492553</v>
      </c>
      <c r="V53" s="57" t="n">
        <f aca="false">M53*P53</f>
        <v>0.00176262100959767</v>
      </c>
      <c r="W53" s="57" t="n">
        <f aca="false">M53*Q53</f>
        <v>0.000348397140332862</v>
      </c>
      <c r="X53" s="57" t="n">
        <f aca="false">M53*R53</f>
        <v>0.00052817741475476</v>
      </c>
      <c r="Y53" s="57" t="n">
        <f aca="false">M53*S53</f>
        <v>0.0115306854878546</v>
      </c>
      <c r="Z53" s="57" t="n">
        <f aca="false">T53*f_stroke_fatal</f>
        <v>0.000319495429039072</v>
      </c>
      <c r="AA53" s="57" t="n">
        <f aca="false">T53*(1-f_stroke_fatal)*f_stroke_major</f>
        <v>0.000342519321159572</v>
      </c>
      <c r="AB53" s="57" t="n">
        <f aca="false">T53*(1-f_stroke_fatal)*(1-f_stroke_major)</f>
        <v>0.000686067228869172</v>
      </c>
      <c r="AC53" s="57" t="n">
        <f aca="false">U53*(1-f_bleed_fatal)</f>
        <v>0.000203437113339179</v>
      </c>
      <c r="AD53" s="57" t="n">
        <f aca="false">V53*(1-f_bleed_fatal)</f>
        <v>0.00161456084479147</v>
      </c>
      <c r="AE53" s="57" t="n">
        <f aca="false">W53*f_mi_fatal</f>
        <v>4.21560539802763E-005</v>
      </c>
      <c r="AF53" s="57" t="n">
        <f aca="false">W53-AE53</f>
        <v>0.000306241086352586</v>
      </c>
      <c r="AG53" s="57" t="n">
        <f aca="false">M53-T53-U53-V53-AE53</f>
        <v>0.259920163541973</v>
      </c>
      <c r="AH53" s="19" t="n">
        <f aca="false">Z53*c_stroke_fatal+AA53*c_stroke_major+AB53*c_stroke_minor+U53*c_ich+V53*c_major_bleed+AE53*c_mi_fatal+AF53*c_mi_nonfatal+X53*c_tia+Y53*c_minor_bleed</f>
        <v>75.3932634934046</v>
      </c>
      <c r="AI53" s="57" t="n">
        <f aca="false">dt*(AF53*dec_mi+AD53*dec_major_bleed+Y53*dec_minor_bleed+X53*dec_tia)</f>
        <v>9.77802296441845E-005</v>
      </c>
      <c r="AJ53" s="57" t="n">
        <f aca="false">G53*L53+Z53+U53-AC53+V53-AD53+AE53</f>
        <v>0.00788120936796587</v>
      </c>
      <c r="AK53" s="57" t="n">
        <f aca="false">1-EXP(LN(1-E53)*hr_death_prior_stroke*dt)</f>
        <v>0.0613849538308807</v>
      </c>
      <c r="AL53" s="57" t="n">
        <f aca="false">H53*(1-AK53)</f>
        <v>0.0270810414306419</v>
      </c>
      <c r="AM53" s="57" t="n">
        <f aca="false">(1-EXP(-r_stroke*F53*rr_stroke_prior*rr_asa_stroke*dt))</f>
        <v>0.0228763698030587</v>
      </c>
      <c r="AN53" s="57" t="n">
        <f aca="false">(1-EXP(-r_ich*rr_asa_ich*dt))</f>
        <v>0.00102357767802375</v>
      </c>
      <c r="AO53" s="57" t="n">
        <f aca="false">(1-EXP(-r_mb*rr_asa_mb*dt))</f>
        <v>0.00951809672747972</v>
      </c>
      <c r="AP53" s="57" t="n">
        <f aca="false">(1-EXP(-r_mi*rr_asa_mi*dt))</f>
        <v>0.00213413516393479</v>
      </c>
      <c r="AQ53" s="57" t="n">
        <f aca="false">(1-EXP(-r_tia*rr_asa_tia*dt))</f>
        <v>0.00312764565589152</v>
      </c>
      <c r="AR53" s="57" t="n">
        <f aca="false">(1-EXP(-r_minor*rr_asa_minor*dt))</f>
        <v>0.0278181950466747</v>
      </c>
      <c r="AS53" s="57" t="n">
        <f aca="false">AL53*AM53</f>
        <v>0.00061951591841932</v>
      </c>
      <c r="AT53" s="57" t="n">
        <f aca="false">AL53*AN53</f>
        <v>2.77195495060413E-005</v>
      </c>
      <c r="AU53" s="57" t="n">
        <f aca="false">AL53*AO53</f>
        <v>0.000257759971817736</v>
      </c>
      <c r="AV53" s="57" t="n">
        <f aca="false">AL53*AP53</f>
        <v>5.77946027931079E-005</v>
      </c>
      <c r="AW53" s="57" t="n">
        <f aca="false">AL53*AQ53</f>
        <v>8.46999015875655E-005</v>
      </c>
      <c r="AX53" s="57" t="n">
        <f aca="false">AL53*AR53</f>
        <v>0.000753345692584676</v>
      </c>
      <c r="AY53" s="57" t="n">
        <f aca="false">AS53*f_stroke_fatal_recur</f>
        <v>0.000230515678084645</v>
      </c>
      <c r="AZ53" s="57" t="n">
        <f aca="false">AS53*(1-f_stroke_fatal_recur)*f_stroke_major</f>
        <v>0.000129537080031447</v>
      </c>
      <c r="BA53" s="57" t="n">
        <f aca="false">AS53*(1-f_stroke_fatal_recur)*(1-f_stroke_major)</f>
        <v>0.000259463160303228</v>
      </c>
      <c r="BB53" s="57" t="n">
        <f aca="false">AT53*(1-f_bleed_fatal)</f>
        <v>2.53911073475339E-005</v>
      </c>
      <c r="BC53" s="57" t="n">
        <f aca="false">AU53*(1-f_bleed_fatal)</f>
        <v>0.000236108134185046</v>
      </c>
      <c r="BD53" s="57" t="n">
        <f aca="false">AV53*f_mi_fatal</f>
        <v>6.99314693796606E-006</v>
      </c>
      <c r="BE53" s="57" t="n">
        <f aca="false">AV53-BD53</f>
        <v>5.08014558551418E-005</v>
      </c>
      <c r="BF53" s="57" t="n">
        <f aca="false">AL53-AS53-AT53-AU53-BD53</f>
        <v>0.0261690528439609</v>
      </c>
      <c r="BG53" s="19" t="n">
        <f aca="false">AY53*c_stroke_fatal+AZ53*c_stroke_major+BA53*c_stroke_minor+AT53*c_ich+AU53*c_major_bleed+BD53*c_mi_fatal+BE53*c_mi_nonfatal+AW53*c_tia+AX53*c_minor_bleed</f>
        <v>25.0072583883555</v>
      </c>
      <c r="BH53" s="57" t="n">
        <f aca="false">dt*(BE53*dec_mi+BC53*dec_major_bleed+AX53*dec_minor_bleed+AW53*dec_tia)</f>
        <v>1.16474285485092E-005</v>
      </c>
      <c r="BI53" s="57" t="n">
        <f aca="false">H53*AK53+AY53+AT53-BB53+AU53-BC53+BD53</f>
        <v>0.00203257564843672</v>
      </c>
      <c r="BJ53" s="57" t="n">
        <f aca="false">1-EXP(LN(1-E53)*hr_death_prior_stroke*dt)</f>
        <v>0.0613849538308807</v>
      </c>
      <c r="BK53" s="57" t="n">
        <f aca="false">I53*(1-BJ53)</f>
        <v>0.0129524434535229</v>
      </c>
      <c r="BL53" s="57" t="n">
        <f aca="false">(1-EXP(-r_stroke*F53*rr_stroke_prior*rr_asa_stroke*dt))</f>
        <v>0.0228763698030587</v>
      </c>
      <c r="BM53" s="57" t="n">
        <f aca="false">(1-EXP(-r_ich*rr_asa_ich*dt))</f>
        <v>0.00102357767802375</v>
      </c>
      <c r="BN53" s="57" t="n">
        <f aca="false">(1-EXP(-r_mb*rr_asa_mb*dt))</f>
        <v>0.00951809672747972</v>
      </c>
      <c r="BO53" s="57" t="n">
        <f aca="false">(1-EXP(-r_mi*rr_asa_mi*dt))</f>
        <v>0.00213413516393479</v>
      </c>
      <c r="BP53" s="57" t="n">
        <f aca="false">(1-EXP(-r_tia*rr_asa_tia*dt))</f>
        <v>0.00312764565589152</v>
      </c>
      <c r="BQ53" s="57" t="n">
        <f aca="false">(1-EXP(-r_minor*rr_asa_minor*dt))</f>
        <v>0.0278181950466747</v>
      </c>
      <c r="BR53" s="57" t="n">
        <f aca="false">BK53*BL53</f>
        <v>0.000296304886295996</v>
      </c>
      <c r="BS53" s="57" t="n">
        <f aca="false">BK53*BM53</f>
        <v>1.32578319948908E-005</v>
      </c>
      <c r="BT53" s="57" t="n">
        <f aca="false">BK53*BN53</f>
        <v>0.000123282609647842</v>
      </c>
      <c r="BU53" s="57" t="n">
        <f aca="false">BK53*BO53</f>
        <v>2.76422650330401E-005</v>
      </c>
      <c r="BV53" s="57" t="n">
        <f aca="false">BK53*BP53</f>
        <v>4.05106535005913E-005</v>
      </c>
      <c r="BW53" s="57" t="n">
        <f aca="false">BK53*BQ53</f>
        <v>0.000360313598321124</v>
      </c>
      <c r="BX53" s="57" t="n">
        <f aca="false">BR53*f_stroke_fatal_recur</f>
        <v>0.000110252085141877</v>
      </c>
      <c r="BY53" s="57" t="n">
        <f aca="false">BR53*(1-f_stroke_fatal_recur)*f_stroke_major</f>
        <v>6.19555827843216E-005</v>
      </c>
      <c r="BZ53" s="57" t="n">
        <f aca="false">BR53*(1-f_stroke_fatal_recur)*(1-f_stroke_major)</f>
        <v>0.000124097218369797</v>
      </c>
      <c r="CA53" s="57" t="n">
        <f aca="false">BS53*(1-f_bleed_fatal)</f>
        <v>1.214417410732E-005</v>
      </c>
      <c r="CB53" s="57" t="n">
        <f aca="false">BT53*(1-f_bleed_fatal)</f>
        <v>0.000112926870437423</v>
      </c>
      <c r="CC53" s="57" t="n">
        <f aca="false">BU53*f_mi_fatal</f>
        <v>3.34471406899785E-006</v>
      </c>
      <c r="CD53" s="57" t="n">
        <f aca="false">BU53-CC53</f>
        <v>2.42975509640423E-005</v>
      </c>
      <c r="CE53" s="57" t="n">
        <f aca="false">BK53-BR53-BS53-BT53-CC53</f>
        <v>0.0125162534115151</v>
      </c>
      <c r="CF53" s="19" t="n">
        <f aca="false">BX53*c_stroke_fatal+BY53*c_stroke_major+BZ53*c_stroke_minor+BS53*c_ich+BT53*c_major_bleed+CC53*c_mi_fatal+CD53*c_mi_nonfatal+BV53*c_tia+BW53*c_minor_bleed</f>
        <v>11.960585084306</v>
      </c>
      <c r="CG53" s="57" t="n">
        <f aca="false">dt*(CD53*dec_mi+CB53*dec_major_bleed+BW53*dec_minor_bleed+BV53*dec_tia)</f>
        <v>5.57078500987093E-006</v>
      </c>
      <c r="CH53" s="57" t="n">
        <f aca="false">I53*BJ53+BX53+BS53-CA53+BT53-CB53+CC53</f>
        <v>0.000972149509789368</v>
      </c>
      <c r="CI53" s="57" t="n">
        <f aca="false">1-EXP(LN(1-E53)*dt)</f>
        <v>0.0271675499979046</v>
      </c>
      <c r="CJ53" s="57" t="n">
        <f aca="false">J53*(1-CI53)</f>
        <v>0.0786810248512062</v>
      </c>
      <c r="CK53" s="57" t="n">
        <f aca="false">(1-EXP(-r_stroke*F53*rr_asa_stroke*dt))</f>
        <v>0.0104640011762072</v>
      </c>
      <c r="CL53" s="57" t="n">
        <f aca="false">(1-EXP(-r_ich*rr_asa_ich*dt))</f>
        <v>0.00102357767802375</v>
      </c>
      <c r="CM53" s="57" t="n">
        <f aca="false">(1-EXP(-r_mb*rr_asa_mb*dt))</f>
        <v>0.00951809672747972</v>
      </c>
      <c r="CN53" s="57" t="n">
        <f aca="false">(1-EXP(-r_mi*rr_asa_mi*dt))</f>
        <v>0.00213413516393479</v>
      </c>
      <c r="CO53" s="57" t="n">
        <f aca="false">(1-EXP(-r_tia*rr_asa_tia*dt))</f>
        <v>0.00312764565589152</v>
      </c>
      <c r="CP53" s="57" t="n">
        <f aca="false">(1-EXP(-r_minor*rr_asa_minor*dt))</f>
        <v>0.0278181950466747</v>
      </c>
      <c r="CQ53" s="57" t="n">
        <f aca="false">CJ53*CK53</f>
        <v>0.000823318336588207</v>
      </c>
      <c r="CR53" s="57" t="n">
        <f aca="false">CJ53*CL53</f>
        <v>8.05361407217263E-005</v>
      </c>
      <c r="CS53" s="57" t="n">
        <f aca="false">CJ53*CM53</f>
        <v>0.000748893605151016</v>
      </c>
      <c r="CT53" s="57" t="n">
        <f aca="false">CJ53*CN53</f>
        <v>0.000167915941869386</v>
      </c>
      <c r="CU53" s="57" t="n">
        <f aca="false">CJ53*CO53</f>
        <v>0.000246086365576968</v>
      </c>
      <c r="CV53" s="57" t="n">
        <f aca="false">CJ53*CP53</f>
        <v>0.00218876409578311</v>
      </c>
      <c r="CW53" s="57" t="n">
        <f aca="false">CQ53*f_stroke_fatal</f>
        <v>0.000195126445771405</v>
      </c>
      <c r="CX53" s="57" t="n">
        <f aca="false">CQ53*(1-f_stroke_fatal)*f_stroke_major</f>
        <v>0.000209187899641995</v>
      </c>
      <c r="CY53" s="57" t="n">
        <f aca="false">CQ53*(1-f_stroke_fatal)*(1-f_stroke_major)</f>
        <v>0.000419003991174807</v>
      </c>
      <c r="CZ53" s="57" t="n">
        <f aca="false">CR53*(1-f_bleed_fatal)</f>
        <v>7.37711049011013E-005</v>
      </c>
      <c r="DA53" s="57" t="n">
        <f aca="false">CS53*(1-f_bleed_fatal)</f>
        <v>0.000685986542318331</v>
      </c>
      <c r="DB53" s="57" t="n">
        <f aca="false">CT53*f_mi_fatal</f>
        <v>2.03178289661958E-005</v>
      </c>
      <c r="DC53" s="57" t="n">
        <f aca="false">CT53-DB53</f>
        <v>0.000147598112903191</v>
      </c>
      <c r="DD53" s="57" t="n">
        <f aca="false">CJ53-CQ53-CR53-CS53-DB53</f>
        <v>0.0770079589397791</v>
      </c>
      <c r="DE53" s="19" t="n">
        <f aca="false">CW53*c_stroke_fatal+CX53*c_stroke_major+CY53*c_stroke_minor+CR53*c_ich+CS53*c_major_bleed+DB53*c_mi_fatal+DC53*c_mi_nonfatal+CU53*c_tia+CV53*c_minor_bleed</f>
        <v>41.0147115328942</v>
      </c>
      <c r="DF53" s="57" t="n">
        <f aca="false">dt*(DC53*dec_mi+DA53*dec_major_bleed+CV53*dec_minor_bleed+CU53*dec_tia)</f>
        <v>3.38403387264484E-005</v>
      </c>
      <c r="DG53" s="57" t="n">
        <f aca="false">J53*CI53+CW53+CR53-CZ53+CS53-DA53+DB53</f>
        <v>0.00248238135620158</v>
      </c>
      <c r="DH53" s="57" t="n">
        <f aca="false">AG53</f>
        <v>0.259920163541973</v>
      </c>
      <c r="DI53" s="57" t="n">
        <f aca="false">AB53+AC53+BF53+BA53+BB53+BC53+CY53+CZ53</f>
        <v>0.0280722946840809</v>
      </c>
      <c r="DJ53" s="57" t="n">
        <f aca="false">AA53+AZ53+BY53+CX53+CE53+BZ53+CA53+CB53</f>
        <v>0.013508621558047</v>
      </c>
      <c r="DK53" s="57" t="n">
        <f aca="false">AD53+DD53+DA53</f>
        <v>0.0793085063268889</v>
      </c>
      <c r="DL53" s="57" t="n">
        <f aca="false">K53+AJ53+BI53+CH53+DG53</f>
        <v>0.61919041388901</v>
      </c>
      <c r="DM53" s="58" t="n">
        <f aca="false">SUM(DH53:DL53)</f>
        <v>1</v>
      </c>
      <c r="DN53" s="19" t="n">
        <f aca="false">dt*(G53*Apixaban!$H$2+(H53+I53+J53)*c_aspirin)</f>
        <v>21.3916730475241</v>
      </c>
      <c r="DO53" s="19" t="n">
        <f aca="false">dt*(H53*c_lt_minor_stroke+I53*c_lt_major_stroke)</f>
        <v>168.089163415482</v>
      </c>
      <c r="DP53" s="19" t="n">
        <f aca="false">AH53+BG53+CF53+DE53</f>
        <v>153.37581849896</v>
      </c>
      <c r="DQ53" s="19" t="n">
        <f aca="false">DN53+DO53+DP53</f>
        <v>342.856654961967</v>
      </c>
      <c r="DR53" s="57" t="n">
        <f aca="false">dt*(G53*(u_af-dec_per_year_over_70*MAX(B53-ref_age,0))+H53*(u_minor_stroke-dec_per_year_over_70*MAX(B53-ref_age,0))+I53*(u_major_stroke-dec_per_year_over_70*MAX(B53-ref_age,0))+J53*(u_af-dec_per_year_over_70*MAX(B53-ref_age,0)))-AI53-BH53-CG53-DF53</f>
        <v>0.0772566406322147</v>
      </c>
      <c r="DS53" s="57" t="n">
        <f aca="false">dt*(G53+H53+I53+J53)</f>
        <v>0.0985444754983458</v>
      </c>
      <c r="DT53" s="19" t="n">
        <f aca="false">DQ53*C53</f>
        <v>287.830350972889</v>
      </c>
      <c r="DU53" s="19" t="n">
        <f aca="false">DN53*C53</f>
        <v>17.9584461087657</v>
      </c>
      <c r="DV53" s="19" t="n">
        <f aca="false">DP53*C53</f>
        <v>128.759978931157</v>
      </c>
      <c r="DW53" s="19" t="n">
        <f aca="false">DO53*C53</f>
        <v>141.111925932966</v>
      </c>
      <c r="DX53" s="57" t="n">
        <f aca="false">DR53*C53</f>
        <v>0.0648574430927218</v>
      </c>
      <c r="DY53" s="57" t="n">
        <f aca="false">DS53*C53</f>
        <v>0.0827287163852035</v>
      </c>
      <c r="DZ53" s="57" t="n">
        <f aca="false">T53+AS53+BR53+CQ53</f>
        <v>0.00308722112037134</v>
      </c>
      <c r="EA53" s="57" t="n">
        <f aca="false">U53+AT53+BS53+CR53</f>
        <v>0.000343606440715212</v>
      </c>
      <c r="EB53" s="57" t="n">
        <f aca="false">V53+AU53+BT53+CS53</f>
        <v>0.00289255719621427</v>
      </c>
      <c r="EC53" s="57" t="n">
        <f aca="false">G53*dt*C53</f>
        <v>0.0568026720834603</v>
      </c>
    </row>
    <row r="54" customFormat="false" ht="15" hidden="false" customHeight="false" outlineLevel="0" collapsed="false">
      <c r="A54" s="8" t="n">
        <v>48</v>
      </c>
      <c r="B54" s="54" t="n">
        <f aca="false">start_age+A54*dt</f>
        <v>82</v>
      </c>
      <c r="C54" s="16" t="n">
        <f aca="false">(1+disc_rate)^-(A54*dt)</f>
        <v>0.836387421895396</v>
      </c>
      <c r="D54" s="55" t="n">
        <f aca="false">IF(A54*dt&gt;=wane_start,(1-wane_decay)^(A54*dt-wane_start),1)</f>
        <v>1</v>
      </c>
      <c r="E54" s="25" t="n">
        <f aca="false">MIN(p_nonvasc_death*MIN(EXP(gomp_int+gomp_slope*INT(B54)),1)/qx_ref,0.999)</f>
        <v>0.115828440791284</v>
      </c>
      <c r="F54" s="55" t="n">
        <f aca="false">rr_stroke_per_decade^((B54-ref_age)/10)</f>
        <v>1.62670765679655</v>
      </c>
      <c r="G54" s="57" t="n">
        <f aca="false">DH53</f>
        <v>0.259920163541973</v>
      </c>
      <c r="H54" s="57" t="n">
        <f aca="false">DI53</f>
        <v>0.0280722946840809</v>
      </c>
      <c r="I54" s="57" t="n">
        <f aca="false">DJ53</f>
        <v>0.013508621558047</v>
      </c>
      <c r="J54" s="57" t="n">
        <f aca="false">DK53</f>
        <v>0.0793085063268889</v>
      </c>
      <c r="K54" s="57" t="n">
        <f aca="false">DL53</f>
        <v>0.61919041388901</v>
      </c>
      <c r="L54" s="57" t="n">
        <f aca="false">1-EXP(LN(1-E54)*dt)</f>
        <v>0.0303072797491967</v>
      </c>
      <c r="M54" s="57" t="n">
        <f aca="false">G54*(1-L54)</f>
        <v>0.252042690433049</v>
      </c>
      <c r="N54" s="57" t="n">
        <f aca="false">IF(Apixaban!$B$2=1,EXP(LN(or_apx_stroke)*D54)*(1-EXP(-r_stroke*F54*dt))/(1-(1-EXP(-r_stroke*F54*dt))+EXP(LN(or_apx_stroke)*D54)*(1-EXP(-r_stroke*F54*dt))),(1-EXP(-r_stroke*F54*dt)))</f>
        <v>0.00517210621369492</v>
      </c>
      <c r="O54" s="57" t="n">
        <f aca="false">IF(Apixaban!$B$2=1,EXP(LN(or_apx_ich)*D54)*(1-EXP(-r_ich*dt))/(1-(1-EXP(-r_ich*dt))+EXP(LN(or_apx_ich)*D54)*(1-EXP(-r_ich*dt))),(1-EXP(-r_ich*dt)))</f>
        <v>0.000843513249640701</v>
      </c>
      <c r="P54" s="57" t="n">
        <f aca="false">IF(Apixaban!$B$2=1,EXP(LN(or_apx_mb)*D54)*(1-EXP(-r_mb*dt))/(1-(1-EXP(-r_mb*dt))+EXP(LN(or_apx_mb)*D54)*(1-EXP(-r_mb*dt))),(1-EXP(-r_mb*dt)))</f>
        <v>0.00669446907979895</v>
      </c>
      <c r="Q54" s="57" t="n">
        <f aca="false">IF(Apixaban!$B$2=1,EXP(LN(or_apx_mi)*D54)*(1-EXP(-r_mi*dt))/(1-(1-EXP(-r_mi*dt))+EXP(LN(or_apx_mi)*D54)*(1-EXP(-r_mi*dt))),(1-EXP(-r_mi*dt)))</f>
        <v>0.00132321915530843</v>
      </c>
      <c r="R54" s="57" t="n">
        <f aca="false">(1-EXP(-r_tia*dt))</f>
        <v>0.0020060281549299</v>
      </c>
      <c r="S54" s="57" t="n">
        <f aca="false">(1-EXP(-r_minor*dt))</f>
        <v>0.0437937690785545</v>
      </c>
      <c r="T54" s="57" t="n">
        <f aca="false">M54*N54</f>
        <v>0.00130359156530516</v>
      </c>
      <c r="U54" s="57" t="n">
        <f aca="false">M54*O54</f>
        <v>0.000212601348855367</v>
      </c>
      <c r="V54" s="57" t="n">
        <f aca="false">M54*P54</f>
        <v>0.00168729199789339</v>
      </c>
      <c r="W54" s="57" t="n">
        <f aca="false">M54*Q54</f>
        <v>0.000333507715936483</v>
      </c>
      <c r="X54" s="57" t="n">
        <f aca="false">M54*R54</f>
        <v>0.000505604733252977</v>
      </c>
      <c r="Y54" s="57" t="n">
        <f aca="false">M54*S54</f>
        <v>0.0110378993827626</v>
      </c>
      <c r="Z54" s="57" t="n">
        <f aca="false">T54*f_stroke_fatal</f>
        <v>0.000308951200977323</v>
      </c>
      <c r="AA54" s="57" t="n">
        <f aca="false">T54*(1-f_stroke_fatal)*f_stroke_major</f>
        <v>0.00033121524132117</v>
      </c>
      <c r="AB54" s="57" t="n">
        <f aca="false">T54*(1-f_stroke_fatal)*(1-f_stroke_major)</f>
        <v>0.000663425123006667</v>
      </c>
      <c r="AC54" s="57" t="n">
        <f aca="false">U54*(1-f_bleed_fatal)</f>
        <v>0.000194742835551516</v>
      </c>
      <c r="AD54" s="57" t="n">
        <f aca="false">V54*(1-f_bleed_fatal)</f>
        <v>0.00154555947007034</v>
      </c>
      <c r="AE54" s="57" t="n">
        <f aca="false">W54*f_mi_fatal</f>
        <v>4.03544336283145E-005</v>
      </c>
      <c r="AF54" s="57" t="n">
        <f aca="false">W54-AE54</f>
        <v>0.000293153282308169</v>
      </c>
      <c r="AG54" s="57" t="n">
        <f aca="false">M54-T54-U54-V54-AE54</f>
        <v>0.248798851087367</v>
      </c>
      <c r="AH54" s="19" t="n">
        <f aca="false">Z54*c_stroke_fatal+AA54*c_stroke_major+AB54*c_stroke_minor+U54*c_ich+V54*c_major_bleed+AE54*c_mi_fatal+AF54*c_mi_nonfatal+X54*c_tia+Y54*c_minor_bleed</f>
        <v>72.6560310838597</v>
      </c>
      <c r="AI54" s="57" t="n">
        <f aca="false">dt*(AF54*dec_mi+AD54*dec_major_bleed+Y54*dec_minor_bleed+X54*dec_tia)</f>
        <v>9.36014027589907E-005</v>
      </c>
      <c r="AJ54" s="57" t="n">
        <f aca="false">G54*L54+Z54+U54-AC54+V54-AD54+AE54</f>
        <v>0.00838636978465606</v>
      </c>
      <c r="AK54" s="57" t="n">
        <f aca="false">1-EXP(LN(1-E54)*hr_death_prior_stroke*dt)</f>
        <v>0.0683377233826246</v>
      </c>
      <c r="AL54" s="57" t="n">
        <f aca="false">H54*(1-AK54)</f>
        <v>0.0261538979752447</v>
      </c>
      <c r="AM54" s="57" t="n">
        <f aca="false">(1-EXP(-r_stroke*F54*rr_stroke_prior*rr_asa_stroke*dt))</f>
        <v>0.0231067247134612</v>
      </c>
      <c r="AN54" s="57" t="n">
        <f aca="false">(1-EXP(-r_ich*rr_asa_ich*dt))</f>
        <v>0.00102357767802375</v>
      </c>
      <c r="AO54" s="57" t="n">
        <f aca="false">(1-EXP(-r_mb*rr_asa_mb*dt))</f>
        <v>0.00951809672747972</v>
      </c>
      <c r="AP54" s="57" t="n">
        <f aca="false">(1-EXP(-r_mi*rr_asa_mi*dt))</f>
        <v>0.00213413516393479</v>
      </c>
      <c r="AQ54" s="57" t="n">
        <f aca="false">(1-EXP(-r_tia*rr_asa_tia*dt))</f>
        <v>0.00312764565589152</v>
      </c>
      <c r="AR54" s="57" t="n">
        <f aca="false">(1-EXP(-r_minor*rr_asa_minor*dt))</f>
        <v>0.0278181950466747</v>
      </c>
      <c r="AS54" s="57" t="n">
        <f aca="false">AL54*AM54</f>
        <v>0.000604330920697929</v>
      </c>
      <c r="AT54" s="57" t="n">
        <f aca="false">AL54*AN54</f>
        <v>2.67705461607709E-005</v>
      </c>
      <c r="AU54" s="57" t="n">
        <f aca="false">AL54*AO54</f>
        <v>0.000248935330729015</v>
      </c>
      <c r="AV54" s="57" t="n">
        <f aca="false">AL54*AP54</f>
        <v>5.58159533429326E-005</v>
      </c>
      <c r="AW54" s="57" t="n">
        <f aca="false">AL54*AQ54</f>
        <v>8.18001253869041E-005</v>
      </c>
      <c r="AX54" s="57" t="n">
        <f aca="false">AL54*AR54</f>
        <v>0.000727554235106188</v>
      </c>
      <c r="AY54" s="57" t="n">
        <f aca="false">AS54*f_stroke_fatal_recur</f>
        <v>0.000224865492282493</v>
      </c>
      <c r="AZ54" s="57" t="n">
        <f aca="false">AS54*(1-f_stroke_fatal_recur)*f_stroke_major</f>
        <v>0.00012636198766234</v>
      </c>
      <c r="BA54" s="57" t="n">
        <f aca="false">AS54*(1-f_stroke_fatal_recur)*(1-f_stroke_major)</f>
        <v>0.000253103440753096</v>
      </c>
      <c r="BB54" s="57" t="n">
        <f aca="false">AT54*(1-f_bleed_fatal)</f>
        <v>2.45218202832662E-005</v>
      </c>
      <c r="BC54" s="57" t="n">
        <f aca="false">AU54*(1-f_bleed_fatal)</f>
        <v>0.000228024762947778</v>
      </c>
      <c r="BD54" s="57" t="n">
        <f aca="false">AV54*f_mi_fatal</f>
        <v>6.75373035449485E-006</v>
      </c>
      <c r="BE54" s="57" t="n">
        <f aca="false">AV54-BD54</f>
        <v>4.90622229884378E-005</v>
      </c>
      <c r="BF54" s="57" t="n">
        <f aca="false">AL54-AS54-AT54-AU54-BD54</f>
        <v>0.0252671074473025</v>
      </c>
      <c r="BG54" s="19" t="n">
        <f aca="false">AY54*c_stroke_fatal+AZ54*c_stroke_major+BA54*c_stroke_minor+AT54*c_ich+AU54*c_major_bleed+BD54*c_mi_fatal+BE54*c_mi_nonfatal+AW54*c_tia+AX54*c_minor_bleed</f>
        <v>24.3588403889987</v>
      </c>
      <c r="BH54" s="57" t="n">
        <f aca="false">dt*(BE54*dec_mi+BC54*dec_major_bleed+AX54*dec_minor_bleed+AW54*dec_tia)</f>
        <v>1.12486685089955E-005</v>
      </c>
      <c r="BI54" s="57" t="n">
        <f aca="false">H54*AK54+AY54+AT54-BB54+AU54-BC54+BD54</f>
        <v>0.00217317522513197</v>
      </c>
      <c r="BJ54" s="57" t="n">
        <f aca="false">1-EXP(LN(1-E54)*hr_death_prior_stroke*dt)</f>
        <v>0.0683377233826246</v>
      </c>
      <c r="BK54" s="57" t="n">
        <f aca="false">I54*(1-BJ54)</f>
        <v>0.0125854731147326</v>
      </c>
      <c r="BL54" s="57" t="n">
        <f aca="false">(1-EXP(-r_stroke*F54*rr_stroke_prior*rr_asa_stroke*dt))</f>
        <v>0.0231067247134612</v>
      </c>
      <c r="BM54" s="57" t="n">
        <f aca="false">(1-EXP(-r_ich*rr_asa_ich*dt))</f>
        <v>0.00102357767802375</v>
      </c>
      <c r="BN54" s="57" t="n">
        <f aca="false">(1-EXP(-r_mb*rr_asa_mb*dt))</f>
        <v>0.00951809672747972</v>
      </c>
      <c r="BO54" s="57" t="n">
        <f aca="false">(1-EXP(-r_mi*rr_asa_mi*dt))</f>
        <v>0.00213413516393479</v>
      </c>
      <c r="BP54" s="57" t="n">
        <f aca="false">(1-EXP(-r_tia*rr_asa_tia*dt))</f>
        <v>0.00312764565589152</v>
      </c>
      <c r="BQ54" s="57" t="n">
        <f aca="false">(1-EXP(-r_minor*rr_asa_minor*dt))</f>
        <v>0.0278181950466747</v>
      </c>
      <c r="BR54" s="57" t="n">
        <f aca="false">BK54*BL54</f>
        <v>0.000290809062650794</v>
      </c>
      <c r="BS54" s="57" t="n">
        <f aca="false">BK54*BM54</f>
        <v>1.28822093476083E-005</v>
      </c>
      <c r="BT54" s="57" t="n">
        <f aca="false">BK54*BN54</f>
        <v>0.000119789750467121</v>
      </c>
      <c r="BU54" s="57" t="n">
        <f aca="false">BK54*BO54</f>
        <v>2.68591007289068E-005</v>
      </c>
      <c r="BV54" s="57" t="n">
        <f aca="false">BK54*BP54</f>
        <v>3.9362900314633E-005</v>
      </c>
      <c r="BW54" s="57" t="n">
        <f aca="false">BK54*BQ54</f>
        <v>0.000350105145860313</v>
      </c>
      <c r="BX54" s="57" t="n">
        <f aca="false">BR54*f_stroke_fatal_recur</f>
        <v>0.000108207144121734</v>
      </c>
      <c r="BY54" s="57" t="n">
        <f aca="false">BR54*(1-f_stroke_fatal_recur)*f_stroke_major</f>
        <v>6.0806438870177E-005</v>
      </c>
      <c r="BZ54" s="57" t="n">
        <f aca="false">BR54*(1-f_stroke_fatal_recur)*(1-f_stroke_major)</f>
        <v>0.000121795479658883</v>
      </c>
      <c r="CA54" s="57" t="n">
        <f aca="false">BS54*(1-f_bleed_fatal)</f>
        <v>1.18001037624092E-005</v>
      </c>
      <c r="CB54" s="57" t="n">
        <f aca="false">BT54*(1-f_bleed_fatal)</f>
        <v>0.000109727411427883</v>
      </c>
      <c r="CC54" s="57" t="n">
        <f aca="false">BU54*f_mi_fatal</f>
        <v>3.24995118819773E-006</v>
      </c>
      <c r="CD54" s="57" t="n">
        <f aca="false">BU54-CC54</f>
        <v>2.36091495407091E-005</v>
      </c>
      <c r="CE54" s="57" t="n">
        <f aca="false">BK54-BR54-BS54-BT54-CC54</f>
        <v>0.0121587421410789</v>
      </c>
      <c r="CF54" s="19" t="n">
        <f aca="false">BX54*c_stroke_fatal+BY54*c_stroke_major+BZ54*c_stroke_minor+BS54*c_ich+BT54*c_major_bleed+CC54*c_mi_fatal+CD54*c_mi_nonfatal+BV54*c_tia+BW54*c_minor_bleed</f>
        <v>11.7216764824876</v>
      </c>
      <c r="CG54" s="57" t="n">
        <f aca="false">dt*(CD54*dec_mi+CB54*dec_major_bleed+BW54*dec_minor_bleed+BV54*dec_tia)</f>
        <v>5.41295279313627E-006</v>
      </c>
      <c r="CH54" s="57" t="n">
        <f aca="false">I54*BJ54+BX54+BS54-CA54+BT54-CB54+CC54</f>
        <v>0.00104574998324874</v>
      </c>
      <c r="CI54" s="57" t="n">
        <f aca="false">1-EXP(LN(1-E54)*dt)</f>
        <v>0.0303072797491967</v>
      </c>
      <c r="CJ54" s="57" t="n">
        <f aca="false">J54*(1-CI54)</f>
        <v>0.0769048812391489</v>
      </c>
      <c r="CK54" s="57" t="n">
        <f aca="false">(1-EXP(-r_stroke*F54*rr_asa_stroke*dt))</f>
        <v>0.0105700448587948</v>
      </c>
      <c r="CL54" s="57" t="n">
        <f aca="false">(1-EXP(-r_ich*rr_asa_ich*dt))</f>
        <v>0.00102357767802375</v>
      </c>
      <c r="CM54" s="57" t="n">
        <f aca="false">(1-EXP(-r_mb*rr_asa_mb*dt))</f>
        <v>0.00951809672747972</v>
      </c>
      <c r="CN54" s="57" t="n">
        <f aca="false">(1-EXP(-r_mi*rr_asa_mi*dt))</f>
        <v>0.00213413516393479</v>
      </c>
      <c r="CO54" s="57" t="n">
        <f aca="false">(1-EXP(-r_tia*rr_asa_tia*dt))</f>
        <v>0.00312764565589152</v>
      </c>
      <c r="CP54" s="57" t="n">
        <f aca="false">(1-EXP(-r_minor*rr_asa_minor*dt))</f>
        <v>0.0278181950466747</v>
      </c>
      <c r="CQ54" s="57" t="n">
        <f aca="false">CJ54*CK54</f>
        <v>0.000812888044558088</v>
      </c>
      <c r="CR54" s="57" t="n">
        <f aca="false">CJ54*CL54</f>
        <v>7.871811976746E-005</v>
      </c>
      <c r="CS54" s="57" t="n">
        <f aca="false">CJ54*CM54</f>
        <v>0.00073198809844956</v>
      </c>
      <c r="CT54" s="57" t="n">
        <f aca="false">CJ54*CN54</f>
        <v>0.000164125411330697</v>
      </c>
      <c r="CU54" s="57" t="n">
        <f aca="false">CJ54*CO54</f>
        <v>0.000240531217724477</v>
      </c>
      <c r="CV54" s="57" t="n">
        <f aca="false">CJ54*CP54</f>
        <v>0.002139354986352</v>
      </c>
      <c r="CW54" s="57" t="n">
        <f aca="false">CQ54*f_stroke_fatal</f>
        <v>0.000192654466560267</v>
      </c>
      <c r="CX54" s="57" t="n">
        <f aca="false">CQ54*(1-f_stroke_fatal)*f_stroke_major</f>
        <v>0.000206537781473274</v>
      </c>
      <c r="CY54" s="57" t="n">
        <f aca="false">CQ54*(1-f_stroke_fatal)*(1-f_stroke_major)</f>
        <v>0.000413695796524546</v>
      </c>
      <c r="CZ54" s="57" t="n">
        <f aca="false">CR54*(1-f_bleed_fatal)</f>
        <v>7.21057977069934E-005</v>
      </c>
      <c r="DA54" s="57" t="n">
        <f aca="false">CS54*(1-f_bleed_fatal)</f>
        <v>0.000670501098179797</v>
      </c>
      <c r="DB54" s="57" t="n">
        <f aca="false">CT54*f_mi_fatal</f>
        <v>1.98591747710143E-005</v>
      </c>
      <c r="DC54" s="57" t="n">
        <f aca="false">CT54-DB54</f>
        <v>0.000144266236559682</v>
      </c>
      <c r="DD54" s="57" t="n">
        <f aca="false">CJ54-CQ54-CR54-CS54-DB54</f>
        <v>0.0752614278016028</v>
      </c>
      <c r="DE54" s="19" t="n">
        <f aca="false">CW54*c_stroke_fatal+CX54*c_stroke_major+CY54*c_stroke_minor+CR54*c_ich+CS54*c_major_bleed+DB54*c_mi_fatal+DC54*c_mi_nonfatal+CU54*c_tia+CV54*c_minor_bleed</f>
        <v>40.3901645525896</v>
      </c>
      <c r="DF54" s="57" t="n">
        <f aca="false">dt*(DC54*dec_mi+DA54*dec_major_bleed+CV54*dec_minor_bleed+CU54*dec_tia)</f>
        <v>3.30764277126747E-005</v>
      </c>
      <c r="DG54" s="57" t="n">
        <f aca="false">J54*CI54+CW54+CR54-CZ54+CS54-DA54+DB54</f>
        <v>0.00268423805140147</v>
      </c>
      <c r="DH54" s="57" t="n">
        <f aca="false">AG54</f>
        <v>0.248798851087367</v>
      </c>
      <c r="DI54" s="57" t="n">
        <f aca="false">AB54+AC54+BF54+BA54+BB54+BC54+CY54+CZ54</f>
        <v>0.0271167270240763</v>
      </c>
      <c r="DJ54" s="57" t="n">
        <f aca="false">AA54+AZ54+BY54+CX54+CE54+BZ54+CA54+CB54</f>
        <v>0.013126986585255</v>
      </c>
      <c r="DK54" s="57" t="n">
        <f aca="false">AD54+DD54+DA54</f>
        <v>0.0774774883698529</v>
      </c>
      <c r="DL54" s="57" t="n">
        <f aca="false">K54+AJ54+BI54+CH54+DG54</f>
        <v>0.633479946933448</v>
      </c>
      <c r="DM54" s="58" t="n">
        <f aca="false">SUM(DH54:DL54)</f>
        <v>1</v>
      </c>
      <c r="DN54" s="19" t="n">
        <f aca="false">dt*(G54*Apixaban!$H$2+(H54+I54+J54)*c_aspirin)</f>
        <v>20.5657792378963</v>
      </c>
      <c r="DO54" s="19" t="n">
        <f aca="false">dt*(H54*c_lt_minor_stroke+I54*c_lt_major_stroke)</f>
        <v>164.08179493843</v>
      </c>
      <c r="DP54" s="19" t="n">
        <f aca="false">AH54+BG54+CF54+DE54</f>
        <v>149.126712507936</v>
      </c>
      <c r="DQ54" s="19" t="n">
        <f aca="false">DN54+DO54+DP54</f>
        <v>333.774286684262</v>
      </c>
      <c r="DR54" s="57" t="n">
        <f aca="false">dt*(G54*(u_af-dec_per_year_over_70*MAX(B54-ref_age,0))+H54*(u_minor_stroke-dec_per_year_over_70*MAX(B54-ref_age,0))+I54*(u_major_stroke-dec_per_year_over_70*MAX(B54-ref_age,0))+J54*(u_af-dec_per_year_over_70*MAX(B54-ref_age,0)))-AI54-BH54-CG54-DF54</f>
        <v>0.074605958992571</v>
      </c>
      <c r="DS54" s="57" t="n">
        <f aca="false">dt*(G54+H54+I54+J54)</f>
        <v>0.0952023965277475</v>
      </c>
      <c r="DT54" s="19" t="n">
        <f aca="false">DQ54*C54</f>
        <v>279.164615134825</v>
      </c>
      <c r="DU54" s="19" t="n">
        <f aca="false">DN54*C54</f>
        <v>17.2009590760539</v>
      </c>
      <c r="DV54" s="19" t="n">
        <f aca="false">DP54*C54</f>
        <v>124.727706610248</v>
      </c>
      <c r="DW54" s="19" t="n">
        <f aca="false">DO54*C54</f>
        <v>137.235949448523</v>
      </c>
      <c r="DX54" s="57" t="n">
        <f aca="false">DR54*C54</f>
        <v>0.0623994856998301</v>
      </c>
      <c r="DY54" s="57" t="n">
        <f aca="false">DS54*C54</f>
        <v>0.0796260869901059</v>
      </c>
      <c r="DZ54" s="57" t="n">
        <f aca="false">T54+AS54+BR54+CQ54</f>
        <v>0.00301161959321197</v>
      </c>
      <c r="EA54" s="57" t="n">
        <f aca="false">U54+AT54+BS54+CR54</f>
        <v>0.000330972224131206</v>
      </c>
      <c r="EB54" s="57" t="n">
        <f aca="false">V54+AU54+BT54+CS54</f>
        <v>0.00278800517753908</v>
      </c>
      <c r="EC54" s="57" t="n">
        <f aca="false">G54*dt*C54</f>
        <v>0.0543484888708751</v>
      </c>
    </row>
    <row r="55" customFormat="false" ht="15" hidden="false" customHeight="false" outlineLevel="0" collapsed="false">
      <c r="A55" s="8" t="n">
        <v>49</v>
      </c>
      <c r="B55" s="54" t="n">
        <f aca="false">start_age+A55*dt</f>
        <v>82.25</v>
      </c>
      <c r="C55" s="16" t="n">
        <f aca="false">(1+disc_rate)^-(A55*dt)</f>
        <v>0.83328004649169</v>
      </c>
      <c r="D55" s="55" t="n">
        <f aca="false">IF(A55*dt&gt;=wane_start,(1-wane_decay)^(A55*dt-wane_start),1)</f>
        <v>1</v>
      </c>
      <c r="E55" s="25" t="n">
        <f aca="false">MIN(p_nonvasc_death*MIN(EXP(gomp_int+gomp_slope*INT(B55)),1)/qx_ref,0.999)</f>
        <v>0.115828440791284</v>
      </c>
      <c r="F55" s="55" t="n">
        <f aca="false">rr_stroke_per_decade^((B55-ref_age)/10)</f>
        <v>1.64328084289394</v>
      </c>
      <c r="G55" s="57" t="n">
        <f aca="false">DH54</f>
        <v>0.248798851087367</v>
      </c>
      <c r="H55" s="57" t="n">
        <f aca="false">DI54</f>
        <v>0.0271167270240763</v>
      </c>
      <c r="I55" s="57" t="n">
        <f aca="false">DJ54</f>
        <v>0.013126986585255</v>
      </c>
      <c r="J55" s="57" t="n">
        <f aca="false">DK54</f>
        <v>0.0774774883698529</v>
      </c>
      <c r="K55" s="57" t="n">
        <f aca="false">DL54</f>
        <v>0.633479946933448</v>
      </c>
      <c r="L55" s="57" t="n">
        <f aca="false">1-EXP(LN(1-E55)*dt)</f>
        <v>0.0303072797491967</v>
      </c>
      <c r="M55" s="57" t="n">
        <f aca="false">G55*(1-L55)</f>
        <v>0.241258434706184</v>
      </c>
      <c r="N55" s="57" t="n">
        <f aca="false">IF(Apixaban!$B$2=1,EXP(LN(or_apx_stroke)*D55)*(1-EXP(-r_stroke*F55*dt))/(1-(1-EXP(-r_stroke*F55*dt))+EXP(LN(or_apx_stroke)*D55)*(1-EXP(-r_stroke*F55*dt))),(1-EXP(-r_stroke*F55*dt)))</f>
        <v>0.00522469910220538</v>
      </c>
      <c r="O55" s="57" t="n">
        <f aca="false">IF(Apixaban!$B$2=1,EXP(LN(or_apx_ich)*D55)*(1-EXP(-r_ich*dt))/(1-(1-EXP(-r_ich*dt))+EXP(LN(or_apx_ich)*D55)*(1-EXP(-r_ich*dt))),(1-EXP(-r_ich*dt)))</f>
        <v>0.000843513249640701</v>
      </c>
      <c r="P55" s="57" t="n">
        <f aca="false">IF(Apixaban!$B$2=1,EXP(LN(or_apx_mb)*D55)*(1-EXP(-r_mb*dt))/(1-(1-EXP(-r_mb*dt))+EXP(LN(or_apx_mb)*D55)*(1-EXP(-r_mb*dt))),(1-EXP(-r_mb*dt)))</f>
        <v>0.00669446907979895</v>
      </c>
      <c r="Q55" s="57" t="n">
        <f aca="false">IF(Apixaban!$B$2=1,EXP(LN(or_apx_mi)*D55)*(1-EXP(-r_mi*dt))/(1-(1-EXP(-r_mi*dt))+EXP(LN(or_apx_mi)*D55)*(1-EXP(-r_mi*dt))),(1-EXP(-r_mi*dt)))</f>
        <v>0.00132321915530843</v>
      </c>
      <c r="R55" s="57" t="n">
        <f aca="false">(1-EXP(-r_tia*dt))</f>
        <v>0.0020060281549299</v>
      </c>
      <c r="S55" s="57" t="n">
        <f aca="false">(1-EXP(-r_minor*dt))</f>
        <v>0.0437937690785545</v>
      </c>
      <c r="T55" s="57" t="n">
        <f aca="false">M55*N55</f>
        <v>0.00126050272720887</v>
      </c>
      <c r="U55" s="57" t="n">
        <f aca="false">M55*O55</f>
        <v>0.000203504686262242</v>
      </c>
      <c r="V55" s="57" t="n">
        <f aca="false">M55*P55</f>
        <v>0.00161509713138124</v>
      </c>
      <c r="W55" s="57" t="n">
        <f aca="false">M55*Q55</f>
        <v>0.00031923778218295</v>
      </c>
      <c r="X55" s="57" t="n">
        <f aca="false">M55*R55</f>
        <v>0.00048397121263492</v>
      </c>
      <c r="Y55" s="57" t="n">
        <f aca="false">M55*S55</f>
        <v>0.0105656161777761</v>
      </c>
      <c r="Z55" s="57" t="n">
        <f aca="false">T55*f_stroke_fatal</f>
        <v>0.000298739146348503</v>
      </c>
      <c r="AA55" s="57" t="n">
        <f aca="false">T55*(1-f_stroke_fatal)*f_stroke_major</f>
        <v>0.000320267272426503</v>
      </c>
      <c r="AB55" s="57" t="n">
        <f aca="false">T55*(1-f_stroke_fatal)*(1-f_stroke_major)</f>
        <v>0.000641496308433867</v>
      </c>
      <c r="AC55" s="57" t="n">
        <f aca="false">U55*(1-f_bleed_fatal)</f>
        <v>0.000186410292616213</v>
      </c>
      <c r="AD55" s="57" t="n">
        <f aca="false">V55*(1-f_bleed_fatal)</f>
        <v>0.00147942897234522</v>
      </c>
      <c r="AE55" s="57" t="n">
        <f aca="false">W55*f_mi_fatal</f>
        <v>3.8627771644137E-005</v>
      </c>
      <c r="AF55" s="57" t="n">
        <f aca="false">W55-AE55</f>
        <v>0.000280610010538813</v>
      </c>
      <c r="AG55" s="57" t="n">
        <f aca="false">M55-T55-U55-V55-AE55</f>
        <v>0.238140702389687</v>
      </c>
      <c r="AH55" s="19" t="n">
        <f aca="false">Z55*c_stroke_fatal+AA55*c_stroke_major+AB55*c_stroke_minor+U55*c_ich+V55*c_major_bleed+AE55*c_mi_fatal+AF55*c_mi_nonfatal+X55*c_tia+Y55*c_minor_bleed</f>
        <v>70.0160763753103</v>
      </c>
      <c r="AI55" s="57" t="n">
        <f aca="false">dt*(AF55*dec_mi+AD55*dec_major_bleed+Y55*dec_minor_bleed+X55*dec_tia)</f>
        <v>8.95964404963995E-005</v>
      </c>
      <c r="AJ55" s="57" t="n">
        <f aca="false">G55*L55+Z55+U55-AC55+V55-AD55+AE55</f>
        <v>0.00803054585185825</v>
      </c>
      <c r="AK55" s="57" t="n">
        <f aca="false">1-EXP(LN(1-E55)*hr_death_prior_stroke*dt)</f>
        <v>0.0683377233826246</v>
      </c>
      <c r="AL55" s="57" t="n">
        <f aca="false">H55*(1-AK55)</f>
        <v>0.0252636316336629</v>
      </c>
      <c r="AM55" s="57" t="n">
        <f aca="false">(1-EXP(-r_stroke*F55*rr_stroke_prior*rr_asa_stroke*dt))</f>
        <v>0.0233393713821529</v>
      </c>
      <c r="AN55" s="57" t="n">
        <f aca="false">(1-EXP(-r_ich*rr_asa_ich*dt))</f>
        <v>0.00102357767802375</v>
      </c>
      <c r="AO55" s="57" t="n">
        <f aca="false">(1-EXP(-r_mb*rr_asa_mb*dt))</f>
        <v>0.00951809672747972</v>
      </c>
      <c r="AP55" s="57" t="n">
        <f aca="false">(1-EXP(-r_mi*rr_asa_mi*dt))</f>
        <v>0.00213413516393479</v>
      </c>
      <c r="AQ55" s="57" t="n">
        <f aca="false">(1-EXP(-r_tia*rr_asa_tia*dt))</f>
        <v>0.00312764565589152</v>
      </c>
      <c r="AR55" s="57" t="n">
        <f aca="false">(1-EXP(-r_minor*rr_asa_minor*dt))</f>
        <v>0.0278181950466747</v>
      </c>
      <c r="AS55" s="57" t="n">
        <f aca="false">AL55*AM55</f>
        <v>0.000589637281159964</v>
      </c>
      <c r="AT55" s="57" t="n">
        <f aca="false">AL55*AN55</f>
        <v>2.58592894060319E-005</v>
      </c>
      <c r="AU55" s="57" t="n">
        <f aca="false">AL55*AO55</f>
        <v>0.00024046168957662</v>
      </c>
      <c r="AV55" s="57" t="n">
        <f aca="false">AL55*AP55</f>
        <v>5.39160046380953E-005</v>
      </c>
      <c r="AW55" s="57" t="n">
        <f aca="false">AL55*AQ55</f>
        <v>7.90156877310693E-005</v>
      </c>
      <c r="AX55" s="57" t="n">
        <f aca="false">AL55*AR55</f>
        <v>0.000702788632372575</v>
      </c>
      <c r="AY55" s="57" t="n">
        <f aca="false">AS55*f_stroke_fatal_recur</f>
        <v>0.000219398135946811</v>
      </c>
      <c r="AZ55" s="57" t="n">
        <f aca="false">AS55*(1-f_stroke_fatal_recur)*f_stroke_major</f>
        <v>0.00012328963535598</v>
      </c>
      <c r="BA55" s="57" t="n">
        <f aca="false">AS55*(1-f_stroke_fatal_recur)*(1-f_stroke_major)</f>
        <v>0.000246949509857173</v>
      </c>
      <c r="BB55" s="57" t="n">
        <f aca="false">AT55*(1-f_bleed_fatal)</f>
        <v>2.36871090959252E-005</v>
      </c>
      <c r="BC55" s="57" t="n">
        <f aca="false">AU55*(1-f_bleed_fatal)</f>
        <v>0.000220262907652184</v>
      </c>
      <c r="BD55" s="57" t="n">
        <f aca="false">AV55*f_mi_fatal</f>
        <v>6.52383656120953E-006</v>
      </c>
      <c r="BE55" s="57" t="n">
        <f aca="false">AV55-BD55</f>
        <v>4.73921680768858E-005</v>
      </c>
      <c r="BF55" s="57" t="n">
        <f aca="false">AL55-AS55-AT55-AU55-BD55</f>
        <v>0.024401149536959</v>
      </c>
      <c r="BG55" s="19" t="n">
        <f aca="false">AY55*c_stroke_fatal+AZ55*c_stroke_major+BA55*c_stroke_minor+AT55*c_ich+AU55*c_major_bleed+BD55*c_mi_fatal+BE55*c_mi_nonfatal+AW55*c_tia+AX55*c_minor_bleed</f>
        <v>23.7323299609148</v>
      </c>
      <c r="BH55" s="57" t="n">
        <f aca="false">dt*(BE55*dec_mi+BC55*dec_major_bleed+AX55*dec_minor_bleed+AW55*dec_tia)</f>
        <v>1.08657691426888E-005</v>
      </c>
      <c r="BI55" s="57" t="n">
        <f aca="false">H55*AK55+AY55+AT55-BB55+AU55-BC55+BD55</f>
        <v>0.00210138832515603</v>
      </c>
      <c r="BJ55" s="57" t="n">
        <f aca="false">1-EXP(LN(1-E55)*hr_death_prior_stroke*dt)</f>
        <v>0.0683377233826246</v>
      </c>
      <c r="BK55" s="57" t="n">
        <f aca="false">I55*(1-BJ55)</f>
        <v>0.0122299182071445</v>
      </c>
      <c r="BL55" s="57" t="n">
        <f aca="false">(1-EXP(-r_stroke*F55*rr_stroke_prior*rr_asa_stroke*dt))</f>
        <v>0.0233393713821529</v>
      </c>
      <c r="BM55" s="57" t="n">
        <f aca="false">(1-EXP(-r_ich*rr_asa_ich*dt))</f>
        <v>0.00102357767802375</v>
      </c>
      <c r="BN55" s="57" t="n">
        <f aca="false">(1-EXP(-r_mb*rr_asa_mb*dt))</f>
        <v>0.00951809672747972</v>
      </c>
      <c r="BO55" s="57" t="n">
        <f aca="false">(1-EXP(-r_mi*rr_asa_mi*dt))</f>
        <v>0.00213413516393479</v>
      </c>
      <c r="BP55" s="57" t="n">
        <f aca="false">(1-EXP(-r_tia*rr_asa_tia*dt))</f>
        <v>0.00312764565589152</v>
      </c>
      <c r="BQ55" s="57" t="n">
        <f aca="false">(1-EXP(-r_minor*rr_asa_minor*dt))</f>
        <v>0.0278181950466747</v>
      </c>
      <c r="BR55" s="57" t="n">
        <f aca="false">BK55*BL55</f>
        <v>0.000285438603009898</v>
      </c>
      <c r="BS55" s="57" t="n">
        <f aca="false">BK55*BM55</f>
        <v>1.25182712808893E-005</v>
      </c>
      <c r="BT55" s="57" t="n">
        <f aca="false">BK55*BN55</f>
        <v>0.000116405544464766</v>
      </c>
      <c r="BU55" s="57" t="n">
        <f aca="false">BK55*BO55</f>
        <v>2.61002984979133E-005</v>
      </c>
      <c r="BV55" s="57" t="n">
        <f aca="false">BK55*BP55</f>
        <v>3.8250850552484E-005</v>
      </c>
      <c r="BW55" s="57" t="n">
        <f aca="false">BK55*BQ55</f>
        <v>0.000340214250091223</v>
      </c>
      <c r="BX55" s="57" t="n">
        <f aca="false">BR55*f_stroke_fatal_recur</f>
        <v>0.000106208849793953</v>
      </c>
      <c r="BY55" s="57" t="n">
        <f aca="false">BR55*(1-f_stroke_fatal_recur)*f_stroke_major</f>
        <v>5.96835078209098E-005</v>
      </c>
      <c r="BZ55" s="57" t="n">
        <f aca="false">BR55*(1-f_stroke_fatal_recur)*(1-f_stroke_major)</f>
        <v>0.000119546245395036</v>
      </c>
      <c r="CA55" s="57" t="n">
        <f aca="false">BS55*(1-f_bleed_fatal)</f>
        <v>1.14667364932946E-005</v>
      </c>
      <c r="CB55" s="57" t="n">
        <f aca="false">BT55*(1-f_bleed_fatal)</f>
        <v>0.000106627478729726</v>
      </c>
      <c r="CC55" s="57" t="n">
        <f aca="false">BU55*f_mi_fatal</f>
        <v>3.15813611824751E-006</v>
      </c>
      <c r="CD55" s="57" t="n">
        <f aca="false">BU55-CC55</f>
        <v>2.29421623796658E-005</v>
      </c>
      <c r="CE55" s="57" t="n">
        <f aca="false">BK55-BR55-BS55-BT55-CC55</f>
        <v>0.0118123976522707</v>
      </c>
      <c r="CF55" s="19" t="n">
        <f aca="false">BX55*c_stroke_fatal+BY55*c_stroke_major+BZ55*c_stroke_minor+BS55*c_ich+BT55*c_major_bleed+CC55*c_mi_fatal+CD55*c_mi_nonfatal+BV55*c_tia+BW55*c_minor_bleed</f>
        <v>11.488627545543</v>
      </c>
      <c r="CG55" s="57" t="n">
        <f aca="false">dt*(CD55*dec_mi+CB55*dec_major_bleed+BW55*dec_minor_bleed+BV55*dec_tia)</f>
        <v>5.26003029967119E-006</v>
      </c>
      <c r="CH55" s="57" t="n">
        <f aca="false">I55*BJ55+BX55+BS55-CA55+BT55-CB55+CC55</f>
        <v>0.00101726496454542</v>
      </c>
      <c r="CI55" s="57" t="n">
        <f aca="false">1-EXP(LN(1-E55)*dt)</f>
        <v>0.0303072797491967</v>
      </c>
      <c r="CJ55" s="57" t="n">
        <f aca="false">J55*(1-CI55)</f>
        <v>0.0751293564555627</v>
      </c>
      <c r="CK55" s="57" t="n">
        <f aca="false">(1-EXP(-r_stroke*F55*rr_asa_stroke*dt))</f>
        <v>0.0106771573947936</v>
      </c>
      <c r="CL55" s="57" t="n">
        <f aca="false">(1-EXP(-r_ich*rr_asa_ich*dt))</f>
        <v>0.00102357767802375</v>
      </c>
      <c r="CM55" s="57" t="n">
        <f aca="false">(1-EXP(-r_mb*rr_asa_mb*dt))</f>
        <v>0.00951809672747972</v>
      </c>
      <c r="CN55" s="57" t="n">
        <f aca="false">(1-EXP(-r_mi*rr_asa_mi*dt))</f>
        <v>0.00213413516393479</v>
      </c>
      <c r="CO55" s="57" t="n">
        <f aca="false">(1-EXP(-r_tia*rr_asa_tia*dt))</f>
        <v>0.00312764565589152</v>
      </c>
      <c r="CP55" s="57" t="n">
        <f aca="false">(1-EXP(-r_minor*rr_asa_minor*dt))</f>
        <v>0.0278181950466747</v>
      </c>
      <c r="CQ55" s="57" t="n">
        <f aca="false">CJ55*CK55</f>
        <v>0.000802167963845594</v>
      </c>
      <c r="CR55" s="57" t="n">
        <f aca="false">CJ55*CL55</f>
        <v>7.69007322322032E-005</v>
      </c>
      <c r="CS55" s="57" t="n">
        <f aca="false">CJ55*CM55</f>
        <v>0.000715088481817348</v>
      </c>
      <c r="CT55" s="57" t="n">
        <f aca="false">CJ55*CN55</f>
        <v>0.000160336201455608</v>
      </c>
      <c r="CU55" s="57" t="n">
        <f aca="false">CJ55*CO55</f>
        <v>0.000234978005348166</v>
      </c>
      <c r="CV55" s="57" t="n">
        <f aca="false">CJ55*CP55</f>
        <v>0.00208996309161199</v>
      </c>
      <c r="CW55" s="57" t="n">
        <f aca="false">CQ55*f_stroke_fatal</f>
        <v>0.000190113807431406</v>
      </c>
      <c r="CX55" s="57" t="n">
        <f aca="false">CQ55*(1-f_stroke_fatal)*f_stroke_major</f>
        <v>0.000203814034085925</v>
      </c>
      <c r="CY55" s="57" t="n">
        <f aca="false">CQ55*(1-f_stroke_fatal)*(1-f_stroke_major)</f>
        <v>0.000408240122328264</v>
      </c>
      <c r="CZ55" s="57" t="n">
        <f aca="false">CR55*(1-f_bleed_fatal)</f>
        <v>7.04410707246981E-005</v>
      </c>
      <c r="DA55" s="57" t="n">
        <f aca="false">CS55*(1-f_bleed_fatal)</f>
        <v>0.000655021049344691</v>
      </c>
      <c r="DB55" s="57" t="n">
        <f aca="false">CT55*f_mi_fatal</f>
        <v>1.94006803761285E-005</v>
      </c>
      <c r="DC55" s="57" t="n">
        <f aca="false">CT55-DB55</f>
        <v>0.000140935521079479</v>
      </c>
      <c r="DD55" s="57" t="n">
        <f aca="false">CJ55-CQ55-CR55-CS55-DB55</f>
        <v>0.0735157985972914</v>
      </c>
      <c r="DE55" s="19" t="n">
        <f aca="false">CW55*c_stroke_fatal+CX55*c_stroke_major+CY55*c_stroke_minor+CR55*c_ich+CS55*c_major_bleed+DB55*c_mi_fatal+DC55*c_mi_nonfatal+CU55*c_tia+CV55*c_minor_bleed</f>
        <v>39.7549938973904</v>
      </c>
      <c r="DF55" s="57" t="n">
        <f aca="false">dt*(DC55*dec_mi+DA55*dec_major_bleed+CV55*dec_minor_bleed+CU55*dec_tia)</f>
        <v>3.23127828541159E-005</v>
      </c>
      <c r="DG55" s="57" t="n">
        <f aca="false">J55*CI55+CW55+CR55-CZ55+CS55-DA55+DB55</f>
        <v>0.00262417349607796</v>
      </c>
      <c r="DH55" s="57" t="n">
        <f aca="false">AG55</f>
        <v>0.238140702389687</v>
      </c>
      <c r="DI55" s="57" t="n">
        <f aca="false">AB55+AC55+BF55+BA55+BB55+BC55+CY55+CZ55</f>
        <v>0.0261986368576674</v>
      </c>
      <c r="DJ55" s="57" t="n">
        <f aca="false">AA55+AZ55+BY55+CX55+CE55+BZ55+CA55+CB55</f>
        <v>0.012757092562578</v>
      </c>
      <c r="DK55" s="57" t="n">
        <f aca="false">AD55+DD55+DA55</f>
        <v>0.0756502486189813</v>
      </c>
      <c r="DL55" s="57" t="n">
        <f aca="false">K55+AJ55+BI55+CH55+DG55</f>
        <v>0.647253319571086</v>
      </c>
      <c r="DM55" s="58" t="n">
        <f aca="false">SUM(DH55:DL55)</f>
        <v>1</v>
      </c>
      <c r="DN55" s="19" t="n">
        <f aca="false">dt*(G55*Apixaban!$H$2+(H55+I55+J55)*c_aspirin)</f>
        <v>19.7053848807596</v>
      </c>
      <c r="DO55" s="19" t="n">
        <f aca="false">dt*(H55*c_lt_minor_stroke+I55*c_lt_major_stroke)</f>
        <v>159.007015379638</v>
      </c>
      <c r="DP55" s="19" t="n">
        <f aca="false">AH55+BG55+CF55+DE55</f>
        <v>144.992027779158</v>
      </c>
      <c r="DQ55" s="19" t="n">
        <f aca="false">DN55+DO55+DP55</f>
        <v>323.704428039556</v>
      </c>
      <c r="DR55" s="57" t="n">
        <f aca="false">dt*(G55*(u_af-dec_per_year_over_70*MAX(B55-ref_age,0))+H55*(u_minor_stroke-dec_per_year_over_70*MAX(B55-ref_age,0))+I55*(u_major_stroke-dec_per_year_over_70*MAX(B55-ref_age,0))+J55*(u_af-dec_per_year_over_70*MAX(B55-ref_age,0)))-AI55-BH55-CG55-DF55</f>
        <v>0.0717833033467427</v>
      </c>
      <c r="DS55" s="57" t="n">
        <f aca="false">dt*(G55+H55+I55+J55)</f>
        <v>0.0916300132666379</v>
      </c>
      <c r="DT55" s="19" t="n">
        <f aca="false">DQ55*C55</f>
        <v>269.736440846367</v>
      </c>
      <c r="DU55" s="19" t="n">
        <f aca="false">DN55*C55</f>
        <v>16.420104029576</v>
      </c>
      <c r="DV55" s="19" t="n">
        <f aca="false">DP55*C55</f>
        <v>120.818963648742</v>
      </c>
      <c r="DW55" s="19" t="n">
        <f aca="false">DO55*C55</f>
        <v>132.497373168049</v>
      </c>
      <c r="DX55" s="57" t="n">
        <f aca="false">DR55*C55</f>
        <v>0.0598155943501009</v>
      </c>
      <c r="DY55" s="57" t="n">
        <f aca="false">DS55*C55</f>
        <v>0.0763534617148582</v>
      </c>
      <c r="DZ55" s="57" t="n">
        <f aca="false">T55+AS55+BR55+CQ55</f>
        <v>0.00293774657522433</v>
      </c>
      <c r="EA55" s="57" t="n">
        <f aca="false">U55+AT55+BS55+CR55</f>
        <v>0.000318782979181366</v>
      </c>
      <c r="EB55" s="57" t="n">
        <f aca="false">V55+AU55+BT55+CS55</f>
        <v>0.00268705284723998</v>
      </c>
      <c r="EC55" s="57" t="n">
        <f aca="false">G55*dt*C55</f>
        <v>0.0518297795502901</v>
      </c>
    </row>
    <row r="56" customFormat="false" ht="15" hidden="false" customHeight="false" outlineLevel="0" collapsed="false">
      <c r="A56" s="8" t="n">
        <v>50</v>
      </c>
      <c r="B56" s="54" t="n">
        <f aca="false">start_age+A56*dt</f>
        <v>82.5</v>
      </c>
      <c r="C56" s="16" t="n">
        <f aca="false">(1+disc_rate)^-(A56*dt)</f>
        <v>0.830184215716283</v>
      </c>
      <c r="D56" s="55" t="n">
        <f aca="false">IF(A56*dt&gt;=wane_start,(1-wane_decay)^(A56*dt-wane_start),1)</f>
        <v>1</v>
      </c>
      <c r="E56" s="25" t="n">
        <f aca="false">MIN(p_nonvasc_death*MIN(EXP(gomp_int+gomp_slope*INT(B56)),1)/qx_ref,0.999)</f>
        <v>0.115828440791284</v>
      </c>
      <c r="F56" s="55" t="n">
        <f aca="false">rr_stroke_per_decade^((B56-ref_age)/10)</f>
        <v>1.66002287955048</v>
      </c>
      <c r="G56" s="57" t="n">
        <f aca="false">DH55</f>
        <v>0.238140702389687</v>
      </c>
      <c r="H56" s="57" t="n">
        <f aca="false">DI55</f>
        <v>0.0261986368576674</v>
      </c>
      <c r="I56" s="57" t="n">
        <f aca="false">DJ55</f>
        <v>0.012757092562578</v>
      </c>
      <c r="J56" s="57" t="n">
        <f aca="false">DK55</f>
        <v>0.0756502486189813</v>
      </c>
      <c r="K56" s="57" t="n">
        <f aca="false">DL55</f>
        <v>0.647253319571086</v>
      </c>
      <c r="L56" s="57" t="n">
        <f aca="false">1-EXP(LN(1-E56)*dt)</f>
        <v>0.0303072797491967</v>
      </c>
      <c r="M56" s="57" t="n">
        <f aca="false">G56*(1-L56)</f>
        <v>0.230923305502693</v>
      </c>
      <c r="N56" s="57" t="n">
        <f aca="false">IF(Apixaban!$B$2=1,EXP(LN(or_apx_stroke)*D56)*(1-EXP(-r_stroke*F56*dt))/(1-(1-EXP(-r_stroke*F56*dt))+EXP(LN(or_apx_stroke)*D56)*(1-EXP(-r_stroke*F56*dt))),(1-EXP(-r_stroke*F56*dt)))</f>
        <v>0.00527782573880357</v>
      </c>
      <c r="O56" s="57" t="n">
        <f aca="false">IF(Apixaban!$B$2=1,EXP(LN(or_apx_ich)*D56)*(1-EXP(-r_ich*dt))/(1-(1-EXP(-r_ich*dt))+EXP(LN(or_apx_ich)*D56)*(1-EXP(-r_ich*dt))),(1-EXP(-r_ich*dt)))</f>
        <v>0.000843513249640701</v>
      </c>
      <c r="P56" s="57" t="n">
        <f aca="false">IF(Apixaban!$B$2=1,EXP(LN(or_apx_mb)*D56)*(1-EXP(-r_mb*dt))/(1-(1-EXP(-r_mb*dt))+EXP(LN(or_apx_mb)*D56)*(1-EXP(-r_mb*dt))),(1-EXP(-r_mb*dt)))</f>
        <v>0.00669446907979895</v>
      </c>
      <c r="Q56" s="57" t="n">
        <f aca="false">IF(Apixaban!$B$2=1,EXP(LN(or_apx_mi)*D56)*(1-EXP(-r_mi*dt))/(1-(1-EXP(-r_mi*dt))+EXP(LN(or_apx_mi)*D56)*(1-EXP(-r_mi*dt))),(1-EXP(-r_mi*dt)))</f>
        <v>0.00132321915530843</v>
      </c>
      <c r="R56" s="57" t="n">
        <f aca="false">(1-EXP(-r_tia*dt))</f>
        <v>0.0020060281549299</v>
      </c>
      <c r="S56" s="57" t="n">
        <f aca="false">(1-EXP(-r_minor*dt))</f>
        <v>0.0437937690785545</v>
      </c>
      <c r="T56" s="57" t="n">
        <f aca="false">M56*N56</f>
        <v>0.00121877296547171</v>
      </c>
      <c r="U56" s="57" t="n">
        <f aca="false">M56*O56</f>
        <v>0.000194786867842349</v>
      </c>
      <c r="V56" s="57" t="n">
        <f aca="false">M56*P56</f>
        <v>0.00154590892849274</v>
      </c>
      <c r="W56" s="57" t="n">
        <f aca="false">M56*Q56</f>
        <v>0.000305562141248303</v>
      </c>
      <c r="X56" s="57" t="n">
        <f aca="false">M56*R56</f>
        <v>0.000463238652467879</v>
      </c>
      <c r="Y56" s="57" t="n">
        <f aca="false">M56*S56</f>
        <v>0.0101130019160414</v>
      </c>
      <c r="Z56" s="57" t="n">
        <f aca="false">T56*f_stroke_fatal</f>
        <v>0.000288849192816795</v>
      </c>
      <c r="AA56" s="57" t="n">
        <f aca="false">T56*(1-f_stroke_fatal)*f_stroke_major</f>
        <v>0.000309664616294087</v>
      </c>
      <c r="AB56" s="57" t="n">
        <f aca="false">T56*(1-f_stroke_fatal)*(1-f_stroke_major)</f>
        <v>0.000620259156360829</v>
      </c>
      <c r="AC56" s="57" t="n">
        <f aca="false">U56*(1-f_bleed_fatal)</f>
        <v>0.000178424770943591</v>
      </c>
      <c r="AD56" s="57" t="n">
        <f aca="false">V56*(1-f_bleed_fatal)</f>
        <v>0.00141605257849935</v>
      </c>
      <c r="AE56" s="57" t="n">
        <f aca="false">W56*f_mi_fatal</f>
        <v>3.69730190910447E-005</v>
      </c>
      <c r="AF56" s="57" t="n">
        <f aca="false">W56-AE56</f>
        <v>0.000268589122157259</v>
      </c>
      <c r="AG56" s="57" t="n">
        <f aca="false">M56-T56-U56-V56-AE56</f>
        <v>0.227926863721795</v>
      </c>
      <c r="AH56" s="19" t="n">
        <f aca="false">Z56*c_stroke_fatal+AA56*c_stroke_major+AB56*c_stroke_minor+U56*c_ich+V56*c_major_bleed+AE56*c_mi_fatal+AF56*c_mi_nonfatal+X56*c_tia+Y56*c_minor_bleed</f>
        <v>67.4699786962847</v>
      </c>
      <c r="AI56" s="57" t="n">
        <f aca="false">dt*(AF56*dec_mi+AD56*dec_major_bleed+Y56*dec_minor_bleed+X56*dec_tia)</f>
        <v>8.57582709010819E-005</v>
      </c>
      <c r="AJ56" s="57" t="n">
        <f aca="false">G56*L56+Z56+U56-AC56+V56-AD56+AE56</f>
        <v>0.00768943754579442</v>
      </c>
      <c r="AK56" s="57" t="n">
        <f aca="false">1-EXP(LN(1-E56)*hr_death_prior_stroke*dt)</f>
        <v>0.0683377233826246</v>
      </c>
      <c r="AL56" s="57" t="n">
        <f aca="false">H56*(1-AK56)</f>
        <v>0.0244082816590863</v>
      </c>
      <c r="AM56" s="57" t="n">
        <f aca="false">(1-EXP(-r_stroke*F56*rr_stroke_prior*rr_asa_stroke*dt))</f>
        <v>0.0235743320421314</v>
      </c>
      <c r="AN56" s="57" t="n">
        <f aca="false">(1-EXP(-r_ich*rr_asa_ich*dt))</f>
        <v>0.00102357767802375</v>
      </c>
      <c r="AO56" s="57" t="n">
        <f aca="false">(1-EXP(-r_mb*rr_asa_mb*dt))</f>
        <v>0.00951809672747972</v>
      </c>
      <c r="AP56" s="57" t="n">
        <f aca="false">(1-EXP(-r_mi*rr_asa_mi*dt))</f>
        <v>0.00213413516393479</v>
      </c>
      <c r="AQ56" s="57" t="n">
        <f aca="false">(1-EXP(-r_tia*rr_asa_tia*dt))</f>
        <v>0.00312764565589152</v>
      </c>
      <c r="AR56" s="57" t="n">
        <f aca="false">(1-EXP(-r_minor*rr_asa_minor*dt))</f>
        <v>0.0278181950466747</v>
      </c>
      <c r="AS56" s="57" t="n">
        <f aca="false">AL56*AM56</f>
        <v>0.000575408936409167</v>
      </c>
      <c r="AT56" s="57" t="n">
        <f aca="false">AL56*AN56</f>
        <v>2.49837722651571E-005</v>
      </c>
      <c r="AU56" s="57" t="n">
        <f aca="false">AL56*AO56</f>
        <v>0.000232320385782752</v>
      </c>
      <c r="AV56" s="57" t="n">
        <f aca="false">AL56*AP56</f>
        <v>5.20905721798806E-005</v>
      </c>
      <c r="AW56" s="57" t="n">
        <f aca="false">AL56*AQ56</f>
        <v>7.63404560988178E-005</v>
      </c>
      <c r="AX56" s="57" t="n">
        <f aca="false">AL56*AR56</f>
        <v>0.000678994339946635</v>
      </c>
      <c r="AY56" s="57" t="n">
        <f aca="false">AS56*f_stroke_fatal_recur</f>
        <v>0.000214103911148487</v>
      </c>
      <c r="AZ56" s="57" t="n">
        <f aca="false">AS56*(1-f_stroke_fatal_recur)*f_stroke_major</f>
        <v>0.000120314573411806</v>
      </c>
      <c r="BA56" s="57" t="n">
        <f aca="false">AS56*(1-f_stroke_fatal_recur)*(1-f_stroke_major)</f>
        <v>0.000240990451848873</v>
      </c>
      <c r="BB56" s="57" t="n">
        <f aca="false">AT56*(1-f_bleed_fatal)</f>
        <v>2.28851353948839E-005</v>
      </c>
      <c r="BC56" s="57" t="n">
        <f aca="false">AU56*(1-f_bleed_fatal)</f>
        <v>0.000212805473377001</v>
      </c>
      <c r="BD56" s="57" t="n">
        <f aca="false">AV56*f_mi_fatal</f>
        <v>6.30295923376556E-006</v>
      </c>
      <c r="BE56" s="57" t="n">
        <f aca="false">AV56-BD56</f>
        <v>4.57876129461151E-005</v>
      </c>
      <c r="BF56" s="57" t="n">
        <f aca="false">AL56-AS56-AT56-AU56-BD56</f>
        <v>0.0235692656053954</v>
      </c>
      <c r="BG56" s="19" t="n">
        <f aca="false">AY56*c_stroke_fatal+AZ56*c_stroke_major+BA56*c_stroke_minor+AT56*c_ich+AU56*c_major_bleed+BD56*c_mi_fatal+BE56*c_mi_nonfatal+AW56*c_tia+AX56*c_minor_bleed</f>
        <v>23.1265644216027</v>
      </c>
      <c r="BH56" s="57" t="n">
        <f aca="false">dt*(BE56*dec_mi+BC56*dec_major_bleed+AX56*dec_minor_bleed+AW56*dec_tia)</f>
        <v>1.04978871416082E-005</v>
      </c>
      <c r="BI56" s="57" t="n">
        <f aca="false">H56*AK56+AY56+AT56-BB56+AU56-BC56+BD56</f>
        <v>0.00203237561823938</v>
      </c>
      <c r="BJ56" s="57" t="n">
        <f aca="false">1-EXP(LN(1-E56)*hr_death_prior_stroke*dt)</f>
        <v>0.0683377233826246</v>
      </c>
      <c r="BK56" s="57" t="n">
        <f aca="false">I56*(1-BJ56)</f>
        <v>0.01188530189987</v>
      </c>
      <c r="BL56" s="57" t="n">
        <f aca="false">(1-EXP(-r_stroke*F56*rr_stroke_prior*rr_asa_stroke*dt))</f>
        <v>0.0235743320421314</v>
      </c>
      <c r="BM56" s="57" t="n">
        <f aca="false">(1-EXP(-r_ich*rr_asa_ich*dt))</f>
        <v>0.00102357767802375</v>
      </c>
      <c r="BN56" s="57" t="n">
        <f aca="false">(1-EXP(-r_mb*rr_asa_mb*dt))</f>
        <v>0.00951809672747972</v>
      </c>
      <c r="BO56" s="57" t="n">
        <f aca="false">(1-EXP(-r_mi*rr_asa_mi*dt))</f>
        <v>0.00213413516393479</v>
      </c>
      <c r="BP56" s="57" t="n">
        <f aca="false">(1-EXP(-r_tia*rr_asa_tia*dt))</f>
        <v>0.00312764565589152</v>
      </c>
      <c r="BQ56" s="57" t="n">
        <f aca="false">(1-EXP(-r_minor*rr_asa_minor*dt))</f>
        <v>0.0278181950466747</v>
      </c>
      <c r="BR56" s="57" t="n">
        <f aca="false">BK56*BL56</f>
        <v>0.000280188053408512</v>
      </c>
      <c r="BS56" s="57" t="n">
        <f aca="false">BK56*BM56</f>
        <v>1.21655297212802E-005</v>
      </c>
      <c r="BT56" s="57" t="n">
        <f aca="false">BK56*BN56</f>
        <v>0.000113125453118262</v>
      </c>
      <c r="BU56" s="57" t="n">
        <f aca="false">BK56*BO56</f>
        <v>2.53648407184936E-005</v>
      </c>
      <c r="BV56" s="57" t="n">
        <f aca="false">BK56*BP56</f>
        <v>3.71730128560878E-005</v>
      </c>
      <c r="BW56" s="57" t="n">
        <f aca="false">BK56*BQ56</f>
        <v>0.000330627646439198</v>
      </c>
      <c r="BX56" s="57" t="n">
        <f aca="false">BR56*f_stroke_fatal_recur</f>
        <v>0.000104255172792773</v>
      </c>
      <c r="BY56" s="57" t="n">
        <f aca="false">BR56*(1-f_stroke_fatal_recur)*f_stroke_major</f>
        <v>5.8585649245041E-005</v>
      </c>
      <c r="BZ56" s="57" t="n">
        <f aca="false">BR56*(1-f_stroke_fatal_recur)*(1-f_stroke_major)</f>
        <v>0.000117347231370698</v>
      </c>
      <c r="CA56" s="57" t="n">
        <f aca="false">BS56*(1-f_bleed_fatal)</f>
        <v>1.11436252246927E-005</v>
      </c>
      <c r="CB56" s="57" t="n">
        <f aca="false">BT56*(1-f_bleed_fatal)</f>
        <v>0.000103622915056328</v>
      </c>
      <c r="CC56" s="57" t="n">
        <f aca="false">BU56*f_mi_fatal</f>
        <v>3.06914572693773E-006</v>
      </c>
      <c r="CD56" s="57" t="n">
        <f aca="false">BU56-CC56</f>
        <v>2.22956949915559E-005</v>
      </c>
      <c r="CE56" s="57" t="n">
        <f aca="false">BK56-BR56-BS56-BT56-CC56</f>
        <v>0.011476753717895</v>
      </c>
      <c r="CF56" s="19" t="n">
        <f aca="false">BX56*c_stroke_fatal+BY56*c_stroke_major+BZ56*c_stroke_minor+BS56*c_ich+BT56*c_major_bleed+CC56*c_mi_fatal+CD56*c_mi_nonfatal+BV56*c_tia+BW56*c_minor_bleed</f>
        <v>11.2611860145108</v>
      </c>
      <c r="CG56" s="57" t="n">
        <f aca="false">dt*(CD56*dec_mi+CB56*dec_major_bleed+BW56*dec_minor_bleed+BV56*dec_tia)</f>
        <v>5.11181244675331E-006</v>
      </c>
      <c r="CH56" s="57" t="n">
        <f aca="false">I56*BJ56+BX56+BS56-CA56+BT56-CB56+CC56</f>
        <v>0.000989639423786227</v>
      </c>
      <c r="CI56" s="57" t="n">
        <f aca="false">1-EXP(LN(1-E56)*dt)</f>
        <v>0.0303072797491967</v>
      </c>
      <c r="CJ56" s="57" t="n">
        <f aca="false">J56*(1-CI56)</f>
        <v>0.0733574953709896</v>
      </c>
      <c r="CK56" s="57" t="n">
        <f aca="false">(1-EXP(-r_stroke*F56*rr_asa_stroke*dt))</f>
        <v>0.0107853494388376</v>
      </c>
      <c r="CL56" s="57" t="n">
        <f aca="false">(1-EXP(-r_ich*rr_asa_ich*dt))</f>
        <v>0.00102357767802375</v>
      </c>
      <c r="CM56" s="57" t="n">
        <f aca="false">(1-EXP(-r_mb*rr_asa_mb*dt))</f>
        <v>0.00951809672747972</v>
      </c>
      <c r="CN56" s="57" t="n">
        <f aca="false">(1-EXP(-r_mi*rr_asa_mi*dt))</f>
        <v>0.00213413516393479</v>
      </c>
      <c r="CO56" s="57" t="n">
        <f aca="false">(1-EXP(-r_tia*rr_asa_tia*dt))</f>
        <v>0.00312764565589152</v>
      </c>
      <c r="CP56" s="57" t="n">
        <f aca="false">(1-EXP(-r_minor*rr_asa_minor*dt))</f>
        <v>0.0278181950466747</v>
      </c>
      <c r="CQ56" s="57" t="n">
        <f aca="false">CJ56*CK56</f>
        <v>0.000791186221534033</v>
      </c>
      <c r="CR56" s="57" t="n">
        <f aca="false">CJ56*CL56</f>
        <v>7.50870947774752E-005</v>
      </c>
      <c r="CS56" s="57" t="n">
        <f aca="false">CJ56*CM56</f>
        <v>0.000698223736626724</v>
      </c>
      <c r="CT56" s="57" t="n">
        <f aca="false">CJ56*CN56</f>
        <v>0.000156554810409413</v>
      </c>
      <c r="CU56" s="57" t="n">
        <f aca="false">CJ56*CO56</f>
        <v>0.000229436251724158</v>
      </c>
      <c r="CV56" s="57" t="n">
        <f aca="false">CJ56*CP56</f>
        <v>0.00204067311436573</v>
      </c>
      <c r="CW56" s="57" t="n">
        <f aca="false">CQ56*f_stroke_fatal</f>
        <v>0.000187511134503566</v>
      </c>
      <c r="CX56" s="57" t="n">
        <f aca="false">CQ56*(1-f_stroke_fatal)*f_stroke_major</f>
        <v>0.000201023803981145</v>
      </c>
      <c r="CY56" s="57" t="n">
        <f aca="false">CQ56*(1-f_stroke_fatal)*(1-f_stroke_major)</f>
        <v>0.000402651283049321</v>
      </c>
      <c r="CZ56" s="57" t="n">
        <f aca="false">CR56*(1-f_bleed_fatal)</f>
        <v>6.87797788161673E-005</v>
      </c>
      <c r="DA56" s="57" t="n">
        <f aca="false">CS56*(1-f_bleed_fatal)</f>
        <v>0.00063957294275008</v>
      </c>
      <c r="DB56" s="57" t="n">
        <f aca="false">CT56*f_mi_fatal</f>
        <v>1.89431320595389E-005</v>
      </c>
      <c r="DC56" s="57" t="n">
        <f aca="false">CT56-DB56</f>
        <v>0.000137611678349874</v>
      </c>
      <c r="DD56" s="57" t="n">
        <f aca="false">CJ56-CQ56-CR56-CS56-DB56</f>
        <v>0.0717740551859918</v>
      </c>
      <c r="DE56" s="19" t="n">
        <f aca="false">CW56*c_stroke_fatal+CX56*c_stroke_major+CY56*c_stroke_minor+CR56*c_ich+CS56*c_major_bleed+DB56*c_mi_fatal+DC56*c_mi_nonfatal+CU56*c_tia+CV56*c_minor_bleed</f>
        <v>39.1106488133434</v>
      </c>
      <c r="DF56" s="57" t="n">
        <f aca="false">dt*(DC56*dec_mi+DA56*dec_major_bleed+CV56*dec_minor_bleed+CU56*dec_tia)</f>
        <v>3.15507137352711E-005</v>
      </c>
      <c r="DG56" s="57" t="n">
        <f aca="false">J56*CI56+CW56+CR56-CZ56+CS56-DA56+DB56</f>
        <v>0.0025641656243928</v>
      </c>
      <c r="DH56" s="57" t="n">
        <f aca="false">AG56</f>
        <v>0.227926863721795</v>
      </c>
      <c r="DI56" s="57" t="n">
        <f aca="false">AB56+AC56+BF56+BA56+BB56+BC56+CY56+CZ56</f>
        <v>0.0253160616551861</v>
      </c>
      <c r="DJ56" s="57" t="n">
        <f aca="false">AA56+AZ56+BY56+CX56+CE56+BZ56+CA56+CB56</f>
        <v>0.0123984561324788</v>
      </c>
      <c r="DK56" s="57" t="n">
        <f aca="false">AD56+DD56+DA56</f>
        <v>0.0738296807072412</v>
      </c>
      <c r="DL56" s="57" t="n">
        <f aca="false">K56+AJ56+BI56+CH56+DG56</f>
        <v>0.660528937783299</v>
      </c>
      <c r="DM56" s="58" t="n">
        <f aca="false">SUM(DH56:DL56)</f>
        <v>1</v>
      </c>
      <c r="DN56" s="19" t="n">
        <f aca="false">dt*(G56*Apixaban!$H$2+(H56+I56+J56)*c_aspirin)</f>
        <v>18.8800523997304</v>
      </c>
      <c r="DO56" s="19" t="n">
        <f aca="false">dt*(H56*c_lt_minor_stroke+I56*c_lt_major_stroke)</f>
        <v>154.110202623827</v>
      </c>
      <c r="DP56" s="19" t="n">
        <f aca="false">AH56+BG56+CF56+DE56</f>
        <v>140.968377945742</v>
      </c>
      <c r="DQ56" s="19" t="n">
        <f aca="false">DN56+DO56+DP56</f>
        <v>313.958632969299</v>
      </c>
      <c r="DR56" s="57" t="n">
        <f aca="false">dt*(G56*(u_af-dec_per_year_over_70*MAX(B56-ref_age,0))+H56*(u_minor_stroke-dec_per_year_over_70*MAX(B56-ref_age,0))+I56*(u_major_stroke-dec_per_year_over_70*MAX(B56-ref_age,0))+J56*(u_af-dec_per_year_over_70*MAX(B56-ref_age,0)))-AI56-BH56-CG56-DF56</f>
        <v>0.069063068873283</v>
      </c>
      <c r="DS56" s="57" t="n">
        <f aca="false">dt*(G56+H56+I56+J56)</f>
        <v>0.0881866701072284</v>
      </c>
      <c r="DT56" s="19" t="n">
        <f aca="false">DQ56*C56</f>
        <v>260.643501478974</v>
      </c>
      <c r="DU56" s="19" t="n">
        <f aca="false">DN56*C56</f>
        <v>15.6739214941525</v>
      </c>
      <c r="DV56" s="19" t="n">
        <f aca="false">DP56*C56</f>
        <v>117.029722285682</v>
      </c>
      <c r="DW56" s="19" t="n">
        <f aca="false">DO56*C56</f>
        <v>127.939857699139</v>
      </c>
      <c r="DX56" s="57" t="n">
        <f aca="false">DR56*C56</f>
        <v>0.0573350696675261</v>
      </c>
      <c r="DY56" s="57" t="n">
        <f aca="false">DS56*C56</f>
        <v>0.0732111815596001</v>
      </c>
      <c r="DZ56" s="57" t="n">
        <f aca="false">T56+AS56+BR56+CQ56</f>
        <v>0.00286555617682342</v>
      </c>
      <c r="EA56" s="57" t="n">
        <f aca="false">U56+AT56+BS56+CR56</f>
        <v>0.000307023264606261</v>
      </c>
      <c r="EB56" s="57" t="n">
        <f aca="false">V56+AU56+BT56+CS56</f>
        <v>0.00258957850402048</v>
      </c>
      <c r="EC56" s="57" t="n">
        <f aca="false">G56*dt*C56</f>
        <v>0.0494251630608768</v>
      </c>
    </row>
    <row r="57" customFormat="false" ht="15" hidden="false" customHeight="false" outlineLevel="0" collapsed="false">
      <c r="A57" s="8" t="n">
        <v>51</v>
      </c>
      <c r="B57" s="54" t="n">
        <f aca="false">start_age+A57*dt</f>
        <v>82.75</v>
      </c>
      <c r="C57" s="16" t="n">
        <f aca="false">(1+disc_rate)^-(A57*dt)</f>
        <v>0.827099886678174</v>
      </c>
      <c r="D57" s="55" t="n">
        <f aca="false">IF(A57*dt&gt;=wane_start,(1-wane_decay)^(A57*dt-wane_start),1)</f>
        <v>1</v>
      </c>
      <c r="E57" s="25" t="n">
        <f aca="false">MIN(p_nonvasc_death*MIN(EXP(gomp_int+gomp_slope*INT(B57)),1)/qx_ref,0.999)</f>
        <v>0.115828440791284</v>
      </c>
      <c r="F57" s="55" t="n">
        <f aca="false">rr_stroke_per_decade^((B57-ref_age)/10)</f>
        <v>1.67693548704561</v>
      </c>
      <c r="G57" s="57" t="n">
        <f aca="false">DH56</f>
        <v>0.227926863721795</v>
      </c>
      <c r="H57" s="57" t="n">
        <f aca="false">DI56</f>
        <v>0.0253160616551861</v>
      </c>
      <c r="I57" s="57" t="n">
        <f aca="false">DJ56</f>
        <v>0.0123984561324788</v>
      </c>
      <c r="J57" s="57" t="n">
        <f aca="false">DK56</f>
        <v>0.0738296807072412</v>
      </c>
      <c r="K57" s="57" t="n">
        <f aca="false">DL56</f>
        <v>0.660528937783299</v>
      </c>
      <c r="L57" s="57" t="n">
        <f aca="false">1-EXP(LN(1-E57)*dt)</f>
        <v>0.0303072797491967</v>
      </c>
      <c r="M57" s="57" t="n">
        <f aca="false">G57*(1-L57)</f>
        <v>0.221019020500621</v>
      </c>
      <c r="N57" s="57" t="n">
        <f aca="false">IF(Apixaban!$B$2=1,EXP(LN(or_apx_stroke)*D57)*(1-EXP(-r_stroke*F57*dt))/(1-(1-EXP(-r_stroke*F57*dt))+EXP(LN(or_apx_stroke)*D57)*(1-EXP(-r_stroke*F57*dt))),(1-EXP(-r_stroke*F57*dt)))</f>
        <v>0.00533149151886256</v>
      </c>
      <c r="O57" s="57" t="n">
        <f aca="false">IF(Apixaban!$B$2=1,EXP(LN(or_apx_ich)*D57)*(1-EXP(-r_ich*dt))/(1-(1-EXP(-r_ich*dt))+EXP(LN(or_apx_ich)*D57)*(1-EXP(-r_ich*dt))),(1-EXP(-r_ich*dt)))</f>
        <v>0.000843513249640701</v>
      </c>
      <c r="P57" s="57" t="n">
        <f aca="false">IF(Apixaban!$B$2=1,EXP(LN(or_apx_mb)*D57)*(1-EXP(-r_mb*dt))/(1-(1-EXP(-r_mb*dt))+EXP(LN(or_apx_mb)*D57)*(1-EXP(-r_mb*dt))),(1-EXP(-r_mb*dt)))</f>
        <v>0.00669446907979895</v>
      </c>
      <c r="Q57" s="57" t="n">
        <f aca="false">IF(Apixaban!$B$2=1,EXP(LN(or_apx_mi)*D57)*(1-EXP(-r_mi*dt))/(1-(1-EXP(-r_mi*dt))+EXP(LN(or_apx_mi)*D57)*(1-EXP(-r_mi*dt))),(1-EXP(-r_mi*dt)))</f>
        <v>0.00132321915530843</v>
      </c>
      <c r="R57" s="57" t="n">
        <f aca="false">(1-EXP(-r_tia*dt))</f>
        <v>0.0020060281549299</v>
      </c>
      <c r="S57" s="57" t="n">
        <f aca="false">(1-EXP(-r_minor*dt))</f>
        <v>0.0437937690785545</v>
      </c>
      <c r="T57" s="57" t="n">
        <f aca="false">M57*N57</f>
        <v>0.00117836103330637</v>
      </c>
      <c r="U57" s="57" t="n">
        <f aca="false">M57*O57</f>
        <v>0.000186432472214884</v>
      </c>
      <c r="V57" s="57" t="n">
        <f aca="false">M57*P57</f>
        <v>0.00147960499878886</v>
      </c>
      <c r="W57" s="57" t="n">
        <f aca="false">M57*Q57</f>
        <v>0.000292456601613929</v>
      </c>
      <c r="X57" s="57" t="n">
        <f aca="false">M57*R57</f>
        <v>0.000443370377899274</v>
      </c>
      <c r="Y57" s="57" t="n">
        <f aca="false">M57*S57</f>
        <v>0.00967925594577251</v>
      </c>
      <c r="Z57" s="57" t="n">
        <f aca="false">T57*f_stroke_fatal</f>
        <v>0.000279271564893611</v>
      </c>
      <c r="AA57" s="57" t="n">
        <f aca="false">T57*(1-f_stroke_fatal)*f_stroke_major</f>
        <v>0.00029939679298145</v>
      </c>
      <c r="AB57" s="57" t="n">
        <f aca="false">T57*(1-f_stroke_fatal)*(1-f_stroke_major)</f>
        <v>0.000599692675431313</v>
      </c>
      <c r="AC57" s="57" t="n">
        <f aca="false">U57*(1-f_bleed_fatal)</f>
        <v>0.000170772144548834</v>
      </c>
      <c r="AD57" s="57" t="n">
        <f aca="false">V57*(1-f_bleed_fatal)</f>
        <v>0.0013553181788906</v>
      </c>
      <c r="AE57" s="57" t="n">
        <f aca="false">W57*f_mi_fatal</f>
        <v>3.53872487952854E-005</v>
      </c>
      <c r="AF57" s="57" t="n">
        <f aca="false">W57-AE57</f>
        <v>0.000257069352818643</v>
      </c>
      <c r="AG57" s="57" t="n">
        <f aca="false">M57-T57-U57-V57-AE57</f>
        <v>0.218139234747516</v>
      </c>
      <c r="AH57" s="19" t="n">
        <f aca="false">Z57*c_stroke_fatal+AA57*c_stroke_major+AB57*c_stroke_minor+U57*c_ich+V57*c_major_bleed+AE57*c_mi_fatal+AF57*c_mi_nonfatal+X57*c_tia+Y57*c_minor_bleed</f>
        <v>65.0144375518099</v>
      </c>
      <c r="AI57" s="57" t="n">
        <f aca="false">dt*(AF57*dec_mi+AD57*dec_major_bleed+Y57*dec_minor_bleed+X57*dec_tia)</f>
        <v>8.20801044447333E-005</v>
      </c>
      <c r="AJ57" s="57" t="n">
        <f aca="false">G57*L57+Z57+U57-AC57+V57-AD57+AE57</f>
        <v>0.00736244918242667</v>
      </c>
      <c r="AK57" s="57" t="n">
        <f aca="false">1-EXP(LN(1-E57)*hr_death_prior_stroke*dt)</f>
        <v>0.0683377233826246</v>
      </c>
      <c r="AL57" s="57" t="n">
        <f aca="false">H57*(1-AK57)</f>
        <v>0.0235860196366565</v>
      </c>
      <c r="AM57" s="57" t="n">
        <f aca="false">(1-EXP(-r_stroke*F57*rr_stroke_prior*rr_asa_stroke*dt))</f>
        <v>0.0238116291304661</v>
      </c>
      <c r="AN57" s="57" t="n">
        <f aca="false">(1-EXP(-r_ich*rr_asa_ich*dt))</f>
        <v>0.00102357767802375</v>
      </c>
      <c r="AO57" s="57" t="n">
        <f aca="false">(1-EXP(-r_mb*rr_asa_mb*dt))</f>
        <v>0.00951809672747972</v>
      </c>
      <c r="AP57" s="57" t="n">
        <f aca="false">(1-EXP(-r_mi*rr_asa_mi*dt))</f>
        <v>0.00213413516393479</v>
      </c>
      <c r="AQ57" s="57" t="n">
        <f aca="false">(1-EXP(-r_tia*rr_asa_tia*dt))</f>
        <v>0.00312764565589152</v>
      </c>
      <c r="AR57" s="57" t="n">
        <f aca="false">(1-EXP(-r_minor*rr_asa_minor*dt))</f>
        <v>0.0278181950466747</v>
      </c>
      <c r="AS57" s="57" t="n">
        <f aca="false">AL57*AM57</f>
        <v>0.000561621552251955</v>
      </c>
      <c r="AT57" s="57" t="n">
        <f aca="false">AL57*AN57</f>
        <v>2.41421232135114E-005</v>
      </c>
      <c r="AU57" s="57" t="n">
        <f aca="false">AL57*AO57</f>
        <v>0.000224494016317933</v>
      </c>
      <c r="AV57" s="57" t="n">
        <f aca="false">AL57*AP57</f>
        <v>5.03357538838452E-005</v>
      </c>
      <c r="AW57" s="57" t="n">
        <f aca="false">AL57*AQ57</f>
        <v>7.37687118563608E-005</v>
      </c>
      <c r="AX57" s="57" t="n">
        <f aca="false">AL57*AR57</f>
        <v>0.000656120494627211</v>
      </c>
      <c r="AY57" s="57" t="n">
        <f aca="false">AS57*f_stroke_fatal_recur</f>
        <v>0.00020897376337743</v>
      </c>
      <c r="AZ57" s="57" t="n">
        <f aca="false">AS57*(1-f_stroke_fatal_recur)*f_stroke_major</f>
        <v>0.000117431713695217</v>
      </c>
      <c r="BA57" s="57" t="n">
        <f aca="false">AS57*(1-f_stroke_fatal_recur)*(1-f_stroke_major)</f>
        <v>0.000235216075179308</v>
      </c>
      <c r="BB57" s="57" t="n">
        <f aca="false">AT57*(1-f_bleed_fatal)</f>
        <v>2.21141848635764E-005</v>
      </c>
      <c r="BC57" s="57" t="n">
        <f aca="false">AU57*(1-f_bleed_fatal)</f>
        <v>0.000205636518947226</v>
      </c>
      <c r="BD57" s="57" t="n">
        <f aca="false">AV57*f_mi_fatal</f>
        <v>6.09062621994527E-006</v>
      </c>
      <c r="BE57" s="57" t="n">
        <f aca="false">AV57-BD57</f>
        <v>4.42451276638999E-005</v>
      </c>
      <c r="BF57" s="57" t="n">
        <f aca="false">AL57-AS57-AT57-AU57-BD57</f>
        <v>0.0227696713186532</v>
      </c>
      <c r="BG57" s="19" t="n">
        <f aca="false">AY57*c_stroke_fatal+AZ57*c_stroke_major+BA57*c_stroke_minor+AT57*c_ich+AU57*c_major_bleed+BD57*c_mi_fatal+BE57*c_mi_nonfatal+AW57*c_tia+AX57*c_minor_bleed</f>
        <v>22.5404585301213</v>
      </c>
      <c r="BH57" s="57" t="n">
        <f aca="false">dt*(BE57*dec_mi+BC57*dec_major_bleed+AX57*dec_minor_bleed+AW57*dec_tia)</f>
        <v>1.01442361131228E-005</v>
      </c>
      <c r="BI57" s="57" t="n">
        <f aca="false">H57*AK57+AY57+AT57-BB57+AU57-BC57+BD57</f>
        <v>0.00196599184384759</v>
      </c>
      <c r="BJ57" s="57" t="n">
        <f aca="false">1-EXP(LN(1-E57)*hr_death_prior_stroke*dt)</f>
        <v>0.0683377233826246</v>
      </c>
      <c r="BK57" s="57" t="n">
        <f aca="false">I57*(1-BJ57)</f>
        <v>0.0115511738669259</v>
      </c>
      <c r="BL57" s="57" t="n">
        <f aca="false">(1-EXP(-r_stroke*F57*rr_stroke_prior*rr_asa_stroke*dt))</f>
        <v>0.0238116291304661</v>
      </c>
      <c r="BM57" s="57" t="n">
        <f aca="false">(1-EXP(-r_ich*rr_asa_ich*dt))</f>
        <v>0.00102357767802375</v>
      </c>
      <c r="BN57" s="57" t="n">
        <f aca="false">(1-EXP(-r_mb*rr_asa_mb*dt))</f>
        <v>0.00951809672747972</v>
      </c>
      <c r="BO57" s="57" t="n">
        <f aca="false">(1-EXP(-r_mi*rr_asa_mi*dt))</f>
        <v>0.00213413516393479</v>
      </c>
      <c r="BP57" s="57" t="n">
        <f aca="false">(1-EXP(-r_tia*rr_asa_tia*dt))</f>
        <v>0.00312764565589152</v>
      </c>
      <c r="BQ57" s="57" t="n">
        <f aca="false">(1-EXP(-r_minor*rr_asa_minor*dt))</f>
        <v>0.0278181950466747</v>
      </c>
      <c r="BR57" s="57" t="n">
        <f aca="false">BK57*BL57</f>
        <v>0.000275052268140771</v>
      </c>
      <c r="BS57" s="57" t="n">
        <f aca="false">BK57*BM57</f>
        <v>1.18235237251566E-005</v>
      </c>
      <c r="BT57" s="57" t="n">
        <f aca="false">BK57*BN57</f>
        <v>0.000109945190181337</v>
      </c>
      <c r="BU57" s="57" t="n">
        <f aca="false">BK57*BO57</f>
        <v>2.46517663341312E-005</v>
      </c>
      <c r="BV57" s="57" t="n">
        <f aca="false">BK57*BP57</f>
        <v>3.61279787653384E-005</v>
      </c>
      <c r="BW57" s="57" t="n">
        <f aca="false">BK57*BQ57</f>
        <v>0.000321332807648196</v>
      </c>
      <c r="BX57" s="57" t="n">
        <f aca="false">BR57*f_stroke_fatal_recur</f>
        <v>0.0001023441984525</v>
      </c>
      <c r="BY57" s="57" t="n">
        <f aca="false">BR57*(1-f_stroke_fatal_recur)*f_stroke_major</f>
        <v>5.75117872061945E-005</v>
      </c>
      <c r="BZ57" s="57" t="n">
        <f aca="false">BR57*(1-f_stroke_fatal_recur)*(1-f_stroke_major)</f>
        <v>0.000115196282482077</v>
      </c>
      <c r="CA57" s="57" t="n">
        <f aca="false">BS57*(1-f_bleed_fatal)</f>
        <v>1.08303477322434E-005</v>
      </c>
      <c r="CB57" s="57" t="n">
        <f aca="false">BT57*(1-f_bleed_fatal)</f>
        <v>0.000100709794206104</v>
      </c>
      <c r="CC57" s="57" t="n">
        <f aca="false">BU57*f_mi_fatal</f>
        <v>2.98286372642987E-006</v>
      </c>
      <c r="CD57" s="57" t="n">
        <f aca="false">BU57-CC57</f>
        <v>2.16689026077013E-005</v>
      </c>
      <c r="CE57" s="57" t="n">
        <f aca="false">BK57-BR57-BS57-BT57-CC57</f>
        <v>0.0111513700211522</v>
      </c>
      <c r="CF57" s="19" t="n">
        <f aca="false">BX57*c_stroke_fatal+BY57*c_stroke_major+BZ57*c_stroke_minor+BS57*c_ich+BT57*c_major_bleed+CC57*c_mi_fatal+CD57*c_mi_nonfatal+BV57*c_tia+BW57*c_minor_bleed</f>
        <v>11.0391138281344</v>
      </c>
      <c r="CG57" s="57" t="n">
        <f aca="false">dt*(CD57*dec_mi+CB57*dec_major_bleed+BW57*dec_minor_bleed+BV57*dec_tia)</f>
        <v>4.96810555129517E-006</v>
      </c>
      <c r="CH57" s="57" t="n">
        <f aca="false">I57*BJ57+BX57+BS57-CA57+BT57-CB57+CC57</f>
        <v>0.000962837899700019</v>
      </c>
      <c r="CI57" s="57" t="n">
        <f aca="false">1-EXP(LN(1-E57)*dt)</f>
        <v>0.0303072797491967</v>
      </c>
      <c r="CJ57" s="57" t="n">
        <f aca="false">J57*(1-CI57)</f>
        <v>0.071592103920253</v>
      </c>
      <c r="CK57" s="57" t="n">
        <f aca="false">(1-EXP(-r_stroke*F57*rr_asa_stroke*dt))</f>
        <v>0.0108946317493377</v>
      </c>
      <c r="CL57" s="57" t="n">
        <f aca="false">(1-EXP(-r_ich*rr_asa_ich*dt))</f>
        <v>0.00102357767802375</v>
      </c>
      <c r="CM57" s="57" t="n">
        <f aca="false">(1-EXP(-r_mb*rr_asa_mb*dt))</f>
        <v>0.00951809672747972</v>
      </c>
      <c r="CN57" s="57" t="n">
        <f aca="false">(1-EXP(-r_mi*rr_asa_mi*dt))</f>
        <v>0.00213413516393479</v>
      </c>
      <c r="CO57" s="57" t="n">
        <f aca="false">(1-EXP(-r_tia*rr_asa_tia*dt))</f>
        <v>0.00312764565589152</v>
      </c>
      <c r="CP57" s="57" t="n">
        <f aca="false">(1-EXP(-r_minor*rr_asa_minor*dt))</f>
        <v>0.0278181950466747</v>
      </c>
      <c r="CQ57" s="57" t="n">
        <f aca="false">CJ57*CK57</f>
        <v>0.000779969608371472</v>
      </c>
      <c r="CR57" s="57" t="n">
        <f aca="false">CJ57*CL57</f>
        <v>7.32800794955273E-005</v>
      </c>
      <c r="CS57" s="57" t="n">
        <f aca="false">CJ57*CM57</f>
        <v>0.000681420570036748</v>
      </c>
      <c r="CT57" s="57" t="n">
        <f aca="false">CJ57*CN57</f>
        <v>0.000152787226436286</v>
      </c>
      <c r="CU57" s="57" t="n">
        <f aca="false">CJ57*CO57</f>
        <v>0.000223914732822314</v>
      </c>
      <c r="CV57" s="57" t="n">
        <f aca="false">CJ57*CP57</f>
        <v>0.0019915631106554</v>
      </c>
      <c r="CW57" s="57" t="n">
        <f aca="false">CQ57*f_stroke_fatal</f>
        <v>0.000184852797184039</v>
      </c>
      <c r="CX57" s="57" t="n">
        <f aca="false">CQ57*(1-f_stroke_fatal)*f_stroke_major</f>
        <v>0.000198173898125415</v>
      </c>
      <c r="CY57" s="57" t="n">
        <f aca="false">CQ57*(1-f_stroke_fatal)*(1-f_stroke_major)</f>
        <v>0.000396942913062018</v>
      </c>
      <c r="CZ57" s="57" t="n">
        <f aca="false">CR57*(1-f_bleed_fatal)</f>
        <v>6.7124552817903E-005</v>
      </c>
      <c r="DA57" s="57" t="n">
        <f aca="false">CS57*(1-f_bleed_fatal)</f>
        <v>0.000624181242153661</v>
      </c>
      <c r="DB57" s="57" t="n">
        <f aca="false">CT57*f_mi_fatal</f>
        <v>1.84872543987906E-005</v>
      </c>
      <c r="DC57" s="57" t="n">
        <f aca="false">CT57-DB57</f>
        <v>0.000134299972037495</v>
      </c>
      <c r="DD57" s="57" t="n">
        <f aca="false">CJ57-CQ57-CR57-CS57-DB57</f>
        <v>0.0700389464079505</v>
      </c>
      <c r="DE57" s="19" t="n">
        <f aca="false">CW57*c_stroke_fatal+CX57*c_stroke_major+CY57*c_stroke_minor+CR57*c_ich+CS57*c_major_bleed+DB57*c_mi_fatal+DC57*c_mi_nonfatal+CU57*c_tia+CV57*c_minor_bleed</f>
        <v>38.4584969974073</v>
      </c>
      <c r="DF57" s="57" t="n">
        <f aca="false">dt*(DC57*dec_mi+DA57*dec_major_bleed+CV57*dec_minor_bleed+CU57*dec_tia)</f>
        <v>3.07914271755106E-005</v>
      </c>
      <c r="DG57" s="57" t="n">
        <f aca="false">J57*CI57+CW57+CR57-CZ57+CS57-DA57+DB57</f>
        <v>0.00250431169313177</v>
      </c>
      <c r="DH57" s="57" t="n">
        <f aca="false">AG57</f>
        <v>0.218139234747516</v>
      </c>
      <c r="DI57" s="57" t="n">
        <f aca="false">AB57+AC57+BF57+BA57+BB57+BC57+CY57+CZ57</f>
        <v>0.0244671703835034</v>
      </c>
      <c r="DJ57" s="57" t="n">
        <f aca="false">AA57+AZ57+BY57+CX57+CE57+BZ57+CA57+CB57</f>
        <v>0.0120506206375809</v>
      </c>
      <c r="DK57" s="57" t="n">
        <f aca="false">AD57+DD57+DA57</f>
        <v>0.0720184458289947</v>
      </c>
      <c r="DL57" s="57" t="n">
        <f aca="false">K57+AJ57+BI57+CH57+DG57</f>
        <v>0.673324528402405</v>
      </c>
      <c r="DM57" s="58" t="n">
        <f aca="false">SUM(DH57:DL57)</f>
        <v>1</v>
      </c>
      <c r="DN57" s="19" t="n">
        <f aca="false">dt*(G57*Apixaban!$H$2+(H57+I57+J57)*c_aspirin)</f>
        <v>18.0883799774798</v>
      </c>
      <c r="DO57" s="19" t="n">
        <f aca="false">dt*(H57*c_lt_minor_stroke+I57*c_lt_major_stroke)</f>
        <v>149.382895619217</v>
      </c>
      <c r="DP57" s="19" t="n">
        <f aca="false">AH57+BG57+CF57+DE57</f>
        <v>137.052506907473</v>
      </c>
      <c r="DQ57" s="19" t="n">
        <f aca="false">DN57+DO57+DP57</f>
        <v>304.52378250417</v>
      </c>
      <c r="DR57" s="57" t="n">
        <f aca="false">dt*(G57*(u_af-dec_per_year_over_70*MAX(B57-ref_age,0))+H57*(u_minor_stroke-dec_per_year_over_70*MAX(B57-ref_age,0))+I57*(u_major_stroke-dec_per_year_over_70*MAX(B57-ref_age,0))+J57*(u_af-dec_per_year_over_70*MAX(B57-ref_age,0)))-AI57-BH57-CG57-DF57</f>
        <v>0.0664416109982216</v>
      </c>
      <c r="DS57" s="57" t="n">
        <f aca="false">dt*(G57+H57+I57+J57)</f>
        <v>0.0848677655541753</v>
      </c>
      <c r="DT57" s="19" t="n">
        <f aca="false">DQ57*C57</f>
        <v>251.871586000007</v>
      </c>
      <c r="DU57" s="19" t="n">
        <f aca="false">DN57*C57</f>
        <v>14.9608970295653</v>
      </c>
      <c r="DV57" s="19" t="n">
        <f aca="false">DP57*C57</f>
        <v>113.35611293213</v>
      </c>
      <c r="DW57" s="19" t="n">
        <f aca="false">DO57*C57</f>
        <v>123.554576038312</v>
      </c>
      <c r="DX57" s="57" t="n">
        <f aca="false">DR57*C57</f>
        <v>0.0549538489273444</v>
      </c>
      <c r="DY57" s="57" t="n">
        <f aca="false">DS57*C57</f>
        <v>0.0701941192724882</v>
      </c>
      <c r="DZ57" s="57" t="n">
        <f aca="false">T57+AS57+BR57+CQ57</f>
        <v>0.00279500446207057</v>
      </c>
      <c r="EA57" s="57" t="n">
        <f aca="false">U57+AT57+BS57+CR57</f>
        <v>0.000295678198649079</v>
      </c>
      <c r="EB57" s="57" t="n">
        <f aca="false">V57+AU57+BT57+CS57</f>
        <v>0.00249546477532488</v>
      </c>
      <c r="EC57" s="57" t="n">
        <f aca="false">G57*dt*C57</f>
        <v>0.047129570788802</v>
      </c>
    </row>
    <row r="58" customFormat="false" ht="15" hidden="false" customHeight="false" outlineLevel="0" collapsed="false">
      <c r="A58" s="8" t="n">
        <v>52</v>
      </c>
      <c r="B58" s="54" t="n">
        <f aca="false">start_age+A58*dt</f>
        <v>83</v>
      </c>
      <c r="C58" s="16" t="n">
        <f aca="false">(1+disc_rate)^-(A58*dt)</f>
        <v>0.824027016645711</v>
      </c>
      <c r="D58" s="55" t="n">
        <f aca="false">IF(A58*dt&gt;=wane_start,(1-wane_decay)^(A58*dt-wane_start),1)</f>
        <v>1</v>
      </c>
      <c r="E58" s="25" t="n">
        <f aca="false">MIN(p_nonvasc_death*MIN(EXP(gomp_int+gomp_slope*INT(B58)),1)/qx_ref,0.999)</f>
        <v>0.128604742069064</v>
      </c>
      <c r="F58" s="55" t="n">
        <f aca="false">rr_stroke_per_decade^((B58-ref_age)/10)</f>
        <v>1.69402040318528</v>
      </c>
      <c r="G58" s="57" t="n">
        <f aca="false">DH57</f>
        <v>0.218139234747516</v>
      </c>
      <c r="H58" s="57" t="n">
        <f aca="false">DI57</f>
        <v>0.0244671703835034</v>
      </c>
      <c r="I58" s="57" t="n">
        <f aca="false">DJ57</f>
        <v>0.0120506206375809</v>
      </c>
      <c r="J58" s="57" t="n">
        <f aca="false">DK57</f>
        <v>0.0720184458289947</v>
      </c>
      <c r="K58" s="57" t="n">
        <f aca="false">DL57</f>
        <v>0.673324528402405</v>
      </c>
      <c r="L58" s="57" t="n">
        <f aca="false">1-EXP(LN(1-E58)*dt)</f>
        <v>0.033829444439164</v>
      </c>
      <c r="M58" s="57" t="n">
        <f aca="false">G58*(1-L58)</f>
        <v>0.210759705625623</v>
      </c>
      <c r="N58" s="57" t="n">
        <f aca="false">IF(Apixaban!$B$2=1,EXP(LN(or_apx_stroke)*D58)*(1-EXP(-r_stroke*F58*dt))/(1-(1-EXP(-r_stroke*F58*dt))+EXP(LN(or_apx_stroke)*D58)*(1-EXP(-r_stroke*F58*dt))),(1-EXP(-r_stroke*F58*dt)))</f>
        <v>0.00538570189185297</v>
      </c>
      <c r="O58" s="57" t="n">
        <f aca="false">IF(Apixaban!$B$2=1,EXP(LN(or_apx_ich)*D58)*(1-EXP(-r_ich*dt))/(1-(1-EXP(-r_ich*dt))+EXP(LN(or_apx_ich)*D58)*(1-EXP(-r_ich*dt))),(1-EXP(-r_ich*dt)))</f>
        <v>0.000843513249640701</v>
      </c>
      <c r="P58" s="57" t="n">
        <f aca="false">IF(Apixaban!$B$2=1,EXP(LN(or_apx_mb)*D58)*(1-EXP(-r_mb*dt))/(1-(1-EXP(-r_mb*dt))+EXP(LN(or_apx_mb)*D58)*(1-EXP(-r_mb*dt))),(1-EXP(-r_mb*dt)))</f>
        <v>0.00669446907979895</v>
      </c>
      <c r="Q58" s="57" t="n">
        <f aca="false">IF(Apixaban!$B$2=1,EXP(LN(or_apx_mi)*D58)*(1-EXP(-r_mi*dt))/(1-(1-EXP(-r_mi*dt))+EXP(LN(or_apx_mi)*D58)*(1-EXP(-r_mi*dt))),(1-EXP(-r_mi*dt)))</f>
        <v>0.00132321915530843</v>
      </c>
      <c r="R58" s="57" t="n">
        <f aca="false">(1-EXP(-r_tia*dt))</f>
        <v>0.0020060281549299</v>
      </c>
      <c r="S58" s="57" t="n">
        <f aca="false">(1-EXP(-r_minor*dt))</f>
        <v>0.0437937690785545</v>
      </c>
      <c r="T58" s="57" t="n">
        <f aca="false">M58*N58</f>
        <v>0.00113508894531429</v>
      </c>
      <c r="U58" s="57" t="n">
        <f aca="false">M58*O58</f>
        <v>0.000177778604185587</v>
      </c>
      <c r="V58" s="57" t="n">
        <f aca="false">M58*P58</f>
        <v>0.00141092433257826</v>
      </c>
      <c r="W58" s="57" t="n">
        <f aca="false">M58*Q58</f>
        <v>0.00027888127965099</v>
      </c>
      <c r="X58" s="57" t="n">
        <f aca="false">M58*R58</f>
        <v>0.000422789903409737</v>
      </c>
      <c r="Y58" s="57" t="n">
        <f aca="false">M58*S58</f>
        <v>0.00922996187923266</v>
      </c>
      <c r="Z58" s="57" t="n">
        <f aca="false">T58*f_stroke_fatal</f>
        <v>0.000269016080039487</v>
      </c>
      <c r="AA58" s="57" t="n">
        <f aca="false">T58*(1-f_stroke_fatal)*f_stroke_major</f>
        <v>0.00028840226413651</v>
      </c>
      <c r="AB58" s="57" t="n">
        <f aca="false">T58*(1-f_stroke_fatal)*(1-f_stroke_major)</f>
        <v>0.000577670601138295</v>
      </c>
      <c r="AC58" s="57" t="n">
        <f aca="false">U58*(1-f_bleed_fatal)</f>
        <v>0.000162845201433998</v>
      </c>
      <c r="AD58" s="57" t="n">
        <f aca="false">V58*(1-f_bleed_fatal)</f>
        <v>0.00129240668864169</v>
      </c>
      <c r="AE58" s="57" t="n">
        <f aca="false">W58*f_mi_fatal</f>
        <v>3.37446348377698E-005</v>
      </c>
      <c r="AF58" s="57" t="n">
        <f aca="false">W58-AE58</f>
        <v>0.00024513664481322</v>
      </c>
      <c r="AG58" s="57" t="n">
        <f aca="false">M58-T58-U58-V58-AE58</f>
        <v>0.208002169108707</v>
      </c>
      <c r="AH58" s="19" t="n">
        <f aca="false">Z58*c_stroke_fatal+AA58*c_stroke_major+AB58*c_stroke_minor+U58*c_ich+V58*c_major_bleed+AE58*c_mi_fatal+AF58*c_mi_nonfatal+X58*c_tia+Y58*c_minor_bleed</f>
        <v>62.4187215772057</v>
      </c>
      <c r="AI58" s="57" t="n">
        <f aca="false">dt*(AF58*dec_mi+AD58*dec_major_bleed+Y58*dec_minor_bleed+X58*dec_tia)</f>
        <v>7.82700901094789E-005</v>
      </c>
      <c r="AJ58" s="57" t="n">
        <f aca="false">G58*L58+Z58+U58-AC58+V58-AD58+AE58</f>
        <v>0.00781574088345827</v>
      </c>
      <c r="AK58" s="57" t="n">
        <f aca="false">1-EXP(LN(1-E58)*hr_death_prior_stroke*dt)</f>
        <v>0.0761026200294805</v>
      </c>
      <c r="AL58" s="57" t="n">
        <f aca="false">H58*(1-AK58)</f>
        <v>0.022605154612611</v>
      </c>
      <c r="AM58" s="57" t="n">
        <f aca="false">(1-EXP(-r_stroke*F58*rr_stroke_prior*rr_asa_stroke*dt))</f>
        <v>0.0240512852899299</v>
      </c>
      <c r="AN58" s="57" t="n">
        <f aca="false">(1-EXP(-r_ich*rr_asa_ich*dt))</f>
        <v>0.00102357767802375</v>
      </c>
      <c r="AO58" s="57" t="n">
        <f aca="false">(1-EXP(-r_mb*rr_asa_mb*dt))</f>
        <v>0.00951809672747972</v>
      </c>
      <c r="AP58" s="57" t="n">
        <f aca="false">(1-EXP(-r_mi*rr_asa_mi*dt))</f>
        <v>0.00213413516393479</v>
      </c>
      <c r="AQ58" s="57" t="n">
        <f aca="false">(1-EXP(-r_tia*rr_asa_tia*dt))</f>
        <v>0.00312764565589152</v>
      </c>
      <c r="AR58" s="57" t="n">
        <f aca="false">(1-EXP(-r_minor*rr_asa_minor*dt))</f>
        <v>0.0278181950466747</v>
      </c>
      <c r="AS58" s="57" t="n">
        <f aca="false">AL58*AM58</f>
        <v>0.000543683022610884</v>
      </c>
      <c r="AT58" s="57" t="n">
        <f aca="false">AL58*AN58</f>
        <v>2.31381316697442E-005</v>
      </c>
      <c r="AU58" s="57" t="n">
        <f aca="false">AL58*AO58</f>
        <v>0.000215158048142466</v>
      </c>
      <c r="AV58" s="57" t="n">
        <f aca="false">AL58*AP58</f>
        <v>4.8242455344956E-005</v>
      </c>
      <c r="AW58" s="57" t="n">
        <f aca="false">AL58*AQ58</f>
        <v>7.07009136248891E-005</v>
      </c>
      <c r="AX58" s="57" t="n">
        <f aca="false">AL58*AR58</f>
        <v>0.000628834600073852</v>
      </c>
      <c r="AY58" s="57" t="n">
        <f aca="false">AS58*f_stroke_fatal_recur</f>
        <v>0.000202299015883284</v>
      </c>
      <c r="AZ58" s="57" t="n">
        <f aca="false">AS58*(1-f_stroke_fatal_recur)*f_stroke_major</f>
        <v>0.000113680874240291</v>
      </c>
      <c r="BA58" s="57" t="n">
        <f aca="false">AS58*(1-f_stroke_fatal_recur)*(1-f_stroke_major)</f>
        <v>0.000227703132487309</v>
      </c>
      <c r="BB58" s="57" t="n">
        <f aca="false">AT58*(1-f_bleed_fatal)</f>
        <v>2.11945286094857E-005</v>
      </c>
      <c r="BC58" s="57" t="n">
        <f aca="false">AU58*(1-f_bleed_fatal)</f>
        <v>0.000197084772098499</v>
      </c>
      <c r="BD58" s="57" t="n">
        <f aca="false">AV58*f_mi_fatal</f>
        <v>5.83733709673967E-006</v>
      </c>
      <c r="BE58" s="57" t="n">
        <f aca="false">AV58-BD58</f>
        <v>4.24051182482163E-005</v>
      </c>
      <c r="BF58" s="57" t="n">
        <f aca="false">AL58-AS58-AT58-AU58-BD58</f>
        <v>0.0218173380730912</v>
      </c>
      <c r="BG58" s="19" t="n">
        <f aca="false">AY58*c_stroke_fatal+AZ58*c_stroke_major+BA58*c_stroke_minor+AT58*c_ich+AU58*c_major_bleed+BD58*c_mi_fatal+BE58*c_mi_nonfatal+AW58*c_tia+AX58*c_minor_bleed</f>
        <v>21.7898661921016</v>
      </c>
      <c r="BH58" s="57" t="n">
        <f aca="false">dt*(BE58*dec_mi+BC58*dec_major_bleed+AX58*dec_minor_bleed+AW58*dec_tia)</f>
        <v>9.72237067960315E-006</v>
      </c>
      <c r="BI58" s="57" t="n">
        <f aca="false">H58*AK58+AY58+AT58-BB58+AU58-BC58+BD58</f>
        <v>0.00209016900297657</v>
      </c>
      <c r="BJ58" s="57" t="n">
        <f aca="false">1-EXP(LN(1-E58)*hr_death_prior_stroke*dt)</f>
        <v>0.0761026200294805</v>
      </c>
      <c r="BK58" s="57" t="n">
        <f aca="false">I58*(1-BJ58)</f>
        <v>0.0111335368340797</v>
      </c>
      <c r="BL58" s="57" t="n">
        <f aca="false">(1-EXP(-r_stroke*F58*rr_stroke_prior*rr_asa_stroke*dt))</f>
        <v>0.0240512852899299</v>
      </c>
      <c r="BM58" s="57" t="n">
        <f aca="false">(1-EXP(-r_ich*rr_asa_ich*dt))</f>
        <v>0.00102357767802375</v>
      </c>
      <c r="BN58" s="57" t="n">
        <f aca="false">(1-EXP(-r_mb*rr_asa_mb*dt))</f>
        <v>0.00951809672747972</v>
      </c>
      <c r="BO58" s="57" t="n">
        <f aca="false">(1-EXP(-r_mi*rr_asa_mi*dt))</f>
        <v>0.00213413516393479</v>
      </c>
      <c r="BP58" s="57" t="n">
        <f aca="false">(1-EXP(-r_tia*rr_asa_tia*dt))</f>
        <v>0.00312764565589152</v>
      </c>
      <c r="BQ58" s="57" t="n">
        <f aca="false">(1-EXP(-r_minor*rr_asa_minor*dt))</f>
        <v>0.0278181950466747</v>
      </c>
      <c r="BR58" s="57" t="n">
        <f aca="false">BK58*BL58</f>
        <v>0.000267775870682394</v>
      </c>
      <c r="BS58" s="57" t="n">
        <f aca="false">BK58*BM58</f>
        <v>1.13960397808191E-005</v>
      </c>
      <c r="BT58" s="57" t="n">
        <f aca="false">BK58*BN58</f>
        <v>0.000105970080505729</v>
      </c>
      <c r="BU58" s="57" t="n">
        <f aca="false">BK58*BO58</f>
        <v>2.37604724565727E-005</v>
      </c>
      <c r="BV58" s="57" t="n">
        <f aca="false">BK58*BP58</f>
        <v>3.48217581138175E-005</v>
      </c>
      <c r="BW58" s="57" t="n">
        <f aca="false">BK58*BQ58</f>
        <v>0.000309714899209766</v>
      </c>
      <c r="BX58" s="57" t="n">
        <f aca="false">BR58*f_stroke_fatal_recur</f>
        <v>9.96367237222119E-005</v>
      </c>
      <c r="BY58" s="57" t="n">
        <f aca="false">BR58*(1-f_stroke_fatal_recur)*f_stroke_major</f>
        <v>5.59903359377405E-005</v>
      </c>
      <c r="BZ58" s="57" t="n">
        <f aca="false">BR58*(1-f_stroke_fatal_recur)*(1-f_stroke_major)</f>
        <v>0.000112148811022441</v>
      </c>
      <c r="CA58" s="57" t="n">
        <f aca="false">BS58*(1-f_bleed_fatal)</f>
        <v>1.04387724392303E-005</v>
      </c>
      <c r="CB58" s="57" t="n">
        <f aca="false">BT58*(1-f_bleed_fatal)</f>
        <v>9.70685937432474E-005</v>
      </c>
      <c r="CC58" s="57" t="n">
        <f aca="false">BU58*f_mi_fatal</f>
        <v>2.87501716724529E-006</v>
      </c>
      <c r="CD58" s="57" t="n">
        <f aca="false">BU58-CC58</f>
        <v>2.08854552893274E-005</v>
      </c>
      <c r="CE58" s="57" t="n">
        <f aca="false">BK58-BR58-BS58-BT58-CC58</f>
        <v>0.0107455198259435</v>
      </c>
      <c r="CF58" s="19" t="n">
        <f aca="false">BX58*c_stroke_fatal+BY58*c_stroke_major+BZ58*c_stroke_minor+BS58*c_ich+BT58*c_major_bleed+CC58*c_mi_fatal+CD58*c_mi_nonfatal+BV58*c_tia+BW58*c_minor_bleed</f>
        <v>10.7319893191126</v>
      </c>
      <c r="CG58" s="57" t="n">
        <f aca="false">dt*(CD58*dec_mi+CB58*dec_major_bleed+BW58*dec_minor_bleed+BV58*dec_tia)</f>
        <v>4.78848182774871E-006</v>
      </c>
      <c r="CH58" s="57" t="n">
        <f aca="false">I58*BJ58+BX58+BS58-CA58+BT58-CB58+CC58</f>
        <v>0.00102945429849476</v>
      </c>
      <c r="CI58" s="57" t="n">
        <f aca="false">1-EXP(LN(1-E58)*dt)</f>
        <v>0.033829444439164</v>
      </c>
      <c r="CJ58" s="57" t="n">
        <f aca="false">J58*(1-CI58)</f>
        <v>0.0695821018172278</v>
      </c>
      <c r="CK58" s="57" t="n">
        <f aca="false">(1-EXP(-r_stroke*F58*rr_asa_stroke*dt))</f>
        <v>0.0110050151894427</v>
      </c>
      <c r="CL58" s="57" t="n">
        <f aca="false">(1-EXP(-r_ich*rr_asa_ich*dt))</f>
        <v>0.00102357767802375</v>
      </c>
      <c r="CM58" s="57" t="n">
        <f aca="false">(1-EXP(-r_mb*rr_asa_mb*dt))</f>
        <v>0.00951809672747972</v>
      </c>
      <c r="CN58" s="57" t="n">
        <f aca="false">(1-EXP(-r_mi*rr_asa_mi*dt))</f>
        <v>0.00213413516393479</v>
      </c>
      <c r="CO58" s="57" t="n">
        <f aca="false">(1-EXP(-r_tia*rr_asa_tia*dt))</f>
        <v>0.00312764565589152</v>
      </c>
      <c r="CP58" s="57" t="n">
        <f aca="false">(1-EXP(-r_minor*rr_asa_minor*dt))</f>
        <v>0.0278181950466747</v>
      </c>
      <c r="CQ58" s="57" t="n">
        <f aca="false">CJ58*CK58</f>
        <v>0.000765752087411944</v>
      </c>
      <c r="CR58" s="57" t="n">
        <f aca="false">CJ58*CL58</f>
        <v>7.12226862100899E-005</v>
      </c>
      <c r="CS58" s="57" t="n">
        <f aca="false">CJ58*CM58</f>
        <v>0.000662289175597716</v>
      </c>
      <c r="CT58" s="57" t="n">
        <f aca="false">CJ58*CN58</f>
        <v>0.000148497610268637</v>
      </c>
      <c r="CU58" s="57" t="n">
        <f aca="false">CJ58*CO58</f>
        <v>0.000217628158476454</v>
      </c>
      <c r="CV58" s="57" t="n">
        <f aca="false">CJ58*CP58</f>
        <v>0.00193564848010922</v>
      </c>
      <c r="CW58" s="57" t="n">
        <f aca="false">CQ58*f_stroke_fatal</f>
        <v>0.000181483244716631</v>
      </c>
      <c r="CX58" s="57" t="n">
        <f aca="false">CQ58*(1-f_stroke_fatal)*f_stroke_major</f>
        <v>0.000194561524617539</v>
      </c>
      <c r="CY58" s="57" t="n">
        <f aca="false">CQ58*(1-f_stroke_fatal)*(1-f_stroke_major)</f>
        <v>0.000389707318077774</v>
      </c>
      <c r="CZ58" s="57" t="n">
        <f aca="false">CR58*(1-f_bleed_fatal)</f>
        <v>6.52399805684424E-005</v>
      </c>
      <c r="DA58" s="57" t="n">
        <f aca="false">CS58*(1-f_bleed_fatal)</f>
        <v>0.000606656884847508</v>
      </c>
      <c r="DB58" s="57" t="n">
        <f aca="false">CT58*f_mi_fatal</f>
        <v>1.79682108425051E-005</v>
      </c>
      <c r="DC58" s="57" t="n">
        <f aca="false">CT58-DB58</f>
        <v>0.000130529399426132</v>
      </c>
      <c r="DD58" s="57" t="n">
        <f aca="false">CJ58-CQ58-CR58-CS58-DB58</f>
        <v>0.0680648696571655</v>
      </c>
      <c r="DE58" s="19" t="n">
        <f aca="false">CW58*c_stroke_fatal+CX58*c_stroke_major+CY58*c_stroke_minor+CR58*c_ich+CS58*c_major_bleed+DB58*c_mi_fatal+DC58*c_mi_nonfatal+CU58*c_tia+CV58*c_minor_bleed</f>
        <v>37.6625299042247</v>
      </c>
      <c r="DF58" s="57" t="n">
        <f aca="false">dt*(DC58*dec_mi+DA58*dec_major_bleed+CV58*dec_minor_bleed+CU58*dec_tia)</f>
        <v>2.9926934724683E-005</v>
      </c>
      <c r="DG58" s="57" t="n">
        <f aca="false">J58*CI58+CW58+CR58-CZ58+CS58-DA58+DB58</f>
        <v>0.00269741046371791</v>
      </c>
      <c r="DH58" s="57" t="n">
        <f aca="false">AG58</f>
        <v>0.208002169108707</v>
      </c>
      <c r="DI58" s="57" t="n">
        <f aca="false">AB58+AC58+BF58+BA58+BB58+BC58+CY58+CZ58</f>
        <v>0.023458783607505</v>
      </c>
      <c r="DJ58" s="57" t="n">
        <f aca="false">AA58+AZ58+BY58+CX58+CE58+BZ58+CA58+CB58</f>
        <v>0.0116178110020805</v>
      </c>
      <c r="DK58" s="57" t="n">
        <f aca="false">AD58+DD58+DA58</f>
        <v>0.0699639332306548</v>
      </c>
      <c r="DL58" s="57" t="n">
        <f aca="false">K58+AJ58+BI58+CH58+DG58</f>
        <v>0.686957303051052</v>
      </c>
      <c r="DM58" s="58" t="n">
        <f aca="false">SUM(DH58:DL58)</f>
        <v>1</v>
      </c>
      <c r="DN58" s="19" t="n">
        <f aca="false">dt*(G58*Apixaban!$H$2+(H58+I58+J58)*c_aspirin)</f>
        <v>17.3290212630272</v>
      </c>
      <c r="DO58" s="19" t="n">
        <f aca="false">dt*(H58*c_lt_minor_stroke+I58*c_lt_major_stroke)</f>
        <v>144.817163109653</v>
      </c>
      <c r="DP58" s="19" t="n">
        <f aca="false">AH58+BG58+CF58+DE58</f>
        <v>132.603106992645</v>
      </c>
      <c r="DQ58" s="19" t="n">
        <f aca="false">DN58+DO58+DP58</f>
        <v>294.749291365325</v>
      </c>
      <c r="DR58" s="57" t="n">
        <f aca="false">dt*(G58*(u_af-dec_per_year_over_70*MAX(B58-ref_age,0))+H58*(u_minor_stroke-dec_per_year_over_70*MAX(B58-ref_age,0))+I58*(u_major_stroke-dec_per_year_over_70*MAX(B58-ref_age,0))+J58*(u_af-dec_per_year_over_70*MAX(B58-ref_age,0)))-AI58-BH58-CG58-DF58</f>
        <v>0.0639159343603429</v>
      </c>
      <c r="DS58" s="57" t="n">
        <f aca="false">dt*(G58+H58+I58+J58)</f>
        <v>0.0816688678993987</v>
      </c>
      <c r="DT58" s="19" t="n">
        <f aca="false">DQ58*C58</f>
        <v>242.881379222206</v>
      </c>
      <c r="DU58" s="19" t="n">
        <f aca="false">DN58*C58</f>
        <v>14.2795816927624</v>
      </c>
      <c r="DV58" s="19" t="n">
        <f aca="false">DP58*C58</f>
        <v>109.268542653101</v>
      </c>
      <c r="DW58" s="19" t="n">
        <f aca="false">DO58*C58</f>
        <v>119.333254876343</v>
      </c>
      <c r="DX58" s="57" t="n">
        <f aca="false">DR58*C58</f>
        <v>0.0526684567070764</v>
      </c>
      <c r="DY58" s="57" t="n">
        <f aca="false">DS58*C58</f>
        <v>0.0672973535679742</v>
      </c>
      <c r="DZ58" s="57" t="n">
        <f aca="false">T58+AS58+BR58+CQ58</f>
        <v>0.00271229992601951</v>
      </c>
      <c r="EA58" s="57" t="n">
        <f aca="false">U58+AT58+BS58+CR58</f>
        <v>0.00028353546184624</v>
      </c>
      <c r="EB58" s="57" t="n">
        <f aca="false">V58+AU58+BT58+CS58</f>
        <v>0.00239434163682417</v>
      </c>
      <c r="EC58" s="57" t="n">
        <f aca="false">G58*dt*C58</f>
        <v>0.0449381557055935</v>
      </c>
    </row>
    <row r="59" customFormat="false" ht="15" hidden="false" customHeight="false" outlineLevel="0" collapsed="false">
      <c r="A59" s="8" t="n">
        <v>53</v>
      </c>
      <c r="B59" s="54" t="n">
        <f aca="false">start_age+A59*dt</f>
        <v>83.25</v>
      </c>
      <c r="C59" s="16" t="n">
        <f aca="false">(1+disc_rate)^-(A59*dt)</f>
        <v>0.820965563046</v>
      </c>
      <c r="D59" s="55" t="n">
        <f aca="false">IF(A59*dt&gt;=wane_start,(1-wane_decay)^(A59*dt-wane_start),1)</f>
        <v>1</v>
      </c>
      <c r="E59" s="25" t="n">
        <f aca="false">MIN(p_nonvasc_death*MIN(EXP(gomp_int+gomp_slope*INT(B59)),1)/qx_ref,0.999)</f>
        <v>0.128604742069064</v>
      </c>
      <c r="F59" s="55" t="n">
        <f aca="false">rr_stroke_per_decade^((B59-ref_age)/10)</f>
        <v>1.71127938348053</v>
      </c>
      <c r="G59" s="57" t="n">
        <f aca="false">DH58</f>
        <v>0.208002169108707</v>
      </c>
      <c r="H59" s="57" t="n">
        <f aca="false">DI58</f>
        <v>0.023458783607505</v>
      </c>
      <c r="I59" s="57" t="n">
        <f aca="false">DJ58</f>
        <v>0.0116178110020805</v>
      </c>
      <c r="J59" s="57" t="n">
        <f aca="false">DK58</f>
        <v>0.0699639332306548</v>
      </c>
      <c r="K59" s="57" t="n">
        <f aca="false">DL58</f>
        <v>0.686957303051052</v>
      </c>
      <c r="L59" s="57" t="n">
        <f aca="false">1-EXP(LN(1-E59)*dt)</f>
        <v>0.033829444439164</v>
      </c>
      <c r="M59" s="57" t="n">
        <f aca="false">G59*(1-L59)</f>
        <v>0.200965571285619</v>
      </c>
      <c r="N59" s="57" t="n">
        <f aca="false">IF(Apixaban!$B$2=1,EXP(LN(or_apx_stroke)*D59)*(1-EXP(-r_stroke*F59*dt))/(1-(1-EXP(-r_stroke*F59*dt))+EXP(LN(or_apx_stroke)*D59)*(1-EXP(-r_stroke*F59*dt))),(1-EXP(-r_stroke*F59*dt)))</f>
        <v>0.00544046236187645</v>
      </c>
      <c r="O59" s="57" t="n">
        <f aca="false">IF(Apixaban!$B$2=1,EXP(LN(or_apx_ich)*D59)*(1-EXP(-r_ich*dt))/(1-(1-EXP(-r_ich*dt))+EXP(LN(or_apx_ich)*D59)*(1-EXP(-r_ich*dt))),(1-EXP(-r_ich*dt)))</f>
        <v>0.000843513249640701</v>
      </c>
      <c r="P59" s="57" t="n">
        <f aca="false">IF(Apixaban!$B$2=1,EXP(LN(or_apx_mb)*D59)*(1-EXP(-r_mb*dt))/(1-(1-EXP(-r_mb*dt))+EXP(LN(or_apx_mb)*D59)*(1-EXP(-r_mb*dt))),(1-EXP(-r_mb*dt)))</f>
        <v>0.00669446907979895</v>
      </c>
      <c r="Q59" s="57" t="n">
        <f aca="false">IF(Apixaban!$B$2=1,EXP(LN(or_apx_mi)*D59)*(1-EXP(-r_mi*dt))/(1-(1-EXP(-r_mi*dt))+EXP(LN(or_apx_mi)*D59)*(1-EXP(-r_mi*dt))),(1-EXP(-r_mi*dt)))</f>
        <v>0.00132321915530843</v>
      </c>
      <c r="R59" s="57" t="n">
        <f aca="false">(1-EXP(-r_tia*dt))</f>
        <v>0.0020060281549299</v>
      </c>
      <c r="S59" s="57" t="n">
        <f aca="false">(1-EXP(-r_minor*dt))</f>
        <v>0.0437937690785545</v>
      </c>
      <c r="T59" s="57" t="n">
        <f aca="false">M59*N59</f>
        <v>0.00109334562661241</v>
      </c>
      <c r="U59" s="57" t="n">
        <f aca="false">M59*O59</f>
        <v>0.000169517122101032</v>
      </c>
      <c r="V59" s="57" t="n">
        <f aca="false">M59*P59</f>
        <v>0.00134535780307571</v>
      </c>
      <c r="W59" s="57" t="n">
        <f aca="false">M59*Q59</f>
        <v>0.000265921493482632</v>
      </c>
      <c r="X59" s="57" t="n">
        <f aca="false">M59*R59</f>
        <v>0.000403142594170522</v>
      </c>
      <c r="Y59" s="57" t="n">
        <f aca="false">M59*S59</f>
        <v>0.00880103982162216</v>
      </c>
      <c r="Z59" s="57" t="n">
        <f aca="false">T59*f_stroke_fatal</f>
        <v>0.00025912291350714</v>
      </c>
      <c r="AA59" s="57" t="n">
        <f aca="false">T59*(1-f_stroke_fatal)*f_stroke_major</f>
        <v>0.000277796163464054</v>
      </c>
      <c r="AB59" s="57" t="n">
        <f aca="false">T59*(1-f_stroke_fatal)*(1-f_stroke_major)</f>
        <v>0.000556426549641213</v>
      </c>
      <c r="AC59" s="57" t="n">
        <f aca="false">U59*(1-f_bleed_fatal)</f>
        <v>0.000155277683844545</v>
      </c>
      <c r="AD59" s="57" t="n">
        <f aca="false">V59*(1-f_bleed_fatal)</f>
        <v>0.00123234774761735</v>
      </c>
      <c r="AE59" s="57" t="n">
        <f aca="false">W59*f_mi_fatal</f>
        <v>3.21765007113985E-005</v>
      </c>
      <c r="AF59" s="57" t="n">
        <f aca="false">W59-AE59</f>
        <v>0.000233744992771234</v>
      </c>
      <c r="AG59" s="57" t="n">
        <f aca="false">M59-T59-U59-V59-AE59</f>
        <v>0.198325174233118</v>
      </c>
      <c r="AH59" s="19" t="n">
        <f aca="false">Z59*c_stroke_fatal+AA59*c_stroke_major+AB59*c_stroke_minor+U59*c_ich+V59*c_major_bleed+AE59*c_mi_fatal+AF59*c_mi_nonfatal+X59*c_tia+Y59*c_minor_bleed</f>
        <v>59.9246923791466</v>
      </c>
      <c r="AI59" s="57" t="n">
        <f aca="false">dt*(AF59*dec_mi+AD59*dec_major_bleed+Y59*dec_minor_bleed+X59*dec_tia)</f>
        <v>7.4632830439463E-005</v>
      </c>
      <c r="AJ59" s="57" t="n">
        <f aca="false">G59*L59+Z59+U59-AC59+V59-AD59+AE59</f>
        <v>0.00745514673102199</v>
      </c>
      <c r="AK59" s="57" t="n">
        <f aca="false">1-EXP(LN(1-E59)*hr_death_prior_stroke*dt)</f>
        <v>0.0761026200294805</v>
      </c>
      <c r="AL59" s="57" t="n">
        <f aca="false">H59*(1-AK59)</f>
        <v>0.0216735087122693</v>
      </c>
      <c r="AM59" s="57" t="n">
        <f aca="false">(1-EXP(-r_stroke*F59*rr_stroke_prior*rr_asa_stroke*dt))</f>
        <v>0.0242933233706392</v>
      </c>
      <c r="AN59" s="57" t="n">
        <f aca="false">(1-EXP(-r_ich*rr_asa_ich*dt))</f>
        <v>0.00102357767802375</v>
      </c>
      <c r="AO59" s="57" t="n">
        <f aca="false">(1-EXP(-r_mb*rr_asa_mb*dt))</f>
        <v>0.00951809672747972</v>
      </c>
      <c r="AP59" s="57" t="n">
        <f aca="false">(1-EXP(-r_mi*rr_asa_mi*dt))</f>
        <v>0.00213413516393479</v>
      </c>
      <c r="AQ59" s="57" t="n">
        <f aca="false">(1-EXP(-r_tia*rr_asa_tia*dt))</f>
        <v>0.00312764565589152</v>
      </c>
      <c r="AR59" s="57" t="n">
        <f aca="false">(1-EXP(-r_minor*rr_asa_minor*dt))</f>
        <v>0.0278181950466747</v>
      </c>
      <c r="AS59" s="57" t="n">
        <f aca="false">AL59*AM59</f>
        <v>0.000526521555723522</v>
      </c>
      <c r="AT59" s="57" t="n">
        <f aca="false">AL59*AN59</f>
        <v>2.2184519722332E-005</v>
      </c>
      <c r="AU59" s="57" t="n">
        <f aca="false">AL59*AO59</f>
        <v>0.000206290552347253</v>
      </c>
      <c r="AV59" s="57" t="n">
        <f aca="false">AL59*AP59</f>
        <v>4.62541970687009E-005</v>
      </c>
      <c r="AW59" s="57" t="n">
        <f aca="false">AL59*AQ59</f>
        <v>6.77870553718559E-005</v>
      </c>
      <c r="AX59" s="57" t="n">
        <f aca="false">AL59*AR59</f>
        <v>0.00060291789270371</v>
      </c>
      <c r="AY59" s="57" t="n">
        <f aca="false">AS59*f_stroke_fatal_recur</f>
        <v>0.000195913405669165</v>
      </c>
      <c r="AZ59" s="57" t="n">
        <f aca="false">AS59*(1-f_stroke_fatal_recur)*f_stroke_major</f>
        <v>0.000110092513968101</v>
      </c>
      <c r="BA59" s="57" t="n">
        <f aca="false">AS59*(1-f_stroke_fatal_recur)*(1-f_stroke_major)</f>
        <v>0.000220515636086256</v>
      </c>
      <c r="BB59" s="57" t="n">
        <f aca="false">AT59*(1-f_bleed_fatal)</f>
        <v>2.03210200656561E-005</v>
      </c>
      <c r="BC59" s="57" t="n">
        <f aca="false">AU59*(1-f_bleed_fatal)</f>
        <v>0.000188962145950084</v>
      </c>
      <c r="BD59" s="57" t="n">
        <f aca="false">AV59*f_mi_fatal</f>
        <v>5.59675784531281E-006</v>
      </c>
      <c r="BE59" s="57" t="n">
        <f aca="false">AV59-BD59</f>
        <v>4.06574392233881E-005</v>
      </c>
      <c r="BF59" s="57" t="n">
        <f aca="false">AL59-AS59-AT59-AU59-BD59</f>
        <v>0.0209129153266308</v>
      </c>
      <c r="BG59" s="19" t="n">
        <f aca="false">AY59*c_stroke_fatal+AZ59*c_stroke_major+BA59*c_stroke_minor+AT59*c_ich+AU59*c_major_bleed+BD59*c_mi_fatal+BE59*c_mi_nonfatal+AW59*c_tia+AX59*c_minor_bleed</f>
        <v>21.0726943173778</v>
      </c>
      <c r="BH59" s="57" t="n">
        <f aca="false">dt*(BE59*dec_mi+BC59*dec_major_bleed+AX59*dec_minor_bleed+AW59*dec_tia)</f>
        <v>9.32167415969515E-006</v>
      </c>
      <c r="BI59" s="57" t="n">
        <f aca="false">H59*AK59+AY59+AT59-BB59+AU59-BC59+BD59</f>
        <v>0.00200597696480408</v>
      </c>
      <c r="BJ59" s="57" t="n">
        <f aca="false">1-EXP(LN(1-E59)*hr_death_prior_stroke*dt)</f>
        <v>0.0761026200294805</v>
      </c>
      <c r="BK59" s="57" t="n">
        <f aca="false">I59*(1-BJ59)</f>
        <v>0.0107336651458148</v>
      </c>
      <c r="BL59" s="57" t="n">
        <f aca="false">(1-EXP(-r_stroke*F59*rr_stroke_prior*rr_asa_stroke*dt))</f>
        <v>0.0242933233706392</v>
      </c>
      <c r="BM59" s="57" t="n">
        <f aca="false">(1-EXP(-r_ich*rr_asa_ich*dt))</f>
        <v>0.00102357767802375</v>
      </c>
      <c r="BN59" s="57" t="n">
        <f aca="false">(1-EXP(-r_mb*rr_asa_mb*dt))</f>
        <v>0.00951809672747972</v>
      </c>
      <c r="BO59" s="57" t="n">
        <f aca="false">(1-EXP(-r_mi*rr_asa_mi*dt))</f>
        <v>0.00213413516393479</v>
      </c>
      <c r="BP59" s="57" t="n">
        <f aca="false">(1-EXP(-r_tia*rr_asa_tia*dt))</f>
        <v>0.00312764565589152</v>
      </c>
      <c r="BQ59" s="57" t="n">
        <f aca="false">(1-EXP(-r_minor*rr_asa_minor*dt))</f>
        <v>0.0278181950466747</v>
      </c>
      <c r="BR59" s="57" t="n">
        <f aca="false">BK59*BL59</f>
        <v>0.000260756398339439</v>
      </c>
      <c r="BS59" s="57" t="n">
        <f aca="false">BK59*BM59</f>
        <v>1.09867400466376E-005</v>
      </c>
      <c r="BT59" s="57" t="n">
        <f aca="false">BK59*BN59</f>
        <v>0.000102164063098243</v>
      </c>
      <c r="BU59" s="57" t="n">
        <f aca="false">BK59*BO59</f>
        <v>2.29070922255847E-005</v>
      </c>
      <c r="BV59" s="57" t="n">
        <f aca="false">BK59*BP59</f>
        <v>3.3571101165102E-005</v>
      </c>
      <c r="BW59" s="57" t="n">
        <f aca="false">BK59*BQ59</f>
        <v>0.000298591190591971</v>
      </c>
      <c r="BX59" s="57" t="n">
        <f aca="false">BR59*f_stroke_fatal_recur</f>
        <v>9.70248482581217E-005</v>
      </c>
      <c r="BY59" s="57" t="n">
        <f aca="false">BR59*(1-f_stroke_fatal_recur)*f_stroke_major</f>
        <v>5.45226061770785E-005</v>
      </c>
      <c r="BZ59" s="57" t="n">
        <f aca="false">BR59*(1-f_stroke_fatal_recur)*(1-f_stroke_major)</f>
        <v>0.000109208943904238</v>
      </c>
      <c r="CA59" s="57" t="n">
        <f aca="false">BS59*(1-f_bleed_fatal)</f>
        <v>1.006385388272E-005</v>
      </c>
      <c r="CB59" s="57" t="n">
        <f aca="false">BT59*(1-f_bleed_fatal)</f>
        <v>9.35822817979909E-005</v>
      </c>
      <c r="CC59" s="57" t="n">
        <f aca="false">BU59*f_mi_fatal</f>
        <v>2.77175815929575E-006</v>
      </c>
      <c r="CD59" s="57" t="n">
        <f aca="false">BU59-CC59</f>
        <v>2.0135334066289E-005</v>
      </c>
      <c r="CE59" s="57" t="n">
        <f aca="false">BK59-BR59-BS59-BT59-CC59</f>
        <v>0.0103569861861712</v>
      </c>
      <c r="CF59" s="19" t="n">
        <f aca="false">BX59*c_stroke_fatal+BY59*c_stroke_major+BZ59*c_stroke_minor+BS59*c_ich+BT59*c_major_bleed+CC59*c_mi_fatal+CD59*c_mi_nonfatal+BV59*c_tia+BW59*c_minor_bleed</f>
        <v>10.4361156989226</v>
      </c>
      <c r="CG59" s="57" t="n">
        <f aca="false">dt*(CD59*dec_mi+CB59*dec_major_bleed+BW59*dec_minor_bleed+BV59*dec_tia)</f>
        <v>4.6164988953506E-006</v>
      </c>
      <c r="CH59" s="57" t="n">
        <f aca="false">I59*BJ59+BX59+BS59-CA59+BT59-CB59+CC59</f>
        <v>0.000993447130147237</v>
      </c>
      <c r="CI59" s="57" t="n">
        <f aca="false">1-EXP(LN(1-E59)*dt)</f>
        <v>0.033829444439164</v>
      </c>
      <c r="CJ59" s="57" t="n">
        <f aca="false">J59*(1-CI59)</f>
        <v>0.0675970922386829</v>
      </c>
      <c r="CK59" s="57" t="n">
        <f aca="false">(1-EXP(-r_stroke*F59*rr_asa_stroke*dt))</f>
        <v>0.0111165107280075</v>
      </c>
      <c r="CL59" s="57" t="n">
        <f aca="false">(1-EXP(-r_ich*rr_asa_ich*dt))</f>
        <v>0.00102357767802375</v>
      </c>
      <c r="CM59" s="57" t="n">
        <f aca="false">(1-EXP(-r_mb*rr_asa_mb*dt))</f>
        <v>0.00951809672747972</v>
      </c>
      <c r="CN59" s="57" t="n">
        <f aca="false">(1-EXP(-r_mi*rr_asa_mi*dt))</f>
        <v>0.00213413516393479</v>
      </c>
      <c r="CO59" s="57" t="n">
        <f aca="false">(1-EXP(-r_tia*rr_asa_tia*dt))</f>
        <v>0.00312764565589152</v>
      </c>
      <c r="CP59" s="57" t="n">
        <f aca="false">(1-EXP(-r_minor*rr_asa_minor*dt))</f>
        <v>0.0278181950466747</v>
      </c>
      <c r="CQ59" s="57" t="n">
        <f aca="false">CJ59*CK59</f>
        <v>0.000751443801053428</v>
      </c>
      <c r="CR59" s="57" t="n">
        <f aca="false">CJ59*CL59</f>
        <v>6.91908747148281E-005</v>
      </c>
      <c r="CS59" s="57" t="n">
        <f aca="false">CJ59*CM59</f>
        <v>0.000643395662424153</v>
      </c>
      <c r="CT59" s="57" t="n">
        <f aca="false">CJ59*CN59</f>
        <v>0.000144261331526317</v>
      </c>
      <c r="CU59" s="57" t="n">
        <f aca="false">CJ59*CO59</f>
        <v>0.000211419751891215</v>
      </c>
      <c r="CV59" s="57" t="n">
        <f aca="false">CJ59*CP59</f>
        <v>0.00188042909648374</v>
      </c>
      <c r="CW59" s="57" t="n">
        <f aca="false">CQ59*f_stroke_fatal</f>
        <v>0.000178092180849663</v>
      </c>
      <c r="CX59" s="57" t="n">
        <f aca="false">CQ59*(1-f_stroke_fatal)*f_stroke_major</f>
        <v>0.000190926089527854</v>
      </c>
      <c r="CY59" s="57" t="n">
        <f aca="false">CQ59*(1-f_stroke_fatal)*(1-f_stroke_major)</f>
        <v>0.000382425530675912</v>
      </c>
      <c r="CZ59" s="57" t="n">
        <f aca="false">CR59*(1-f_bleed_fatal)</f>
        <v>6.33788412387825E-005</v>
      </c>
      <c r="DA59" s="57" t="n">
        <f aca="false">CS59*(1-f_bleed_fatal)</f>
        <v>0.000589350426780524</v>
      </c>
      <c r="DB59" s="57" t="n">
        <f aca="false">CT59*f_mi_fatal</f>
        <v>1.74556211146843E-005</v>
      </c>
      <c r="DC59" s="57" t="n">
        <f aca="false">CT59-DB59</f>
        <v>0.000126805710411633</v>
      </c>
      <c r="DD59" s="57" t="n">
        <f aca="false">CJ59-CQ59-CR59-CS59-DB59</f>
        <v>0.0661156062793759</v>
      </c>
      <c r="DE59" s="19" t="n">
        <f aca="false">CW59*c_stroke_fatal+CX59*c_stroke_major+CY59*c_stroke_minor+CR59*c_ich+CS59*c_major_bleed+DB59*c_mi_fatal+DC59*c_mi_nonfatal+CU59*c_tia+CV59*c_minor_bleed</f>
        <v>36.8665746943421</v>
      </c>
      <c r="DF59" s="57" t="n">
        <f aca="false">dt*(DC59*dec_mi+DA59*dec_major_bleed+CV59*dec_minor_bleed+CU59*dec_tia)</f>
        <v>2.90731914410865E-005</v>
      </c>
      <c r="DG59" s="57" t="n">
        <f aca="false">J59*CI59+CW59+CR59-CZ59+CS59-DA59+DB59</f>
        <v>0.00262224606305584</v>
      </c>
      <c r="DH59" s="57" t="n">
        <f aca="false">AG59</f>
        <v>0.198325174233118</v>
      </c>
      <c r="DI59" s="57" t="n">
        <f aca="false">AB59+AC59+BF59+BA59+BB59+BC59+CY59+CZ59</f>
        <v>0.0225002227341333</v>
      </c>
      <c r="DJ59" s="57" t="n">
        <f aca="false">AA59+AZ59+BY59+CX59+CE59+BZ59+CA59+CB59</f>
        <v>0.0112031786388933</v>
      </c>
      <c r="DK59" s="57" t="n">
        <f aca="false">AD59+DD59+DA59</f>
        <v>0.0679373044537737</v>
      </c>
      <c r="DL59" s="57" t="n">
        <f aca="false">K59+AJ59+BI59+CH59+DG59</f>
        <v>0.700034119940082</v>
      </c>
      <c r="DM59" s="58" t="n">
        <f aca="false">SUM(DH59:DL59)</f>
        <v>1</v>
      </c>
      <c r="DN59" s="19" t="n">
        <f aca="false">dt*(G59*Apixaban!$H$2+(H59+I59+J59)*c_aspirin)</f>
        <v>16.538839732633</v>
      </c>
      <c r="DO59" s="19" t="n">
        <f aca="false">dt*(H59*c_lt_minor_stroke+I59*c_lt_major_stroke)</f>
        <v>139.265495058991</v>
      </c>
      <c r="DP59" s="19" t="n">
        <f aca="false">AH59+BG59+CF59+DE59</f>
        <v>128.300077089789</v>
      </c>
      <c r="DQ59" s="19" t="n">
        <f aca="false">DN59+DO59+DP59</f>
        <v>284.104411881413</v>
      </c>
      <c r="DR59" s="57" t="n">
        <f aca="false">dt*(G59*(u_af-dec_per_year_over_70*MAX(B59-ref_age,0))+H59*(u_minor_stroke-dec_per_year_over_70*MAX(B59-ref_age,0))+I59*(u_major_stroke-dec_per_year_over_70*MAX(B59-ref_age,0))+J59*(u_af-dec_per_year_over_70*MAX(B59-ref_age,0)))-AI59-BH59-CG59-DF59</f>
        <v>0.0612343177992588</v>
      </c>
      <c r="DS59" s="57" t="n">
        <f aca="false">dt*(G59+H59+I59+J59)</f>
        <v>0.0782606742372369</v>
      </c>
      <c r="DT59" s="19" t="n">
        <f aca="false">DQ59*C59</f>
        <v>233.239938464077</v>
      </c>
      <c r="DU59" s="19" t="n">
        <f aca="false">DN59*C59</f>
        <v>13.5778178732286</v>
      </c>
      <c r="DV59" s="19" t="n">
        <f aca="false">DP59*C59</f>
        <v>105.329945026864</v>
      </c>
      <c r="DW59" s="19" t="n">
        <f aca="false">DO59*C59</f>
        <v>114.332175563984</v>
      </c>
      <c r="DX59" s="57" t="n">
        <f aca="false">DR59*C59</f>
        <v>0.0502712661898062</v>
      </c>
      <c r="DY59" s="57" t="n">
        <f aca="false">DS59*C59</f>
        <v>0.0642493184895328</v>
      </c>
      <c r="DZ59" s="57" t="n">
        <f aca="false">T59+AS59+BR59+CQ59</f>
        <v>0.0026320673817288</v>
      </c>
      <c r="EA59" s="57" t="n">
        <f aca="false">U59+AT59+BS59+CR59</f>
        <v>0.00027187925658483</v>
      </c>
      <c r="EB59" s="57" t="n">
        <f aca="false">V59+AU59+BT59+CS59</f>
        <v>0.00229720808094536</v>
      </c>
      <c r="EC59" s="57" t="n">
        <f aca="false">G59*dt*C59</f>
        <v>0.0426906544692798</v>
      </c>
    </row>
    <row r="60" customFormat="false" ht="15" hidden="false" customHeight="false" outlineLevel="0" collapsed="false">
      <c r="A60" s="8" t="n">
        <v>54</v>
      </c>
      <c r="B60" s="54" t="n">
        <f aca="false">start_age+A60*dt</f>
        <v>83.5</v>
      </c>
      <c r="C60" s="16" t="n">
        <f aca="false">(1+disc_rate)^-(A60*dt)</f>
        <v>0.817915483464319</v>
      </c>
      <c r="D60" s="55" t="n">
        <f aca="false">IF(A60*dt&gt;=wane_start,(1-wane_decay)^(A60*dt-wane_start),1)</f>
        <v>1</v>
      </c>
      <c r="E60" s="25" t="n">
        <f aca="false">MIN(p_nonvasc_death*MIN(EXP(gomp_int+gomp_slope*INT(B60)),1)/qx_ref,0.999)</f>
        <v>0.128604742069064</v>
      </c>
      <c r="F60" s="55" t="n">
        <f aca="false">rr_stroke_per_decade^((B60-ref_age)/10)</f>
        <v>1.72871420132783</v>
      </c>
      <c r="G60" s="57" t="n">
        <f aca="false">DH59</f>
        <v>0.198325174233118</v>
      </c>
      <c r="H60" s="57" t="n">
        <f aca="false">DI59</f>
        <v>0.0225002227341333</v>
      </c>
      <c r="I60" s="57" t="n">
        <f aca="false">DJ59</f>
        <v>0.0112031786388933</v>
      </c>
      <c r="J60" s="57" t="n">
        <f aca="false">DK59</f>
        <v>0.0679373044537737</v>
      </c>
      <c r="K60" s="57" t="n">
        <f aca="false">DL59</f>
        <v>0.700034119940082</v>
      </c>
      <c r="L60" s="57" t="n">
        <f aca="false">1-EXP(LN(1-E60)*dt)</f>
        <v>0.033829444439164</v>
      </c>
      <c r="M60" s="57" t="n">
        <f aca="false">G60*(1-L60)</f>
        <v>0.191615943770511</v>
      </c>
      <c r="N60" s="57" t="n">
        <f aca="false">IF(Apixaban!$B$2=1,EXP(LN(or_apx_stroke)*D60)*(1-EXP(-r_stroke*F60*dt))/(1-(1-EXP(-r_stroke*F60*dt))+EXP(LN(or_apx_stroke)*D60)*(1-EXP(-r_stroke*F60*dt))),(1-EXP(-r_stroke*F60*dt)))</f>
        <v>0.00549577848820404</v>
      </c>
      <c r="O60" s="57" t="n">
        <f aca="false">IF(Apixaban!$B$2=1,EXP(LN(or_apx_ich)*D60)*(1-EXP(-r_ich*dt))/(1-(1-EXP(-r_ich*dt))+EXP(LN(or_apx_ich)*D60)*(1-EXP(-r_ich*dt))),(1-EXP(-r_ich*dt)))</f>
        <v>0.000843513249640701</v>
      </c>
      <c r="P60" s="57" t="n">
        <f aca="false">IF(Apixaban!$B$2=1,EXP(LN(or_apx_mb)*D60)*(1-EXP(-r_mb*dt))/(1-(1-EXP(-r_mb*dt))+EXP(LN(or_apx_mb)*D60)*(1-EXP(-r_mb*dt))),(1-EXP(-r_mb*dt)))</f>
        <v>0.00669446907979895</v>
      </c>
      <c r="Q60" s="57" t="n">
        <f aca="false">IF(Apixaban!$B$2=1,EXP(LN(or_apx_mi)*D60)*(1-EXP(-r_mi*dt))/(1-(1-EXP(-r_mi*dt))+EXP(LN(or_apx_mi)*D60)*(1-EXP(-r_mi*dt))),(1-EXP(-r_mi*dt)))</f>
        <v>0.00132321915530843</v>
      </c>
      <c r="R60" s="57" t="n">
        <f aca="false">(1-EXP(-r_tia*dt))</f>
        <v>0.0020060281549299</v>
      </c>
      <c r="S60" s="57" t="n">
        <f aca="false">(1-EXP(-r_minor*dt))</f>
        <v>0.0437937690785545</v>
      </c>
      <c r="T60" s="57" t="n">
        <f aca="false">M60*N60</f>
        <v>0.00105307878177089</v>
      </c>
      <c r="U60" s="57" t="n">
        <f aca="false">M60*O60</f>
        <v>0.000161630587412834</v>
      </c>
      <c r="V60" s="57" t="n">
        <f aca="false">M60*P60</f>
        <v>0.00128276701076818</v>
      </c>
      <c r="W60" s="57" t="n">
        <f aca="false">M60*Q60</f>
        <v>0.000253549887259643</v>
      </c>
      <c r="X60" s="57" t="n">
        <f aca="false">M60*R60</f>
        <v>0.000384386978137109</v>
      </c>
      <c r="Y60" s="57" t="n">
        <f aca="false">M60*S60</f>
        <v>0.00839158439325505</v>
      </c>
      <c r="Z60" s="57" t="n">
        <f aca="false">T60*f_stroke_fatal</f>
        <v>0.000249579671279701</v>
      </c>
      <c r="AA60" s="57" t="n">
        <f aca="false">T60*(1-f_stroke_fatal)*f_stroke_major</f>
        <v>0.000267565203793566</v>
      </c>
      <c r="AB60" s="57" t="n">
        <f aca="false">T60*(1-f_stroke_fatal)*(1-f_stroke_major)</f>
        <v>0.000535933906697624</v>
      </c>
      <c r="AC60" s="57" t="n">
        <f aca="false">U60*(1-f_bleed_fatal)</f>
        <v>0.000148053618070156</v>
      </c>
      <c r="AD60" s="57" t="n">
        <f aca="false">V60*(1-f_bleed_fatal)</f>
        <v>0.00117501458186366</v>
      </c>
      <c r="AE60" s="57" t="n">
        <f aca="false">W60*f_mi_fatal</f>
        <v>3.06795363584168E-005</v>
      </c>
      <c r="AF60" s="57" t="n">
        <f aca="false">W60-AE60</f>
        <v>0.000222870350901226</v>
      </c>
      <c r="AG60" s="57" t="n">
        <f aca="false">M60-T60-U60-V60-AE60</f>
        <v>0.189087787854201</v>
      </c>
      <c r="AH60" s="19" t="n">
        <f aca="false">Z60*c_stroke_fatal+AA60*c_stroke_major+AB60*c_stroke_minor+U60*c_ich+V60*c_major_bleed+AE60*c_mi_fatal+AF60*c_mi_nonfatal+X60*c_tia+Y60*c_minor_bleed</f>
        <v>57.5284088662954</v>
      </c>
      <c r="AI60" s="57" t="n">
        <f aca="false">dt*(AF60*dec_mi+AD60*dec_major_bleed+Y60*dec_minor_bleed+X60*dec_tia)</f>
        <v>7.11606478136369E-005</v>
      </c>
      <c r="AJ60" s="57" t="n">
        <f aca="false">G60*L60+Z60+U60-AC60+V60-AD60+AE60</f>
        <v>0.00711081906849212</v>
      </c>
      <c r="AK60" s="57" t="n">
        <f aca="false">1-EXP(LN(1-E60)*hr_death_prior_stroke*dt)</f>
        <v>0.0761026200294805</v>
      </c>
      <c r="AL60" s="57" t="n">
        <f aca="false">H60*(1-AK60)</f>
        <v>0.0207878968328189</v>
      </c>
      <c r="AM60" s="57" t="n">
        <f aca="false">(1-EXP(-r_stroke*F60*rr_stroke_prior*rr_asa_stroke*dt))</f>
        <v>0.0245377664317015</v>
      </c>
      <c r="AN60" s="57" t="n">
        <f aca="false">(1-EXP(-r_ich*rr_asa_ich*dt))</f>
        <v>0.00102357767802375</v>
      </c>
      <c r="AO60" s="57" t="n">
        <f aca="false">(1-EXP(-r_mb*rr_asa_mb*dt))</f>
        <v>0.00951809672747972</v>
      </c>
      <c r="AP60" s="57" t="n">
        <f aca="false">(1-EXP(-r_mi*rr_asa_mi*dt))</f>
        <v>0.00213413516393479</v>
      </c>
      <c r="AQ60" s="57" t="n">
        <f aca="false">(1-EXP(-r_tia*rr_asa_tia*dt))</f>
        <v>0.00312764565589152</v>
      </c>
      <c r="AR60" s="57" t="n">
        <f aca="false">(1-EXP(-r_minor*rr_asa_minor*dt))</f>
        <v>0.0278181950466747</v>
      </c>
      <c r="AS60" s="57" t="n">
        <f aca="false">AL60*AM60</f>
        <v>0.000510088557090016</v>
      </c>
      <c r="AT60" s="57" t="n">
        <f aca="false">AL60*AN60</f>
        <v>2.12780271711339E-005</v>
      </c>
      <c r="AU60" s="57" t="n">
        <f aca="false">AL60*AO60</f>
        <v>0.000197861212815639</v>
      </c>
      <c r="AV60" s="57" t="n">
        <f aca="false">AL60*AP60</f>
        <v>4.43641816151674E-005</v>
      </c>
      <c r="AW60" s="57" t="n">
        <f aca="false">AL60*AQ60</f>
        <v>6.5017175224287E-005</v>
      </c>
      <c r="AX60" s="57" t="n">
        <f aca="false">AL60*AR60</f>
        <v>0.000578281768705506</v>
      </c>
      <c r="AY60" s="57" t="n">
        <f aca="false">AS60*f_stroke_fatal_recur</f>
        <v>0.000189798851207624</v>
      </c>
      <c r="AZ60" s="57" t="n">
        <f aca="false">AS60*(1-f_stroke_fatal_recur)*f_stroke_major</f>
        <v>0.000106656472058837</v>
      </c>
      <c r="BA60" s="57" t="n">
        <f aca="false">AS60*(1-f_stroke_fatal_recur)*(1-f_stroke_major)</f>
        <v>0.000213633233823555</v>
      </c>
      <c r="BB60" s="57" t="n">
        <f aca="false">AT60*(1-f_bleed_fatal)</f>
        <v>1.94906728887587E-005</v>
      </c>
      <c r="BC60" s="57" t="n">
        <f aca="false">AU60*(1-f_bleed_fatal)</f>
        <v>0.000181240870939125</v>
      </c>
      <c r="BD60" s="57" t="n">
        <f aca="false">AV60*f_mi_fatal</f>
        <v>5.36806597543526E-006</v>
      </c>
      <c r="BE60" s="57" t="n">
        <f aca="false">AV60-BD60</f>
        <v>3.89961156397321E-005</v>
      </c>
      <c r="BF60" s="57" t="n">
        <f aca="false">AL60-AS60-AT60-AU60-BD60</f>
        <v>0.0200533009697666</v>
      </c>
      <c r="BG60" s="19" t="n">
        <f aca="false">AY60*c_stroke_fatal+AZ60*c_stroke_major+BA60*c_stroke_minor+AT60*c_ich+AU60*c_major_bleed+BD60*c_mi_fatal+BE60*c_mi_nonfatal+AW60*c_tia+AX60*c_minor_bleed</f>
        <v>20.3868384935835</v>
      </c>
      <c r="BH60" s="57" t="n">
        <f aca="false">dt*(BE60*dec_mi+BC60*dec_major_bleed+AX60*dec_minor_bleed+AW60*dec_tia)</f>
        <v>8.9407766556598E-006</v>
      </c>
      <c r="BI60" s="57" t="n">
        <f aca="false">H60*AK60+AY60+AT60-BB60+AU60-BC60+BD60</f>
        <v>0.00192590051465637</v>
      </c>
      <c r="BJ60" s="57" t="n">
        <f aca="false">1-EXP(LN(1-E60)*hr_death_prior_stroke*dt)</f>
        <v>0.0761026200294805</v>
      </c>
      <c r="BK60" s="57" t="n">
        <f aca="false">I60*(1-BJ60)</f>
        <v>0.0103505873918152</v>
      </c>
      <c r="BL60" s="57" t="n">
        <f aca="false">(1-EXP(-r_stroke*F60*rr_stroke_prior*rr_asa_stroke*dt))</f>
        <v>0.0245377664317015</v>
      </c>
      <c r="BM60" s="57" t="n">
        <f aca="false">(1-EXP(-r_ich*rr_asa_ich*dt))</f>
        <v>0.00102357767802375</v>
      </c>
      <c r="BN60" s="57" t="n">
        <f aca="false">(1-EXP(-r_mb*rr_asa_mb*dt))</f>
        <v>0.00951809672747972</v>
      </c>
      <c r="BO60" s="57" t="n">
        <f aca="false">(1-EXP(-r_mi*rr_asa_mi*dt))</f>
        <v>0.00213413516393479</v>
      </c>
      <c r="BP60" s="57" t="n">
        <f aca="false">(1-EXP(-r_tia*rr_asa_tia*dt))</f>
        <v>0.00312764565589152</v>
      </c>
      <c r="BQ60" s="57" t="n">
        <f aca="false">(1-EXP(-r_minor*rr_asa_minor*dt))</f>
        <v>0.0278181950466747</v>
      </c>
      <c r="BR60" s="57" t="n">
        <f aca="false">BK60*BL60</f>
        <v>0.000253980295851275</v>
      </c>
      <c r="BS60" s="57" t="n">
        <f aca="false">BK60*BM60</f>
        <v>1.0594630208696E-005</v>
      </c>
      <c r="BT60" s="57" t="n">
        <f aca="false">BK60*BN60</f>
        <v>9.85178919815288E-005</v>
      </c>
      <c r="BU60" s="57" t="n">
        <f aca="false">BK60*BO60</f>
        <v>2.20895525202529E-005</v>
      </c>
      <c r="BV60" s="57" t="n">
        <f aca="false">BK60*BP60</f>
        <v>3.23729696919363E-005</v>
      </c>
      <c r="BW60" s="57" t="n">
        <f aca="false">BK60*BQ60</f>
        <v>0.000287934658913166</v>
      </c>
      <c r="BX60" s="57" t="n">
        <f aca="false">BR60*f_stroke_fatal_recur</f>
        <v>9.45035282833008E-005</v>
      </c>
      <c r="BY60" s="57" t="n">
        <f aca="false">BR60*(1-f_stroke_fatal_recur)*f_stroke_major</f>
        <v>5.31057636001353E-005</v>
      </c>
      <c r="BZ60" s="57" t="n">
        <f aca="false">BR60*(1-f_stroke_fatal_recur)*(1-f_stroke_major)</f>
        <v>0.000106371003967839</v>
      </c>
      <c r="CA60" s="57" t="n">
        <f aca="false">BS60*(1-f_bleed_fatal)</f>
        <v>9.70468127116557E-006</v>
      </c>
      <c r="CB60" s="57" t="n">
        <f aca="false">BT60*(1-f_bleed_fatal)</f>
        <v>9.02423890550804E-005</v>
      </c>
      <c r="CC60" s="57" t="n">
        <f aca="false">BU60*f_mi_fatal</f>
        <v>2.6728358549506E-006</v>
      </c>
      <c r="CD60" s="57" t="n">
        <f aca="false">BU60-CC60</f>
        <v>1.94167166653023E-005</v>
      </c>
      <c r="CE60" s="57" t="n">
        <f aca="false">BK60-BR60-BS60-BT60-CC60</f>
        <v>0.00998482173791872</v>
      </c>
      <c r="CF60" s="19" t="n">
        <f aca="false">BX60*c_stroke_fatal+BY60*c_stroke_major+BZ60*c_stroke_minor+BS60*c_ich+BT60*c_major_bleed+CC60*c_mi_fatal+CD60*c_mi_nonfatal+BV60*c_tia+BW60*c_minor_bleed</f>
        <v>10.1508947811169</v>
      </c>
      <c r="CG60" s="57" t="n">
        <f aca="false">dt*(CD60*dec_mi+CB60*dec_major_bleed+BW60*dec_minor_bleed+BV60*dec_tia)</f>
        <v>4.45173895509269E-006</v>
      </c>
      <c r="CH60" s="57" t="n">
        <f aca="false">I60*BJ60+BX60+BS60-CA60+BT60-CB60+CC60</f>
        <v>0.000958933063080317</v>
      </c>
      <c r="CI60" s="57" t="n">
        <f aca="false">1-EXP(LN(1-E60)*dt)</f>
        <v>0.033829444439164</v>
      </c>
      <c r="CJ60" s="57" t="n">
        <f aca="false">J60*(1-CI60)</f>
        <v>0.0656390231874082</v>
      </c>
      <c r="CK60" s="57" t="n">
        <f aca="false">(1-EXP(-r_stroke*F60*rr_asa_stroke*dt))</f>
        <v>0.0112291294405696</v>
      </c>
      <c r="CL60" s="57" t="n">
        <f aca="false">(1-EXP(-r_ich*rr_asa_ich*dt))</f>
        <v>0.00102357767802375</v>
      </c>
      <c r="CM60" s="57" t="n">
        <f aca="false">(1-EXP(-r_mb*rr_asa_mb*dt))</f>
        <v>0.00951809672747972</v>
      </c>
      <c r="CN60" s="57" t="n">
        <f aca="false">(1-EXP(-r_mi*rr_asa_mi*dt))</f>
        <v>0.00213413516393479</v>
      </c>
      <c r="CO60" s="57" t="n">
        <f aca="false">(1-EXP(-r_tia*rr_asa_tia*dt))</f>
        <v>0.00312764565589152</v>
      </c>
      <c r="CP60" s="57" t="n">
        <f aca="false">(1-EXP(-r_minor*rr_asa_minor*dt))</f>
        <v>0.0278181950466747</v>
      </c>
      <c r="CQ60" s="57" t="n">
        <f aca="false">CJ60*CK60</f>
        <v>0.000737069087723959</v>
      </c>
      <c r="CR60" s="57" t="n">
        <f aca="false">CJ60*CL60</f>
        <v>6.71866389419141E-005</v>
      </c>
      <c r="CS60" s="57" t="n">
        <f aca="false">CJ60*CM60</f>
        <v>0.000624758571795036</v>
      </c>
      <c r="CT60" s="57" t="n">
        <f aca="false">CJ60*CN60</f>
        <v>0.000140082547510579</v>
      </c>
      <c r="CU60" s="57" t="n">
        <f aca="false">CJ60*CO60</f>
        <v>0.00020529560572906</v>
      </c>
      <c r="CV60" s="57" t="n">
        <f aca="false">CJ60*CP60</f>
        <v>0.00182595914970053</v>
      </c>
      <c r="CW60" s="57" t="n">
        <f aca="false">CQ60*f_stroke_fatal</f>
        <v>0.000174685373790578</v>
      </c>
      <c r="CX60" s="57" t="n">
        <f aca="false">CQ60*(1-f_stroke_fatal)*f_stroke_major</f>
        <v>0.000187273776739816</v>
      </c>
      <c r="CY60" s="57" t="n">
        <f aca="false">CQ60*(1-f_stroke_fatal)*(1-f_stroke_major)</f>
        <v>0.000375109937193565</v>
      </c>
      <c r="CZ60" s="57" t="n">
        <f aca="false">CR60*(1-f_bleed_fatal)</f>
        <v>6.15429612707933E-005</v>
      </c>
      <c r="DA60" s="57" t="n">
        <f aca="false">CS60*(1-f_bleed_fatal)</f>
        <v>0.000572278851764253</v>
      </c>
      <c r="DB60" s="57" t="n">
        <f aca="false">CT60*f_mi_fatal</f>
        <v>1.69499882487801E-005</v>
      </c>
      <c r="DC60" s="57" t="n">
        <f aca="false">CT60-DB60</f>
        <v>0.000123132559261799</v>
      </c>
      <c r="DD60" s="57" t="n">
        <f aca="false">CJ60-CQ60-CR60-CS60-DB60</f>
        <v>0.0641930589006985</v>
      </c>
      <c r="DE60" s="19" t="n">
        <f aca="false">CW60*c_stroke_fatal+CX60*c_stroke_major+CY60*c_stroke_minor+CR60*c_ich+CS60*c_major_bleed+DB60*c_mi_fatal+DC60*c_mi_nonfatal+CU60*c_tia+CV60*c_minor_bleed</f>
        <v>36.0717929296715</v>
      </c>
      <c r="DF60" s="57" t="n">
        <f aca="false">dt*(DC60*dec_mi+DA60*dec_major_bleed+CV60*dec_minor_bleed+CU60*dec_tia)</f>
        <v>2.8231035151559E-005</v>
      </c>
      <c r="DG60" s="57" t="n">
        <f aca="false">J60*CI60+CW60+CR60-CZ60+CS60-DA60+DB60</f>
        <v>0.00254804002610677</v>
      </c>
      <c r="DH60" s="57" t="n">
        <f aca="false">AG60</f>
        <v>0.189087787854201</v>
      </c>
      <c r="DI60" s="57" t="n">
        <f aca="false">AB60+AC60+BF60+BA60+BB60+BC60+CY60+CZ60</f>
        <v>0.0215883061706502</v>
      </c>
      <c r="DJ60" s="57" t="n">
        <f aca="false">AA60+AZ60+BY60+CX60+CE60+BZ60+CA60+CB60</f>
        <v>0.0108057410284052</v>
      </c>
      <c r="DK60" s="57" t="n">
        <f aca="false">AD60+DD60+DA60</f>
        <v>0.0659403523343265</v>
      </c>
      <c r="DL60" s="57" t="n">
        <f aca="false">K60+AJ60+BI60+CH60+DG60</f>
        <v>0.712577812612417</v>
      </c>
      <c r="DM60" s="58" t="n">
        <f aca="false">SUM(DH60:DL60)</f>
        <v>1</v>
      </c>
      <c r="DN60" s="19" t="n">
        <f aca="false">dt*(G60*Apixaban!$H$2+(H60+I60+J60)*c_aspirin)</f>
        <v>15.7839080001312</v>
      </c>
      <c r="DO60" s="19" t="n">
        <f aca="false">dt*(H60*c_lt_minor_stroke+I60*c_lt_major_stroke)</f>
        <v>133.967196144565</v>
      </c>
      <c r="DP60" s="19" t="n">
        <f aca="false">AH60+BG60+CF60+DE60</f>
        <v>124.137935070667</v>
      </c>
      <c r="DQ60" s="19" t="n">
        <f aca="false">DN60+DO60+DP60</f>
        <v>273.889039215364</v>
      </c>
      <c r="DR60" s="57" t="n">
        <f aca="false">dt*(G60*(u_af-dec_per_year_over_70*MAX(B60-ref_age,0))+H60*(u_minor_stroke-dec_per_year_over_70*MAX(B60-ref_age,0))+I60*(u_major_stroke-dec_per_year_over_70*MAX(B60-ref_age,0))+J60*(u_af-dec_per_year_over_70*MAX(B60-ref_age,0)))-AI60-BH60-CG60-DF60</f>
        <v>0.058662112196885</v>
      </c>
      <c r="DS60" s="57" t="n">
        <f aca="false">dt*(G60+H60+I60+J60)</f>
        <v>0.0749914700149796</v>
      </c>
      <c r="DT60" s="19" t="n">
        <f aca="false">DQ60*C60</f>
        <v>224.018085925412</v>
      </c>
      <c r="DU60" s="19" t="n">
        <f aca="false">DN60*C60</f>
        <v>12.9099027428836</v>
      </c>
      <c r="DV60" s="19" t="n">
        <f aca="false">DP60*C60</f>
        <v>101.534339179587</v>
      </c>
      <c r="DW60" s="19" t="n">
        <f aca="false">DO60*C60</f>
        <v>109.573844002941</v>
      </c>
      <c r="DX60" s="57" t="n">
        <f aca="false">DR60*C60</f>
        <v>0.0479806498585533</v>
      </c>
      <c r="DY60" s="57" t="n">
        <f aca="false">DS60*C60</f>
        <v>0.061336684453002</v>
      </c>
      <c r="DZ60" s="57" t="n">
        <f aca="false">T60+AS60+BR60+CQ60</f>
        <v>0.00255421672243614</v>
      </c>
      <c r="EA60" s="57" t="n">
        <f aca="false">U60+AT60+BS60+CR60</f>
        <v>0.000260689883734578</v>
      </c>
      <c r="EB60" s="57" t="n">
        <f aca="false">V60+AU60+BT60+CS60</f>
        <v>0.00220390468736039</v>
      </c>
      <c r="EC60" s="57" t="n">
        <f aca="false">G60*dt*C60</f>
        <v>0.0405533076915065</v>
      </c>
    </row>
    <row r="61" customFormat="false" ht="15" hidden="false" customHeight="false" outlineLevel="0" collapsed="false">
      <c r="A61" s="8" t="n">
        <v>55</v>
      </c>
      <c r="B61" s="54" t="n">
        <f aca="false">start_age+A61*dt</f>
        <v>83.75</v>
      </c>
      <c r="C61" s="16" t="n">
        <f aca="false">(1+disc_rate)^-(A61*dt)</f>
        <v>0.814876735643521</v>
      </c>
      <c r="D61" s="55" t="n">
        <f aca="false">IF(A61*dt&gt;=wane_start,(1-wane_decay)^(A61*dt-wane_start),1)</f>
        <v>1</v>
      </c>
      <c r="E61" s="25" t="n">
        <f aca="false">MIN(p_nonvasc_death*MIN(EXP(gomp_int+gomp_slope*INT(B61)),1)/qx_ref,0.999)</f>
        <v>0.128604742069064</v>
      </c>
      <c r="F61" s="55" t="n">
        <f aca="false">rr_stroke_per_decade^((B61-ref_age)/10)</f>
        <v>1.74632664819135</v>
      </c>
      <c r="G61" s="57" t="n">
        <f aca="false">DH60</f>
        <v>0.189087787854201</v>
      </c>
      <c r="H61" s="57" t="n">
        <f aca="false">DI60</f>
        <v>0.0215883061706502</v>
      </c>
      <c r="I61" s="57" t="n">
        <f aca="false">DJ60</f>
        <v>0.0108057410284052</v>
      </c>
      <c r="J61" s="57" t="n">
        <f aca="false">DK60</f>
        <v>0.0659403523343265</v>
      </c>
      <c r="K61" s="57" t="n">
        <f aca="false">DL60</f>
        <v>0.712577812612417</v>
      </c>
      <c r="L61" s="57" t="n">
        <f aca="false">1-EXP(LN(1-E61)*dt)</f>
        <v>0.033829444439164</v>
      </c>
      <c r="M61" s="57" t="n">
        <f aca="false">G61*(1-L61)</f>
        <v>0.182691053040863</v>
      </c>
      <c r="N61" s="57" t="n">
        <f aca="false">IF(Apixaban!$B$2=1,EXP(LN(or_apx_stroke)*D61)*(1-EXP(-r_stroke*F61*dt))/(1-(1-EXP(-r_stroke*F61*dt))+EXP(LN(or_apx_stroke)*D61)*(1-EXP(-r_stroke*F61*dt))),(1-EXP(-r_stroke*F61*dt)))</f>
        <v>0.00555165588581998</v>
      </c>
      <c r="O61" s="57" t="n">
        <f aca="false">IF(Apixaban!$B$2=1,EXP(LN(or_apx_ich)*D61)*(1-EXP(-r_ich*dt))/(1-(1-EXP(-r_ich*dt))+EXP(LN(or_apx_ich)*D61)*(1-EXP(-r_ich*dt))),(1-EXP(-r_ich*dt)))</f>
        <v>0.000843513249640701</v>
      </c>
      <c r="P61" s="57" t="n">
        <f aca="false">IF(Apixaban!$B$2=1,EXP(LN(or_apx_mb)*D61)*(1-EXP(-r_mb*dt))/(1-(1-EXP(-r_mb*dt))+EXP(LN(or_apx_mb)*D61)*(1-EXP(-r_mb*dt))),(1-EXP(-r_mb*dt)))</f>
        <v>0.00669446907979895</v>
      </c>
      <c r="Q61" s="57" t="n">
        <f aca="false">IF(Apixaban!$B$2=1,EXP(LN(or_apx_mi)*D61)*(1-EXP(-r_mi*dt))/(1-(1-EXP(-r_mi*dt))+EXP(LN(or_apx_mi)*D61)*(1-EXP(-r_mi*dt))),(1-EXP(-r_mi*dt)))</f>
        <v>0.00132321915530843</v>
      </c>
      <c r="R61" s="57" t="n">
        <f aca="false">(1-EXP(-r_tia*dt))</f>
        <v>0.0020060281549299</v>
      </c>
      <c r="S61" s="57" t="n">
        <f aca="false">(1-EXP(-r_minor*dt))</f>
        <v>0.0437937690785545</v>
      </c>
      <c r="T61" s="57" t="n">
        <f aca="false">M61*N61</f>
        <v>0.00101423785990096</v>
      </c>
      <c r="U61" s="57" t="n">
        <f aca="false">M61*O61</f>
        <v>0.00015410232383078</v>
      </c>
      <c r="V61" s="57" t="n">
        <f aca="false">M61*P61</f>
        <v>0.00122301960573797</v>
      </c>
      <c r="W61" s="57" t="n">
        <f aca="false">M61*Q61</f>
        <v>0.000241740300887138</v>
      </c>
      <c r="X61" s="57" t="n">
        <f aca="false">M61*R61</f>
        <v>0.000366483396053762</v>
      </c>
      <c r="Y61" s="57" t="n">
        <f aca="false">M61*S61</f>
        <v>0.00800072978958949</v>
      </c>
      <c r="Z61" s="57" t="n">
        <f aca="false">T61*f_stroke_fatal</f>
        <v>0.000240374372796527</v>
      </c>
      <c r="AA61" s="57" t="n">
        <f aca="false">T61*(1-f_stroke_fatal)*f_stroke_major</f>
        <v>0.000257696541205775</v>
      </c>
      <c r="AB61" s="57" t="n">
        <f aca="false">T61*(1-f_stroke_fatal)*(1-f_stroke_major)</f>
        <v>0.000516166945898655</v>
      </c>
      <c r="AC61" s="57" t="n">
        <f aca="false">U61*(1-f_bleed_fatal)</f>
        <v>0.000141157728628994</v>
      </c>
      <c r="AD61" s="57" t="n">
        <f aca="false">V61*(1-f_bleed_fatal)</f>
        <v>0.00112028595885598</v>
      </c>
      <c r="AE61" s="57" t="n">
        <f aca="false">W61*f_mi_fatal</f>
        <v>2.92505764073437E-005</v>
      </c>
      <c r="AF61" s="57" t="n">
        <f aca="false">W61-AE61</f>
        <v>0.000212489724479794</v>
      </c>
      <c r="AG61" s="57" t="n">
        <f aca="false">M61-T61-U61-V61-AE61</f>
        <v>0.180270442674986</v>
      </c>
      <c r="AH61" s="19" t="n">
        <f aca="false">Z61*c_stroke_fatal+AA61*c_stroke_major+AB61*c_stroke_minor+U61*c_ich+V61*c_major_bleed+AE61*c_mi_fatal+AF61*c_mi_nonfatal+X61*c_tia+Y61*c_minor_bleed</f>
        <v>55.2260822151678</v>
      </c>
      <c r="AI61" s="57" t="n">
        <f aca="false">dt*(AF61*dec_mi+AD61*dec_major_bleed+Y61*dec_minor_bleed+X61*dec_tia)</f>
        <v>6.78462002082313E-005</v>
      </c>
      <c r="AJ61" s="57" t="n">
        <f aca="false">G61*L61+Z61+U61-AC61+V61-AD61+AE61</f>
        <v>0.00678203800462577</v>
      </c>
      <c r="AK61" s="57" t="n">
        <f aca="false">1-EXP(LN(1-E61)*hr_death_prior_stroke*dt)</f>
        <v>0.0761026200294805</v>
      </c>
      <c r="AL61" s="57" t="n">
        <f aca="false">H61*(1-AK61)</f>
        <v>0.0199453795090651</v>
      </c>
      <c r="AM61" s="57" t="n">
        <f aca="false">(1-EXP(-r_stroke*F61*rr_stroke_prior*rr_asa_stroke*dt))</f>
        <v>0.0247846377428709</v>
      </c>
      <c r="AN61" s="57" t="n">
        <f aca="false">(1-EXP(-r_ich*rr_asa_ich*dt))</f>
        <v>0.00102357767802375</v>
      </c>
      <c r="AO61" s="57" t="n">
        <f aca="false">(1-EXP(-r_mb*rr_asa_mb*dt))</f>
        <v>0.00951809672747972</v>
      </c>
      <c r="AP61" s="57" t="n">
        <f aca="false">(1-EXP(-r_mi*rr_asa_mi*dt))</f>
        <v>0.00213413516393479</v>
      </c>
      <c r="AQ61" s="57" t="n">
        <f aca="false">(1-EXP(-r_tia*rr_asa_tia*dt))</f>
        <v>0.00312764565589152</v>
      </c>
      <c r="AR61" s="57" t="n">
        <f aca="false">(1-EXP(-r_minor*rr_asa_minor*dt))</f>
        <v>0.0278181950466747</v>
      </c>
      <c r="AS61" s="57" t="n">
        <f aca="false">AL61*AM61</f>
        <v>0.000494339005776259</v>
      </c>
      <c r="AT61" s="57" t="n">
        <f aca="false">AL61*AN61</f>
        <v>2.04156452451913E-005</v>
      </c>
      <c r="AU61" s="57" t="n">
        <f aca="false">AL61*AO61</f>
        <v>0.000189842051433574</v>
      </c>
      <c r="AV61" s="57" t="n">
        <f aca="false">AL61*AP61</f>
        <v>4.25661357683203E-005</v>
      </c>
      <c r="AW61" s="57" t="n">
        <f aca="false">AL61*AQ61</f>
        <v>6.23820795766353E-005</v>
      </c>
      <c r="AX61" s="57" t="n">
        <f aca="false">AL61*AR61</f>
        <v>0.000554844457463123</v>
      </c>
      <c r="AY61" s="57" t="n">
        <f aca="false">AS61*f_stroke_fatal_recur</f>
        <v>0.000183938600659288</v>
      </c>
      <c r="AZ61" s="57" t="n">
        <f aca="false">AS61*(1-f_stroke_fatal_recur)*f_stroke_major</f>
        <v>0.000103363334903951</v>
      </c>
      <c r="BA61" s="57" t="n">
        <f aca="false">AS61*(1-f_stroke_fatal_recur)*(1-f_stroke_major)</f>
        <v>0.000207037070213019</v>
      </c>
      <c r="BB61" s="57" t="n">
        <f aca="false">AT61*(1-f_bleed_fatal)</f>
        <v>1.87007310445952E-005</v>
      </c>
      <c r="BC61" s="57" t="n">
        <f aca="false">AU61*(1-f_bleed_fatal)</f>
        <v>0.000173895319113154</v>
      </c>
      <c r="BD61" s="57" t="n">
        <f aca="false">AV61*f_mi_fatal</f>
        <v>5.15050242796676E-006</v>
      </c>
      <c r="BE61" s="57" t="n">
        <f aca="false">AV61-BD61</f>
        <v>3.74156333403536E-005</v>
      </c>
      <c r="BF61" s="57" t="n">
        <f aca="false">AL61-AS61-AT61-AU61-BD61</f>
        <v>0.0192356323041821</v>
      </c>
      <c r="BG61" s="19" t="n">
        <f aca="false">AY61*c_stroke_fatal+AZ61*c_stroke_major+BA61*c_stroke_minor+AT61*c_ich+AU61*c_major_bleed+BD61*c_mi_fatal+BE61*c_mi_nonfatal+AW61*c_tia+AX61*c_minor_bleed</f>
        <v>19.7303506000928</v>
      </c>
      <c r="BH61" s="57" t="n">
        <f aca="false">dt*(BE61*dec_mi+BC61*dec_major_bleed+AX61*dec_minor_bleed+AW61*dec_tia)</f>
        <v>8.57841391734209E-006</v>
      </c>
      <c r="BI61" s="57" t="n">
        <f aca="false">H61*AK61+AY61+AT61-BB61+AU61-BC61+BD61</f>
        <v>0.00184967741119335</v>
      </c>
      <c r="BJ61" s="57" t="n">
        <f aca="false">1-EXP(LN(1-E61)*hr_death_prior_stroke*dt)</f>
        <v>0.0761026200294805</v>
      </c>
      <c r="BK61" s="57" t="n">
        <f aca="false">I61*(1-BJ61)</f>
        <v>0.00998339582478347</v>
      </c>
      <c r="BL61" s="57" t="n">
        <f aca="false">(1-EXP(-r_stroke*F61*rr_stroke_prior*rr_asa_stroke*dt))</f>
        <v>0.0247846377428709</v>
      </c>
      <c r="BM61" s="57" t="n">
        <f aca="false">(1-EXP(-r_ich*rr_asa_ich*dt))</f>
        <v>0.00102357767802375</v>
      </c>
      <c r="BN61" s="57" t="n">
        <f aca="false">(1-EXP(-r_mb*rr_asa_mb*dt))</f>
        <v>0.00951809672747972</v>
      </c>
      <c r="BO61" s="57" t="n">
        <f aca="false">(1-EXP(-r_mi*rr_asa_mi*dt))</f>
        <v>0.00213413516393479</v>
      </c>
      <c r="BP61" s="57" t="n">
        <f aca="false">(1-EXP(-r_tia*rr_asa_tia*dt))</f>
        <v>0.00312764565589152</v>
      </c>
      <c r="BQ61" s="57" t="n">
        <f aca="false">(1-EXP(-r_minor*rr_asa_minor*dt))</f>
        <v>0.0278181950466747</v>
      </c>
      <c r="BR61" s="57" t="n">
        <f aca="false">BK61*BL61</f>
        <v>0.000247434848960948</v>
      </c>
      <c r="BS61" s="57" t="n">
        <f aca="false">BK61*BM61</f>
        <v>1.02187811171238E-005</v>
      </c>
      <c r="BT61" s="57" t="n">
        <f aca="false">BK61*BN61</f>
        <v>9.50229271290063E-005</v>
      </c>
      <c r="BU61" s="57" t="n">
        <f aca="false">BK61*BO61</f>
        <v>2.13059160851502E-005</v>
      </c>
      <c r="BV61" s="57" t="n">
        <f aca="false">BK61*BP61</f>
        <v>3.12245245824296E-005</v>
      </c>
      <c r="BW61" s="57" t="n">
        <f aca="false">BK61*BQ61</f>
        <v>0.000277720052281985</v>
      </c>
      <c r="BX61" s="57" t="n">
        <f aca="false">BR61*f_stroke_fatal_recur</f>
        <v>9.20680329498791E-005</v>
      </c>
      <c r="BY61" s="57" t="n">
        <f aca="false">BR61*(1-f_stroke_fatal_recur)*f_stroke_major</f>
        <v>5.17371497316859E-005</v>
      </c>
      <c r="BZ61" s="57" t="n">
        <f aca="false">BR61*(1-f_stroke_fatal_recur)*(1-f_stroke_major)</f>
        <v>0.000103629666279383</v>
      </c>
      <c r="CA61" s="57" t="n">
        <f aca="false">BS61*(1-f_bleed_fatal)</f>
        <v>9.36040350328543E-006</v>
      </c>
      <c r="CB61" s="57" t="n">
        <f aca="false">BT61*(1-f_bleed_fatal)</f>
        <v>8.70410012501698E-005</v>
      </c>
      <c r="CC61" s="57" t="n">
        <f aca="false">BU61*f_mi_fatal</f>
        <v>2.57801584630317E-006</v>
      </c>
      <c r="CD61" s="57" t="n">
        <f aca="false">BU61-CC61</f>
        <v>1.8727900238847E-005</v>
      </c>
      <c r="CE61" s="57" t="n">
        <f aca="false">BK61-BR61-BS61-BT61-CC61</f>
        <v>0.00962814125173009</v>
      </c>
      <c r="CF61" s="19" t="n">
        <f aca="false">BX61*c_stroke_fatal+BY61*c_stroke_major+BZ61*c_stroke_minor+BS61*c_ich+BT61*c_major_bleed+CC61*c_mi_fatal+CD61*c_mi_nonfatal+BV61*c_tia+BW61*c_minor_bleed</f>
        <v>9.87576594934959</v>
      </c>
      <c r="CG61" s="57" t="n">
        <f aca="false">dt*(CD61*dec_mi+CB61*dec_major_bleed+BW61*dec_minor_bleed+BV61*dec_tia)</f>
        <v>4.29381158913189E-006</v>
      </c>
      <c r="CH61" s="57" t="n">
        <f aca="false">I61*BJ61+BX61+BS61-CA61+BT61-CB61+CC61</f>
        <v>0.000925831555910543</v>
      </c>
      <c r="CI61" s="57" t="n">
        <f aca="false">1-EXP(LN(1-E61)*dt)</f>
        <v>0.033829444439164</v>
      </c>
      <c r="CJ61" s="57" t="n">
        <f aca="false">J61*(1-CI61)</f>
        <v>0.0637096268487335</v>
      </c>
      <c r="CK61" s="57" t="n">
        <f aca="false">(1-EXP(-r_stroke*F61*rr_asa_stroke*dt))</f>
        <v>0.0113428825103339</v>
      </c>
      <c r="CL61" s="57" t="n">
        <f aca="false">(1-EXP(-r_ich*rr_asa_ich*dt))</f>
        <v>0.00102357767802375</v>
      </c>
      <c r="CM61" s="57" t="n">
        <f aca="false">(1-EXP(-r_mb*rr_asa_mb*dt))</f>
        <v>0.00951809672747972</v>
      </c>
      <c r="CN61" s="57" t="n">
        <f aca="false">(1-EXP(-r_mi*rr_asa_mi*dt))</f>
        <v>0.00213413516393479</v>
      </c>
      <c r="CO61" s="57" t="n">
        <f aca="false">(1-EXP(-r_tia*rr_asa_tia*dt))</f>
        <v>0.00312764565589152</v>
      </c>
      <c r="CP61" s="57" t="n">
        <f aca="false">(1-EXP(-r_minor*rr_asa_minor*dt))</f>
        <v>0.0278181950466747</v>
      </c>
      <c r="CQ61" s="57" t="n">
        <f aca="false">CJ61*CK61</f>
        <v>0.000722650812122397</v>
      </c>
      <c r="CR61" s="57" t="n">
        <f aca="false">CJ61*CL61</f>
        <v>6.52117519175859E-005</v>
      </c>
      <c r="CS61" s="57" t="n">
        <f aca="false">CJ61*CM61</f>
        <v>0.000606394390817884</v>
      </c>
      <c r="CT61" s="57" t="n">
        <f aca="false">CJ61*CN61</f>
        <v>0.000135964954939046</v>
      </c>
      <c r="CU61" s="57" t="n">
        <f aca="false">CJ61*CO61</f>
        <v>0.000199261137651911</v>
      </c>
      <c r="CV61" s="57" t="n">
        <f aca="false">CJ61*CP61</f>
        <v>0.00177228682602893</v>
      </c>
      <c r="CW61" s="57" t="n">
        <f aca="false">CQ61*f_stroke_fatal</f>
        <v>0.000171268242473008</v>
      </c>
      <c r="CX61" s="57" t="n">
        <f aca="false">CQ61*(1-f_stroke_fatal)*f_stroke_major</f>
        <v>0.000183610395693246</v>
      </c>
      <c r="CY61" s="57" t="n">
        <f aca="false">CQ61*(1-f_stroke_fatal)*(1-f_stroke_major)</f>
        <v>0.000367772173956142</v>
      </c>
      <c r="CZ61" s="57" t="n">
        <f aca="false">CR61*(1-f_bleed_fatal)</f>
        <v>5.97339647565087E-005</v>
      </c>
      <c r="DA61" s="57" t="n">
        <f aca="false">CS61*(1-f_bleed_fatal)</f>
        <v>0.000555457261989182</v>
      </c>
      <c r="DB61" s="57" t="n">
        <f aca="false">CT61*f_mi_fatal</f>
        <v>1.64517595476246E-005</v>
      </c>
      <c r="DC61" s="57" t="n">
        <f aca="false">CT61-DB61</f>
        <v>0.000119513195391422</v>
      </c>
      <c r="DD61" s="57" t="n">
        <f aca="false">CJ61-CQ61-CR61-CS61-DB61</f>
        <v>0.062298918134328</v>
      </c>
      <c r="DE61" s="19" t="n">
        <f aca="false">CW61*c_stroke_fatal+CX61*c_stroke_major+CY61*c_stroke_minor+CR61*c_ich+CS61*c_major_bleed+DB61*c_mi_fatal+DC61*c_mi_nonfatal+CU61*c_tia+CV61*c_minor_bleed</f>
        <v>35.279262659721</v>
      </c>
      <c r="DF61" s="57" t="n">
        <f aca="false">dt*(DC61*dec_mi+DA61*dec_major_bleed+CV61*dec_minor_bleed+CU61*dec_tia)</f>
        <v>2.74012108608638E-005</v>
      </c>
      <c r="DG61" s="57" t="n">
        <f aca="false">J61*CI61+CW61+CR61-CZ61+CS61-DA61+DB61</f>
        <v>0.00247486040360341</v>
      </c>
      <c r="DH61" s="57" t="n">
        <f aca="false">AG61</f>
        <v>0.180270442674986</v>
      </c>
      <c r="DI61" s="57" t="n">
        <f aca="false">AB61+AC61+BF61+BA61+BB61+BC61+CY61+CZ61</f>
        <v>0.0207200962377932</v>
      </c>
      <c r="DJ61" s="57" t="n">
        <f aca="false">AA61+AZ61+BY61+CX61+CE61+BZ61+CA61+CB61</f>
        <v>0.0104245797442976</v>
      </c>
      <c r="DK61" s="57" t="n">
        <f aca="false">AD61+DD61+DA61</f>
        <v>0.0639746613551731</v>
      </c>
      <c r="DL61" s="57" t="n">
        <f aca="false">K61+AJ61+BI61+CH61+DG61</f>
        <v>0.72461021998775</v>
      </c>
      <c r="DM61" s="58" t="n">
        <f aca="false">SUM(DH61:DL61)</f>
        <v>1</v>
      </c>
      <c r="DN61" s="19" t="n">
        <f aca="false">dt*(G61*Apixaban!$H$2+(H61+I61+J61)*c_aspirin)</f>
        <v>15.0626767631529</v>
      </c>
      <c r="DO61" s="19" t="n">
        <f aca="false">dt*(H61*c_lt_minor_stroke+I61*c_lt_major_stroke)</f>
        <v>128.907250925924</v>
      </c>
      <c r="DP61" s="19" t="n">
        <f aca="false">AH61+BG61+CF61+DE61</f>
        <v>120.111461424331</v>
      </c>
      <c r="DQ61" s="19" t="n">
        <f aca="false">DN61+DO61+DP61</f>
        <v>264.081389113408</v>
      </c>
      <c r="DR61" s="57" t="n">
        <f aca="false">dt*(G61*(u_af-dec_per_year_over_70*MAX(B61-ref_age,0))+H61*(u_minor_stroke-dec_per_year_over_70*MAX(B61-ref_age,0))+I61*(u_major_stroke-dec_per_year_over_70*MAX(B61-ref_age,0))+J61*(u_af-dec_per_year_over_70*MAX(B61-ref_age,0)))-AI61-BH61-CG61-DF61</f>
        <v>0.056194859532058</v>
      </c>
      <c r="DS61" s="57" t="n">
        <f aca="false">dt*(G61+H61+I61+J61)</f>
        <v>0.0718555468468957</v>
      </c>
      <c r="DT61" s="19" t="n">
        <f aca="false">DQ61*C61</f>
        <v>215.193780304941</v>
      </c>
      <c r="DU61" s="19" t="n">
        <f aca="false">DN61*C61</f>
        <v>12.2742248708116</v>
      </c>
      <c r="DV61" s="19" t="n">
        <f aca="false">DP61*C61</f>
        <v>97.8760355988317</v>
      </c>
      <c r="DW61" s="19" t="n">
        <f aca="false">DO61*C61</f>
        <v>105.043519835297</v>
      </c>
      <c r="DX61" s="57" t="n">
        <f aca="false">DR61*C61</f>
        <v>0.0457918836954297</v>
      </c>
      <c r="DY61" s="57" t="n">
        <f aca="false">DS61*C61</f>
        <v>0.0585534134524785</v>
      </c>
      <c r="DZ61" s="57" t="n">
        <f aca="false">T61+AS61+BR61+CQ61</f>
        <v>0.00247866252676056</v>
      </c>
      <c r="EA61" s="57" t="n">
        <f aca="false">U61+AT61+BS61+CR61</f>
        <v>0.000249948502110681</v>
      </c>
      <c r="EB61" s="57" t="n">
        <f aca="false">V61+AU61+BT61+CS61</f>
        <v>0.00211427897511843</v>
      </c>
      <c r="EC61" s="57" t="n">
        <f aca="false">G61*dt*C61</f>
        <v>0.0385208098291715</v>
      </c>
    </row>
    <row r="62" customFormat="false" ht="15" hidden="false" customHeight="false" outlineLevel="0" collapsed="false">
      <c r="A62" s="8" t="n">
        <v>56</v>
      </c>
      <c r="B62" s="54" t="n">
        <f aca="false">start_age+A62*dt</f>
        <v>84</v>
      </c>
      <c r="C62" s="16" t="n">
        <f aca="false">(1+disc_rate)^-(A62*dt)</f>
        <v>0.811849277483459</v>
      </c>
      <c r="D62" s="55" t="n">
        <f aca="false">IF(A62*dt&gt;=wane_start,(1-wane_decay)^(A62*dt-wane_start),1)</f>
        <v>1</v>
      </c>
      <c r="E62" s="25" t="n">
        <f aca="false">MIN(p_nonvasc_death*MIN(EXP(gomp_int+gomp_slope*INT(B62)),1)/qx_ref,0.999)</f>
        <v>0.142790316175049</v>
      </c>
      <c r="F62" s="55" t="n">
        <f aca="false">rr_stroke_per_decade^((B62-ref_age)/10)</f>
        <v>1.76411853378701</v>
      </c>
      <c r="G62" s="57" t="n">
        <f aca="false">DH61</f>
        <v>0.180270442674986</v>
      </c>
      <c r="H62" s="57" t="n">
        <f aca="false">DI61</f>
        <v>0.0207200962377932</v>
      </c>
      <c r="I62" s="57" t="n">
        <f aca="false">DJ61</f>
        <v>0.0104245797442976</v>
      </c>
      <c r="J62" s="57" t="n">
        <f aca="false">DK61</f>
        <v>0.0639746613551731</v>
      </c>
      <c r="K62" s="57" t="n">
        <f aca="false">DL61</f>
        <v>0.72461021998775</v>
      </c>
      <c r="L62" s="57" t="n">
        <f aca="false">1-EXP(LN(1-E62)*dt)</f>
        <v>0.03778578808961</v>
      </c>
      <c r="M62" s="57" t="n">
        <f aca="false">G62*(1-L62)</f>
        <v>0.173458781929249</v>
      </c>
      <c r="N62" s="57" t="n">
        <f aca="false">IF(Apixaban!$B$2=1,EXP(LN(or_apx_stroke)*D62)*(1-EXP(-r_stroke*F62*dt))/(1-(1-EXP(-r_stroke*F62*dt))+EXP(LN(or_apx_stroke)*D62)*(1-EXP(-r_stroke*F62*dt))),(1-EXP(-r_stroke*F62*dt)))</f>
        <v>0.00560810022596963</v>
      </c>
      <c r="O62" s="57" t="n">
        <f aca="false">IF(Apixaban!$B$2=1,EXP(LN(or_apx_ich)*D62)*(1-EXP(-r_ich*dt))/(1-(1-EXP(-r_ich*dt))+EXP(LN(or_apx_ich)*D62)*(1-EXP(-r_ich*dt))),(1-EXP(-r_ich*dt)))</f>
        <v>0.000843513249640701</v>
      </c>
      <c r="P62" s="57" t="n">
        <f aca="false">IF(Apixaban!$B$2=1,EXP(LN(or_apx_mb)*D62)*(1-EXP(-r_mb*dt))/(1-(1-EXP(-r_mb*dt))+EXP(LN(or_apx_mb)*D62)*(1-EXP(-r_mb*dt))),(1-EXP(-r_mb*dt)))</f>
        <v>0.00669446907979895</v>
      </c>
      <c r="Q62" s="57" t="n">
        <f aca="false">IF(Apixaban!$B$2=1,EXP(LN(or_apx_mi)*D62)*(1-EXP(-r_mi*dt))/(1-(1-EXP(-r_mi*dt))+EXP(LN(or_apx_mi)*D62)*(1-EXP(-r_mi*dt))),(1-EXP(-r_mi*dt)))</f>
        <v>0.00132321915530843</v>
      </c>
      <c r="R62" s="57" t="n">
        <f aca="false">(1-EXP(-r_tia*dt))</f>
        <v>0.0020060281549299</v>
      </c>
      <c r="S62" s="57" t="n">
        <f aca="false">(1-EXP(-r_minor*dt))</f>
        <v>0.0437937690785545</v>
      </c>
      <c r="T62" s="57" t="n">
        <f aca="false">M62*N62</f>
        <v>0.000972774234133836</v>
      </c>
      <c r="U62" s="57" t="n">
        <f aca="false">M62*O62</f>
        <v>0.000146314780823858</v>
      </c>
      <c r="V62" s="57" t="n">
        <f aca="false">M62*P62</f>
        <v>0.00116121445224494</v>
      </c>
      <c r="W62" s="57" t="n">
        <f aca="false">M62*Q62</f>
        <v>0.000229523982905249</v>
      </c>
      <c r="X62" s="57" t="n">
        <f aca="false">M62*R62</f>
        <v>0.000347963200269918</v>
      </c>
      <c r="Y62" s="57" t="n">
        <f aca="false">M62*S62</f>
        <v>0.00759641384045685</v>
      </c>
      <c r="Z62" s="57" t="n">
        <f aca="false">T62*f_stroke_fatal</f>
        <v>0.000230547493489719</v>
      </c>
      <c r="AA62" s="57" t="n">
        <f aca="false">T62*(1-f_stroke_fatal)*f_stroke_major</f>
        <v>0.000247161504634491</v>
      </c>
      <c r="AB62" s="57" t="n">
        <f aca="false">T62*(1-f_stroke_fatal)*(1-f_stroke_major)</f>
        <v>0.000495065236009626</v>
      </c>
      <c r="AC62" s="57" t="n">
        <f aca="false">U62*(1-f_bleed_fatal)</f>
        <v>0.000134024339234654</v>
      </c>
      <c r="AD62" s="57" t="n">
        <f aca="false">V62*(1-f_bleed_fatal)</f>
        <v>0.00106367243825637</v>
      </c>
      <c r="AE62" s="57" t="n">
        <f aca="false">W62*f_mi_fatal</f>
        <v>2.77724019315352E-005</v>
      </c>
      <c r="AF62" s="57" t="n">
        <f aca="false">W62-AE62</f>
        <v>0.000201751580973714</v>
      </c>
      <c r="AG62" s="57" t="n">
        <f aca="false">M62-T62-U62-V62-AE62</f>
        <v>0.171150706060114</v>
      </c>
      <c r="AH62" s="19" t="n">
        <f aca="false">Z62*c_stroke_fatal+AA62*c_stroke_major+AB62*c_stroke_minor+U62*c_ich+V62*c_major_bleed+AE62*c_mi_fatal+AF62*c_mi_nonfatal+X62*c_tia+Y62*c_minor_bleed</f>
        <v>52.7969842011401</v>
      </c>
      <c r="AI62" s="57" t="n">
        <f aca="false">dt*(AF62*dec_mi+AD62*dec_major_bleed+Y62*dec_minor_bleed+X62*dec_tia)</f>
        <v>6.44176003737602E-005</v>
      </c>
      <c r="AJ62" s="57" t="n">
        <f aca="false">G62*L62+Z62+U62-AC62+V62-AD62+AE62</f>
        <v>0.00717981309673623</v>
      </c>
      <c r="AK62" s="57" t="n">
        <f aca="false">1-EXP(LN(1-E62)*hr_death_prior_stroke*dt)</f>
        <v>0.084780922206057</v>
      </c>
      <c r="AL62" s="57" t="n">
        <f aca="false">H62*(1-AK62)</f>
        <v>0.0189634273705549</v>
      </c>
      <c r="AM62" s="57" t="n">
        <f aca="false">(1-EXP(-r_stroke*F62*rr_stroke_prior*rr_asa_stroke*dt))</f>
        <v>0.0250339607862107</v>
      </c>
      <c r="AN62" s="57" t="n">
        <f aca="false">(1-EXP(-r_ich*rr_asa_ich*dt))</f>
        <v>0.00102357767802375</v>
      </c>
      <c r="AO62" s="57" t="n">
        <f aca="false">(1-EXP(-r_mb*rr_asa_mb*dt))</f>
        <v>0.00951809672747972</v>
      </c>
      <c r="AP62" s="57" t="n">
        <f aca="false">(1-EXP(-r_mi*rr_asa_mi*dt))</f>
        <v>0.00213413516393479</v>
      </c>
      <c r="AQ62" s="57" t="n">
        <f aca="false">(1-EXP(-r_tia*rr_asa_tia*dt))</f>
        <v>0.00312764565589152</v>
      </c>
      <c r="AR62" s="57" t="n">
        <f aca="false">(1-EXP(-r_minor*rr_asa_minor*dt))</f>
        <v>0.0278181950466747</v>
      </c>
      <c r="AS62" s="57" t="n">
        <f aca="false">AL62*AM62</f>
        <v>0.000474729697166624</v>
      </c>
      <c r="AT62" s="57" t="n">
        <f aca="false">AL62*AN62</f>
        <v>1.94105409553245E-005</v>
      </c>
      <c r="AU62" s="57" t="n">
        <f aca="false">AL62*AO62</f>
        <v>0.000180495735997477</v>
      </c>
      <c r="AV62" s="57" t="n">
        <f aca="false">AL62*AP62</f>
        <v>4.04705171802246E-005</v>
      </c>
      <c r="AW62" s="57" t="n">
        <f aca="false">AL62*AQ62</f>
        <v>5.93108812363302E-005</v>
      </c>
      <c r="AX62" s="57" t="n">
        <f aca="false">AL62*AR62</f>
        <v>0.000527528321347545</v>
      </c>
      <c r="AY62" s="57" t="n">
        <f aca="false">AS62*f_stroke_fatal_recur</f>
        <v>0.000176642173018729</v>
      </c>
      <c r="AZ62" s="57" t="n">
        <f aca="false">AS62*(1-f_stroke_fatal_recur)*f_stroke_major</f>
        <v>9.9263145541249E-005</v>
      </c>
      <c r="BA62" s="57" t="n">
        <f aca="false">AS62*(1-f_stroke_fatal_recur)*(1-f_stroke_major)</f>
        <v>0.000198824378606646</v>
      </c>
      <c r="BB62" s="57" t="n">
        <f aca="false">AT62*(1-f_bleed_fatal)</f>
        <v>1.77800555150772E-005</v>
      </c>
      <c r="BC62" s="57" t="n">
        <f aca="false">AU62*(1-f_bleed_fatal)</f>
        <v>0.000165334094173689</v>
      </c>
      <c r="BD62" s="57" t="n">
        <f aca="false">AV62*f_mi_fatal</f>
        <v>4.89693257880718E-006</v>
      </c>
      <c r="BE62" s="57" t="n">
        <f aca="false">AV62-BD62</f>
        <v>3.55735846014174E-005</v>
      </c>
      <c r="BF62" s="57" t="n">
        <f aca="false">AL62-AS62-AT62-AU62-BD62</f>
        <v>0.0182838944638566</v>
      </c>
      <c r="BG62" s="19" t="n">
        <f aca="false">AY62*c_stroke_fatal+AZ62*c_stroke_major+BA62*c_stroke_minor+AT62*c_ich+AU62*c_major_bleed+BD62*c_mi_fatal+BE62*c_mi_nonfatal+AW62*c_tia+AX62*c_minor_bleed</f>
        <v>18.9220043212246</v>
      </c>
      <c r="BH62" s="57" t="n">
        <f aca="false">dt*(BE62*dec_mi+BC62*dec_major_bleed+AX62*dec_minor_bleed+AW62*dec_tia)</f>
        <v>8.15608092100417E-006</v>
      </c>
      <c r="BI62" s="57" t="n">
        <f aca="false">H62*AK62+AY62+AT62-BB62+AU62-BC62+BD62</f>
        <v>0.00195500010009993</v>
      </c>
      <c r="BJ62" s="57" t="n">
        <f aca="false">1-EXP(LN(1-E62)*hr_death_prior_stroke*dt)</f>
        <v>0.084780922206057</v>
      </c>
      <c r="BK62" s="57" t="n">
        <f aca="false">I62*(1-BJ62)</f>
        <v>0.00954077425996546</v>
      </c>
      <c r="BL62" s="57" t="n">
        <f aca="false">(1-EXP(-r_stroke*F62*rr_stroke_prior*rr_asa_stroke*dt))</f>
        <v>0.0250339607862107</v>
      </c>
      <c r="BM62" s="57" t="n">
        <f aca="false">(1-EXP(-r_ich*rr_asa_ich*dt))</f>
        <v>0.00102357767802375</v>
      </c>
      <c r="BN62" s="57" t="n">
        <f aca="false">(1-EXP(-r_mb*rr_asa_mb*dt))</f>
        <v>0.00951809672747972</v>
      </c>
      <c r="BO62" s="57" t="n">
        <f aca="false">(1-EXP(-r_mi*rr_asa_mi*dt))</f>
        <v>0.00213413516393479</v>
      </c>
      <c r="BP62" s="57" t="n">
        <f aca="false">(1-EXP(-r_tia*rr_asa_tia*dt))</f>
        <v>0.00312764565589152</v>
      </c>
      <c r="BQ62" s="57" t="n">
        <f aca="false">(1-EXP(-r_minor*rr_asa_minor*dt))</f>
        <v>0.0278181950466747</v>
      </c>
      <c r="BR62" s="57" t="n">
        <f aca="false">BK62*BL62</f>
        <v>0.000238843368694063</v>
      </c>
      <c r="BS62" s="57" t="n">
        <f aca="false">BK62*BM62</f>
        <v>9.76572356356417E-006</v>
      </c>
      <c r="BT62" s="57" t="n">
        <f aca="false">BK62*BN62</f>
        <v>9.08100122614E-005</v>
      </c>
      <c r="BU62" s="57" t="n">
        <f aca="false">BK62*BO62</f>
        <v>2.03613018393562E-005</v>
      </c>
      <c r="BV62" s="57" t="n">
        <f aca="false">BK62*BP62</f>
        <v>2.98401611680226E-005</v>
      </c>
      <c r="BW62" s="57" t="n">
        <f aca="false">BK62*BQ62</f>
        <v>0.000265407119260013</v>
      </c>
      <c r="BX62" s="57" t="n">
        <f aca="false">BR62*f_stroke_fatal_recur</f>
        <v>8.88712290573741E-005</v>
      </c>
      <c r="BY62" s="57" t="n">
        <f aca="false">BR62*(1-f_stroke_fatal_recur)*f_stroke_major</f>
        <v>4.99407224990176E-005</v>
      </c>
      <c r="BZ62" s="57" t="n">
        <f aca="false">BR62*(1-f_stroke_fatal_recur)*(1-f_stroke_major)</f>
        <v>0.000100031417137672</v>
      </c>
      <c r="CA62" s="57" t="n">
        <f aca="false">BS62*(1-f_bleed_fatal)</f>
        <v>8.94540278422478E-006</v>
      </c>
      <c r="CB62" s="57" t="n">
        <f aca="false">BT62*(1-f_bleed_fatal)</f>
        <v>8.31819712314424E-005</v>
      </c>
      <c r="CC62" s="57" t="n">
        <f aca="false">BU62*f_mi_fatal</f>
        <v>2.4637175225621E-006</v>
      </c>
      <c r="CD62" s="57" t="n">
        <f aca="false">BU62-CC62</f>
        <v>1.78975843167941E-005</v>
      </c>
      <c r="CE62" s="57" t="n">
        <f aca="false">BK62-BR62-BS62-BT62-CC62</f>
        <v>0.00919889143792387</v>
      </c>
      <c r="CF62" s="19" t="n">
        <f aca="false">BX62*c_stroke_fatal+BY62*c_stroke_major+BZ62*c_stroke_minor+BS62*c_ich+BT62*c_major_bleed+CC62*c_mi_fatal+CD62*c_mi_nonfatal+BV62*c_tia+BW62*c_minor_bleed</f>
        <v>9.51993372544093</v>
      </c>
      <c r="CG62" s="57" t="n">
        <f aca="false">dt*(CD62*dec_mi+CB62*dec_major_bleed+BW62*dec_minor_bleed+BV62*dec_tia)</f>
        <v>4.10344213589461E-006</v>
      </c>
      <c r="CH62" s="57" t="n">
        <f aca="false">I62*BJ62+BX62+BS62-CA62+BT62-CB62+CC62</f>
        <v>0.000983588792721365</v>
      </c>
      <c r="CI62" s="57" t="n">
        <f aca="false">1-EXP(LN(1-E62)*dt)</f>
        <v>0.03778578808961</v>
      </c>
      <c r="CJ62" s="57" t="n">
        <f aca="false">J62*(1-CI62)</f>
        <v>0.061557328358102</v>
      </c>
      <c r="CK62" s="57" t="n">
        <f aca="false">(1-EXP(-r_stroke*F62*rr_asa_stroke*dt))</f>
        <v>0.0114577812291647</v>
      </c>
      <c r="CL62" s="57" t="n">
        <f aca="false">(1-EXP(-r_ich*rr_asa_ich*dt))</f>
        <v>0.00102357767802375</v>
      </c>
      <c r="CM62" s="57" t="n">
        <f aca="false">(1-EXP(-r_mb*rr_asa_mb*dt))</f>
        <v>0.00951809672747972</v>
      </c>
      <c r="CN62" s="57" t="n">
        <f aca="false">(1-EXP(-r_mi*rr_asa_mi*dt))</f>
        <v>0.00213413516393479</v>
      </c>
      <c r="CO62" s="57" t="n">
        <f aca="false">(1-EXP(-r_tia*rr_asa_tia*dt))</f>
        <v>0.00312764565589152</v>
      </c>
      <c r="CP62" s="57" t="n">
        <f aca="false">(1-EXP(-r_minor*rr_asa_minor*dt))</f>
        <v>0.0278181950466747</v>
      </c>
      <c r="CQ62" s="57" t="n">
        <f aca="false">CJ62*CK62</f>
        <v>0.000705310401378992</v>
      </c>
      <c r="CR62" s="57" t="n">
        <f aca="false">CJ62*CL62</f>
        <v>6.30087072261313E-005</v>
      </c>
      <c r="CS62" s="57" t="n">
        <f aca="false">CJ62*CM62</f>
        <v>0.000585908605597645</v>
      </c>
      <c r="CT62" s="57" t="n">
        <f aca="false">CJ62*CN62</f>
        <v>0.000131371659046906</v>
      </c>
      <c r="CU62" s="57" t="n">
        <f aca="false">CJ62*CO62</f>
        <v>0.000192529510627506</v>
      </c>
      <c r="CV62" s="57" t="n">
        <f aca="false">CJ62*CP62</f>
        <v>0.00171241376681788</v>
      </c>
      <c r="CW62" s="57" t="n">
        <f aca="false">CQ62*f_stroke_fatal</f>
        <v>0.000167158565126821</v>
      </c>
      <c r="CX62" s="57" t="n">
        <f aca="false">CQ62*(1-f_stroke_fatal)*f_stroke_major</f>
        <v>0.000179204561471973</v>
      </c>
      <c r="CY62" s="57" t="n">
        <f aca="false">CQ62*(1-f_stroke_fatal)*(1-f_stroke_major)</f>
        <v>0.000358947274780198</v>
      </c>
      <c r="CZ62" s="57" t="n">
        <f aca="false">CR62*(1-f_bleed_fatal)</f>
        <v>5.77159758191363E-005</v>
      </c>
      <c r="DA62" s="57" t="n">
        <f aca="false">CS62*(1-f_bleed_fatal)</f>
        <v>0.000536692282727443</v>
      </c>
      <c r="DB62" s="57" t="n">
        <f aca="false">CT62*f_mi_fatal</f>
        <v>1.58959707446756E-005</v>
      </c>
      <c r="DC62" s="57" t="n">
        <f aca="false">CT62-DB62</f>
        <v>0.00011547568830223</v>
      </c>
      <c r="DD62" s="57" t="n">
        <f aca="false">CJ62-CQ62-CR62-CS62-DB62</f>
        <v>0.0601872046731546</v>
      </c>
      <c r="DE62" s="19" t="n">
        <f aca="false">CW62*c_stroke_fatal+CX62*c_stroke_major+CY62*c_stroke_minor+CR62*c_ich+CS62*c_major_bleed+DB62*c_mi_fatal+DC62*c_mi_nonfatal+CU62*c_tia+CV62*c_minor_bleed</f>
        <v>34.3487508042963</v>
      </c>
      <c r="DF62" s="57" t="n">
        <f aca="false">dt*(DC62*dec_mi+DA62*dec_major_bleed+CV62*dec_minor_bleed+CU62*dec_tia)</f>
        <v>2.64755174029923E-005</v>
      </c>
      <c r="DG62" s="57" t="n">
        <f aca="false">J62*CI62+CW62+CR62-CZ62+CS62-DA62+DB62</f>
        <v>0.00265489658721983</v>
      </c>
      <c r="DH62" s="57" t="n">
        <f aca="false">AG62</f>
        <v>0.171150706060114</v>
      </c>
      <c r="DI62" s="57" t="n">
        <f aca="false">AB62+AC62+BF62+BA62+BB62+BC62+CY62+CZ62</f>
        <v>0.0197115858179956</v>
      </c>
      <c r="DJ62" s="57" t="n">
        <f aca="false">AA62+AZ62+BY62+CX62+CE62+BZ62+CA62+CB62</f>
        <v>0.00996662016322394</v>
      </c>
      <c r="DK62" s="57" t="n">
        <f aca="false">AD62+DD62+DA62</f>
        <v>0.0617875693941384</v>
      </c>
      <c r="DL62" s="57" t="n">
        <f aca="false">K62+AJ62+BI62+CH62+DG62</f>
        <v>0.737383518564528</v>
      </c>
      <c r="DM62" s="58" t="n">
        <f aca="false">SUM(DH62:DL62)</f>
        <v>1</v>
      </c>
      <c r="DN62" s="19" t="n">
        <f aca="false">dt*(G62*Apixaban!$H$2+(H62+I62+J62)*c_aspirin)</f>
        <v>14.373664442405</v>
      </c>
      <c r="DO62" s="19" t="n">
        <f aca="false">dt*(H62*c_lt_minor_stroke+I62*c_lt_major_stroke)</f>
        <v>124.071721785609</v>
      </c>
      <c r="DP62" s="19" t="n">
        <f aca="false">AH62+BG62+CF62+DE62</f>
        <v>115.587673052102</v>
      </c>
      <c r="DQ62" s="19" t="n">
        <f aca="false">DN62+DO62+DP62</f>
        <v>254.033059280116</v>
      </c>
      <c r="DR62" s="57" t="n">
        <f aca="false">dt*(G62*(u_af-dec_per_year_over_70*MAX(B62-ref_age,0))+H62*(u_minor_stroke-dec_per_year_over_70*MAX(B62-ref_age,0))+I62*(u_major_stroke-dec_per_year_over_70*MAX(B62-ref_age,0))+J62*(u_af-dec_per_year_over_70*MAX(B62-ref_age,0)))-AI62-BH62-CG62-DF62</f>
        <v>0.0538287821488857</v>
      </c>
      <c r="DS62" s="57" t="n">
        <f aca="false">dt*(G62+H62+I62+J62)</f>
        <v>0.0688474450030624</v>
      </c>
      <c r="DT62" s="19" t="n">
        <f aca="false">DQ62*C62</f>
        <v>206.236555633475</v>
      </c>
      <c r="DU62" s="19" t="n">
        <f aca="false">DN62*C62</f>
        <v>11.6692490923562</v>
      </c>
      <c r="DV62" s="19" t="n">
        <f aca="false">DP62*C62</f>
        <v>93.8397688533432</v>
      </c>
      <c r="DW62" s="19" t="n">
        <f aca="false">DO62*C62</f>
        <v>100.727537687776</v>
      </c>
      <c r="DX62" s="57" t="n">
        <f aca="false">DR62*C62</f>
        <v>0.0437008578953873</v>
      </c>
      <c r="DY62" s="57" t="n">
        <f aca="false">DS62*C62</f>
        <v>0.0558937484823184</v>
      </c>
      <c r="DZ62" s="57" t="n">
        <f aca="false">T62+AS62+BR62+CQ62</f>
        <v>0.00239165770137352</v>
      </c>
      <c r="EA62" s="57" t="n">
        <f aca="false">U62+AT62+BS62+CR62</f>
        <v>0.000238499752568878</v>
      </c>
      <c r="EB62" s="57" t="n">
        <f aca="false">V62+AU62+BT62+CS62</f>
        <v>0.00201842880610147</v>
      </c>
      <c r="EC62" s="57" t="n">
        <f aca="false">G62*dt*C62</f>
        <v>0.0365881071593276</v>
      </c>
    </row>
    <row r="63" customFormat="false" ht="15" hidden="false" customHeight="false" outlineLevel="0" collapsed="false">
      <c r="A63" s="8" t="n">
        <v>57</v>
      </c>
      <c r="B63" s="54" t="n">
        <f aca="false">start_age+A63*dt</f>
        <v>84.25</v>
      </c>
      <c r="C63" s="16" t="n">
        <f aca="false">(1+disc_rate)^-(A63*dt)</f>
        <v>0.808833067040395</v>
      </c>
      <c r="D63" s="55" t="n">
        <f aca="false">IF(A63*dt&gt;=wane_start,(1-wane_decay)^(A63*dt-wane_start),1)</f>
        <v>1</v>
      </c>
      <c r="E63" s="25" t="n">
        <f aca="false">MIN(p_nonvasc_death*MIN(EXP(gomp_int+gomp_slope*INT(B63)),1)/qx_ref,0.999)</f>
        <v>0.142790316175049</v>
      </c>
      <c r="F63" s="55" t="n">
        <f aca="false">rr_stroke_per_decade^((B63-ref_age)/10)</f>
        <v>1.78209168626844</v>
      </c>
      <c r="G63" s="57" t="n">
        <f aca="false">DH62</f>
        <v>0.171150706060114</v>
      </c>
      <c r="H63" s="57" t="n">
        <f aca="false">DI62</f>
        <v>0.0197115858179956</v>
      </c>
      <c r="I63" s="57" t="n">
        <f aca="false">DJ62</f>
        <v>0.00996662016322394</v>
      </c>
      <c r="J63" s="57" t="n">
        <f aca="false">DK62</f>
        <v>0.0617875693941384</v>
      </c>
      <c r="K63" s="57" t="n">
        <f aca="false">DL62</f>
        <v>0.737383518564528</v>
      </c>
      <c r="L63" s="57" t="n">
        <f aca="false">1-EXP(LN(1-E63)*dt)</f>
        <v>0.03778578808961</v>
      </c>
      <c r="M63" s="57" t="n">
        <f aca="false">G63*(1-L63)</f>
        <v>0.16468364174954</v>
      </c>
      <c r="N63" s="57" t="n">
        <f aca="false">IF(Apixaban!$B$2=1,EXP(LN(or_apx_stroke)*D63)*(1-EXP(-r_stroke*F63*dt))/(1-(1-EXP(-r_stroke*F63*dt))+EXP(LN(or_apx_stroke)*D63)*(1-EXP(-r_stroke*F63*dt))),(1-EXP(-r_stroke*F63*dt)))</f>
        <v>0.00566511723671411</v>
      </c>
      <c r="O63" s="57" t="n">
        <f aca="false">IF(Apixaban!$B$2=1,EXP(LN(or_apx_ich)*D63)*(1-EXP(-r_ich*dt))/(1-(1-EXP(-r_ich*dt))+EXP(LN(or_apx_ich)*D63)*(1-EXP(-r_ich*dt))),(1-EXP(-r_ich*dt)))</f>
        <v>0.000843513249640701</v>
      </c>
      <c r="P63" s="57" t="n">
        <f aca="false">IF(Apixaban!$B$2=1,EXP(LN(or_apx_mb)*D63)*(1-EXP(-r_mb*dt))/(1-(1-EXP(-r_mb*dt))+EXP(LN(or_apx_mb)*D63)*(1-EXP(-r_mb*dt))),(1-EXP(-r_mb*dt)))</f>
        <v>0.00669446907979895</v>
      </c>
      <c r="Q63" s="57" t="n">
        <f aca="false">IF(Apixaban!$B$2=1,EXP(LN(or_apx_mi)*D63)*(1-EXP(-r_mi*dt))/(1-(1-EXP(-r_mi*dt))+EXP(LN(or_apx_mi)*D63)*(1-EXP(-r_mi*dt))),(1-EXP(-r_mi*dt)))</f>
        <v>0.00132321915530843</v>
      </c>
      <c r="R63" s="57" t="n">
        <f aca="false">(1-EXP(-r_tia*dt))</f>
        <v>0.0020060281549299</v>
      </c>
      <c r="S63" s="57" t="n">
        <f aca="false">(1-EXP(-r_minor*dt))</f>
        <v>0.0437937690785545</v>
      </c>
      <c r="T63" s="57" t="n">
        <f aca="false">M63*N63</f>
        <v>0.000932952137480169</v>
      </c>
      <c r="U63" s="57" t="n">
        <f aca="false">M63*O63</f>
        <v>0.000138912833814819</v>
      </c>
      <c r="V63" s="57" t="n">
        <f aca="false">M63*P63</f>
        <v>0.00110246954764098</v>
      </c>
      <c r="W63" s="57" t="n">
        <f aca="false">M63*Q63</f>
        <v>0.000217912549328942</v>
      </c>
      <c r="X63" s="57" t="n">
        <f aca="false">M63*R63</f>
        <v>0.000330360022005965</v>
      </c>
      <c r="Y63" s="57" t="n">
        <f aca="false">M63*S63</f>
        <v>0.00721211737779474</v>
      </c>
      <c r="Z63" s="57" t="n">
        <f aca="false">T63*f_stroke_fatal</f>
        <v>0.0002211096565828</v>
      </c>
      <c r="AA63" s="57" t="n">
        <f aca="false">T63*(1-f_stroke_fatal)*f_stroke_major</f>
        <v>0.000237043546138824</v>
      </c>
      <c r="AB63" s="57" t="n">
        <f aca="false">T63*(1-f_stroke_fatal)*(1-f_stroke_major)</f>
        <v>0.000474798934758545</v>
      </c>
      <c r="AC63" s="57" t="n">
        <f aca="false">U63*(1-f_bleed_fatal)</f>
        <v>0.000127244155774374</v>
      </c>
      <c r="AD63" s="57" t="n">
        <f aca="false">V63*(1-f_bleed_fatal)</f>
        <v>0.00100986210563914</v>
      </c>
      <c r="AE63" s="57" t="n">
        <f aca="false">W63*f_mi_fatal</f>
        <v>2.6367418468802E-005</v>
      </c>
      <c r="AF63" s="57" t="n">
        <f aca="false">W63-AE63</f>
        <v>0.00019154513086014</v>
      </c>
      <c r="AG63" s="57" t="n">
        <f aca="false">M63-T63-U63-V63-AE63</f>
        <v>0.162482939812135</v>
      </c>
      <c r="AH63" s="19" t="n">
        <f aca="false">Z63*c_stroke_fatal+AA63*c_stroke_major+AB63*c_stroke_minor+U63*c_ich+V63*c_major_bleed+AE63*c_mi_fatal+AF63*c_mi_nonfatal+X63*c_tia+Y63*c_minor_bleed</f>
        <v>50.4729569785408</v>
      </c>
      <c r="AI63" s="57" t="n">
        <f aca="false">dt*(AF63*dec_mi+AD63*dec_major_bleed+Y63*dec_minor_bleed+X63*dec_tia)</f>
        <v>6.11587658135661E-005</v>
      </c>
      <c r="AJ63" s="57" t="n">
        <f aca="false">G63*L63+Z63+U63-AC63+V63-AD63+AE63</f>
        <v>0.0068188175056685</v>
      </c>
      <c r="AK63" s="57" t="n">
        <f aca="false">1-EXP(LN(1-E63)*hr_death_prior_stroke*dt)</f>
        <v>0.084780922206057</v>
      </c>
      <c r="AL63" s="57" t="n">
        <f aca="false">H63*(1-AK63)</f>
        <v>0.0180404193942021</v>
      </c>
      <c r="AM63" s="57" t="n">
        <f aca="false">(1-EXP(-r_stroke*F63*rr_stroke_prior*rr_asa_stroke*dt))</f>
        <v>0.0252857592577641</v>
      </c>
      <c r="AN63" s="57" t="n">
        <f aca="false">(1-EXP(-r_ich*rr_asa_ich*dt))</f>
        <v>0.00102357767802375</v>
      </c>
      <c r="AO63" s="57" t="n">
        <f aca="false">(1-EXP(-r_mb*rr_asa_mb*dt))</f>
        <v>0.00951809672747972</v>
      </c>
      <c r="AP63" s="57" t="n">
        <f aca="false">(1-EXP(-r_mi*rr_asa_mi*dt))</f>
        <v>0.00213413516393479</v>
      </c>
      <c r="AQ63" s="57" t="n">
        <f aca="false">(1-EXP(-r_tia*rr_asa_tia*dt))</f>
        <v>0.00312764565589152</v>
      </c>
      <c r="AR63" s="57" t="n">
        <f aca="false">(1-EXP(-r_minor*rr_asa_minor*dt))</f>
        <v>0.0278181950466747</v>
      </c>
      <c r="AS63" s="57" t="n">
        <f aca="false">AL63*AM63</f>
        <v>0.000456165701710894</v>
      </c>
      <c r="AT63" s="57" t="n">
        <f aca="false">AL63*AN63</f>
        <v>1.8465770594092E-005</v>
      </c>
      <c r="AU63" s="57" t="n">
        <f aca="false">AL63*AO63</f>
        <v>0.000171710456798317</v>
      </c>
      <c r="AV63" s="57" t="n">
        <f aca="false">AL63*AP63</f>
        <v>3.8500693401298E-005</v>
      </c>
      <c r="AW63" s="57" t="n">
        <f aca="false">AL63*AQ63</f>
        <v>5.64240393487374E-005</v>
      </c>
      <c r="AX63" s="57" t="n">
        <f aca="false">AL63*AR63</f>
        <v>0.000501851905431728</v>
      </c>
      <c r="AY63" s="57" t="n">
        <f aca="false">AS63*f_stroke_fatal_recur</f>
        <v>0.000169734695949606</v>
      </c>
      <c r="AZ63" s="57" t="n">
        <f aca="false">AS63*(1-f_stroke_fatal_recur)*f_stroke_major</f>
        <v>9.53815249185087E-005</v>
      </c>
      <c r="BA63" s="57" t="n">
        <f aca="false">AS63*(1-f_stroke_fatal_recur)*(1-f_stroke_major)</f>
        <v>0.000191049480842779</v>
      </c>
      <c r="BB63" s="57" t="n">
        <f aca="false">AT63*(1-f_bleed_fatal)</f>
        <v>1.69146458641883E-005</v>
      </c>
      <c r="BC63" s="57" t="n">
        <f aca="false">AU63*(1-f_bleed_fatal)</f>
        <v>0.000157286778427258</v>
      </c>
      <c r="BD63" s="57" t="n">
        <f aca="false">AV63*f_mi_fatal</f>
        <v>4.65858390155706E-006</v>
      </c>
      <c r="BE63" s="57" t="n">
        <f aca="false">AV63-BD63</f>
        <v>3.38421094997409E-005</v>
      </c>
      <c r="BF63" s="57" t="n">
        <f aca="false">AL63-AS63-AT63-AU63-BD63</f>
        <v>0.0173894188811973</v>
      </c>
      <c r="BG63" s="19" t="n">
        <f aca="false">AY63*c_stroke_fatal+AZ63*c_stroke_major+BA63*c_stroke_minor+AT63*c_ich+AU63*c_major_bleed+BD63*c_mi_fatal+BE63*c_mi_nonfatal+AW63*c_tia+AX63*c_minor_bleed</f>
        <v>18.1576371905562</v>
      </c>
      <c r="BH63" s="57" t="n">
        <f aca="false">dt*(BE63*dec_mi+BC63*dec_major_bleed+AX63*dec_minor_bleed+AW63*dec_tia)</f>
        <v>7.75909953157695E-006</v>
      </c>
      <c r="BI63" s="57" t="n">
        <f aca="false">H63*AK63+AY63+AT63-BB63+AU63-BC63+BD63</f>
        <v>0.00186153450674563</v>
      </c>
      <c r="BJ63" s="57" t="n">
        <f aca="false">1-EXP(LN(1-E63)*hr_death_prior_stroke*dt)</f>
        <v>0.084780922206057</v>
      </c>
      <c r="BK63" s="57" t="n">
        <f aca="false">I63*(1-BJ63)</f>
        <v>0.00912164091450833</v>
      </c>
      <c r="BL63" s="57" t="n">
        <f aca="false">(1-EXP(-r_stroke*F63*rr_stroke_prior*rr_asa_stroke*dt))</f>
        <v>0.0252857592577641</v>
      </c>
      <c r="BM63" s="57" t="n">
        <f aca="false">(1-EXP(-r_ich*rr_asa_ich*dt))</f>
        <v>0.00102357767802375</v>
      </c>
      <c r="BN63" s="57" t="n">
        <f aca="false">(1-EXP(-r_mb*rr_asa_mb*dt))</f>
        <v>0.00951809672747972</v>
      </c>
      <c r="BO63" s="57" t="n">
        <f aca="false">(1-EXP(-r_mi*rr_asa_mi*dt))</f>
        <v>0.00213413516393479</v>
      </c>
      <c r="BP63" s="57" t="n">
        <f aca="false">(1-EXP(-r_tia*rr_asa_tia*dt))</f>
        <v>0.00312764565589152</v>
      </c>
      <c r="BQ63" s="57" t="n">
        <f aca="false">(1-EXP(-r_minor*rr_asa_minor*dt))</f>
        <v>0.0278181950466747</v>
      </c>
      <c r="BR63" s="57" t="n">
        <f aca="false">BK63*BL63</f>
        <v>0.000230647616200029</v>
      </c>
      <c r="BS63" s="57" t="n">
        <f aca="false">BK63*BM63</f>
        <v>9.33670802703884E-006</v>
      </c>
      <c r="BT63" s="57" t="n">
        <f aca="false">BK63*BN63</f>
        <v>8.68206605376269E-005</v>
      </c>
      <c r="BU63" s="57" t="n">
        <f aca="false">BK63*BO63</f>
        <v>1.94668146284385E-005</v>
      </c>
      <c r="BV63" s="57" t="n">
        <f aca="false">BK63*BP63</f>
        <v>2.85292605808643E-005</v>
      </c>
      <c r="BW63" s="57" t="n">
        <f aca="false">BK63*BQ63</f>
        <v>0.000253747586105521</v>
      </c>
      <c r="BX63" s="57" t="n">
        <f aca="false">BR63*f_stroke_fatal_recur</f>
        <v>8.58216715118687E-005</v>
      </c>
      <c r="BY63" s="57" t="n">
        <f aca="false">BR63*(1-f_stroke_fatal_recur)*f_stroke_major</f>
        <v>4.82270395811573E-005</v>
      </c>
      <c r="BZ63" s="57" t="n">
        <f aca="false">BR63*(1-f_stroke_fatal_recur)*(1-f_stroke_major)</f>
        <v>9.65989051070028E-005</v>
      </c>
      <c r="CA63" s="57" t="n">
        <f aca="false">BS63*(1-f_bleed_fatal)</f>
        <v>8.55242455276757E-006</v>
      </c>
      <c r="CB63" s="57" t="n">
        <f aca="false">BT63*(1-f_bleed_fatal)</f>
        <v>7.95277250524662E-005</v>
      </c>
      <c r="CC63" s="57" t="n">
        <f aca="false">BU63*f_mi_fatal</f>
        <v>2.35548457004106E-006</v>
      </c>
      <c r="CD63" s="57" t="n">
        <f aca="false">BU63-CC63</f>
        <v>1.71113300583975E-005</v>
      </c>
      <c r="CE63" s="57" t="n">
        <f aca="false">BK63-BR63-BS63-BT63-CC63</f>
        <v>0.00879248044517359</v>
      </c>
      <c r="CF63" s="19" t="n">
        <f aca="false">BX63*c_stroke_fatal+BY63*c_stroke_major+BZ63*c_stroke_minor+BS63*c_ich+BT63*c_major_bleed+CC63*c_mi_fatal+CD63*c_mi_nonfatal+BV63*c_tia+BW63*c_minor_bleed</f>
        <v>9.18090886298384</v>
      </c>
      <c r="CG63" s="57" t="n">
        <f aca="false">dt*(CD63*dec_mi+CB63*dec_major_bleed+BW63*dec_minor_bleed+BV63*dec_tia)</f>
        <v>3.92317485533184E-006</v>
      </c>
      <c r="CH63" s="57" t="n">
        <f aca="false">I63*BJ63+BX63+BS63-CA63+BT63-CB63+CC63</f>
        <v>0.00094123362375695</v>
      </c>
      <c r="CI63" s="57" t="n">
        <f aca="false">1-EXP(LN(1-E63)*dt)</f>
        <v>0.03778578808961</v>
      </c>
      <c r="CJ63" s="57" t="n">
        <f aca="false">J63*(1-CI63)</f>
        <v>0.0594528773904394</v>
      </c>
      <c r="CK63" s="57" t="n">
        <f aca="false">(1-EXP(-r_stroke*F63*rr_asa_stroke*dt))</f>
        <v>0.0115738369985862</v>
      </c>
      <c r="CL63" s="57" t="n">
        <f aca="false">(1-EXP(-r_ich*rr_asa_ich*dt))</f>
        <v>0.00102357767802375</v>
      </c>
      <c r="CM63" s="57" t="n">
        <f aca="false">(1-EXP(-r_mb*rr_asa_mb*dt))</f>
        <v>0.00951809672747972</v>
      </c>
      <c r="CN63" s="57" t="n">
        <f aca="false">(1-EXP(-r_mi*rr_asa_mi*dt))</f>
        <v>0.00213413516393479</v>
      </c>
      <c r="CO63" s="57" t="n">
        <f aca="false">(1-EXP(-r_tia*rr_asa_tia*dt))</f>
        <v>0.00312764565589152</v>
      </c>
      <c r="CP63" s="57" t="n">
        <f aca="false">(1-EXP(-r_minor*rr_asa_minor*dt))</f>
        <v>0.0278181950466747</v>
      </c>
      <c r="CQ63" s="57" t="n">
        <f aca="false">CJ63*CK63</f>
        <v>0.000688097912013874</v>
      </c>
      <c r="CR63" s="57" t="n">
        <f aca="false">CJ63*CL63</f>
        <v>6.08546381911364E-005</v>
      </c>
      <c r="CS63" s="57" t="n">
        <f aca="false">CJ63*CM63</f>
        <v>0.000565878237729194</v>
      </c>
      <c r="CT63" s="57" t="n">
        <f aca="false">CJ63*CN63</f>
        <v>0.00012688047623604</v>
      </c>
      <c r="CU63" s="57" t="n">
        <f aca="false">CJ63*CO63</f>
        <v>0.000185947533700459</v>
      </c>
      <c r="CV63" s="57" t="n">
        <f aca="false">CJ63*CP63</f>
        <v>0.00165387173933328</v>
      </c>
      <c r="CW63" s="57" t="n">
        <f aca="false">CQ63*f_stroke_fatal</f>
        <v>0.000163079205147288</v>
      </c>
      <c r="CX63" s="57" t="n">
        <f aca="false">CQ63*(1-f_stroke_fatal)*f_stroke_major</f>
        <v>0.000174831229386573</v>
      </c>
      <c r="CY63" s="57" t="n">
        <f aca="false">CQ63*(1-f_stroke_fatal)*(1-f_stroke_major)</f>
        <v>0.000350187477480013</v>
      </c>
      <c r="CZ63" s="57" t="n">
        <f aca="false">CR63*(1-f_bleed_fatal)</f>
        <v>5.5742848583081E-005</v>
      </c>
      <c r="DA63" s="57" t="n">
        <f aca="false">CS63*(1-f_bleed_fatal)</f>
        <v>0.000518344465759942</v>
      </c>
      <c r="DB63" s="57" t="n">
        <f aca="false">CT63*f_mi_fatal</f>
        <v>1.53525376245609E-005</v>
      </c>
      <c r="DC63" s="57" t="n">
        <f aca="false">CT63-DB63</f>
        <v>0.00011152793861148</v>
      </c>
      <c r="DD63" s="57" t="n">
        <f aca="false">CJ63-CQ63-CR63-CS63-DB63</f>
        <v>0.0581226940648806</v>
      </c>
      <c r="DE63" s="19" t="n">
        <f aca="false">CW63*c_stroke_fatal+CX63*c_stroke_major+CY63*c_stroke_minor+CR63*c_ich+CS63*c_major_bleed+DB63*c_mi_fatal+DC63*c_mi_nonfatal+CU63*c_tia+CV63*c_minor_bleed</f>
        <v>33.4294084047202</v>
      </c>
      <c r="DF63" s="57" t="n">
        <f aca="false">dt*(DC63*dec_mi+DA63*dec_major_bleed+CV63*dec_minor_bleed+CU63*dec_tia)</f>
        <v>2.55704029397074E-005</v>
      </c>
      <c r="DG63" s="57" t="n">
        <f aca="false">J63*CI63+CW63+CR63-CZ63+CS63-DA63+DB63</f>
        <v>0.00256576930804814</v>
      </c>
      <c r="DH63" s="57" t="n">
        <f aca="false">AG63</f>
        <v>0.162482939812135</v>
      </c>
      <c r="DI63" s="57" t="n">
        <f aca="false">AB63+AC63+BF63+BA63+BB63+BC63+CY63+CZ63</f>
        <v>0.0187626432029275</v>
      </c>
      <c r="DJ63" s="57" t="n">
        <f aca="false">AA63+AZ63+BY63+CX63+CE63+BZ63+CA63+CB63</f>
        <v>0.00953264283991089</v>
      </c>
      <c r="DK63" s="57" t="n">
        <f aca="false">AD63+DD63+DA63</f>
        <v>0.0596509006362797</v>
      </c>
      <c r="DL63" s="57" t="n">
        <f aca="false">K63+AJ63+BI63+CH63+DG63</f>
        <v>0.749570873508747</v>
      </c>
      <c r="DM63" s="58" t="n">
        <f aca="false">SUM(DH63:DL63)</f>
        <v>1</v>
      </c>
      <c r="DN63" s="19" t="n">
        <f aca="false">dt*(G63*Apixaban!$H$2+(H63+I63+J63)*c_aspirin)</f>
        <v>13.6578187859864</v>
      </c>
      <c r="DO63" s="19" t="n">
        <f aca="false">dt*(H63*c_lt_minor_stroke+I63*c_lt_major_stroke)</f>
        <v>118.355524854407</v>
      </c>
      <c r="DP63" s="19" t="n">
        <f aca="false">AH63+BG63+CF63+DE63</f>
        <v>111.240911436801</v>
      </c>
      <c r="DQ63" s="19" t="n">
        <f aca="false">DN63+DO63+DP63</f>
        <v>243.254255077195</v>
      </c>
      <c r="DR63" s="57" t="n">
        <f aca="false">dt*(G63*(u_af-dec_per_year_over_70*MAX(B63-ref_age,0))+H63*(u_minor_stroke-dec_per_year_over_70*MAX(B63-ref_age,0))+I63*(u_major_stroke-dec_per_year_over_70*MAX(B63-ref_age,0))+J63*(u_af-dec_per_year_over_70*MAX(B63-ref_age,0)))-AI63-BH63-CG63-DF63</f>
        <v>0.0513249204914092</v>
      </c>
      <c r="DS63" s="57" t="n">
        <f aca="false">dt*(G63+H63+I63+J63)</f>
        <v>0.0656541203588681</v>
      </c>
      <c r="DT63" s="19" t="n">
        <f aca="false">DQ63*C63</f>
        <v>196.752085204714</v>
      </c>
      <c r="DU63" s="19" t="n">
        <f aca="false">DN63*C63</f>
        <v>11.0468954577513</v>
      </c>
      <c r="DV63" s="19" t="n">
        <f aca="false">DP63*C63</f>
        <v>89.9753275777967</v>
      </c>
      <c r="DW63" s="19" t="n">
        <f aca="false">DO63*C63</f>
        <v>95.7298621691658</v>
      </c>
      <c r="DX63" s="57" t="n">
        <f aca="false">DR63*C63</f>
        <v>0.0415132928566709</v>
      </c>
      <c r="DY63" s="57" t="n">
        <f aca="false">DS63*C63</f>
        <v>0.0531032235337025</v>
      </c>
      <c r="DZ63" s="57" t="n">
        <f aca="false">T63+AS63+BR63+CQ63</f>
        <v>0.00230786336740497</v>
      </c>
      <c r="EA63" s="57" t="n">
        <f aca="false">U63+AT63+BS63+CR63</f>
        <v>0.000227569950627087</v>
      </c>
      <c r="EB63" s="57" t="n">
        <f aca="false">V63+AU63+BT63+CS63</f>
        <v>0.00192687890270612</v>
      </c>
      <c r="EC63" s="57" t="n">
        <f aca="false">G63*dt*C63</f>
        <v>0.0346080876271828</v>
      </c>
    </row>
    <row r="64" customFormat="false" ht="15" hidden="false" customHeight="false" outlineLevel="0" collapsed="false">
      <c r="A64" s="8" t="n">
        <v>58</v>
      </c>
      <c r="B64" s="54" t="n">
        <f aca="false">start_age+A64*dt</f>
        <v>84.5</v>
      </c>
      <c r="C64" s="16" t="n">
        <f aca="false">(1+disc_rate)^-(A64*dt)</f>
        <v>0.805828062526422</v>
      </c>
      <c r="D64" s="55" t="n">
        <f aca="false">IF(A64*dt&gt;=wane_start,(1-wane_decay)^(A64*dt-wane_start),1)</f>
        <v>1</v>
      </c>
      <c r="E64" s="25" t="n">
        <f aca="false">MIN(p_nonvasc_death*MIN(EXP(gomp_int+gomp_slope*INT(B64)),1)/qx_ref,0.999)</f>
        <v>0.142790316175049</v>
      </c>
      <c r="F64" s="55" t="n">
        <f aca="false">rr_stroke_per_decade^((B64-ref_age)/10)</f>
        <v>1.80024795241482</v>
      </c>
      <c r="G64" s="57" t="n">
        <f aca="false">DH63</f>
        <v>0.162482939812135</v>
      </c>
      <c r="H64" s="57" t="n">
        <f aca="false">DI63</f>
        <v>0.0187626432029275</v>
      </c>
      <c r="I64" s="57" t="n">
        <f aca="false">DJ63</f>
        <v>0.00953264283991089</v>
      </c>
      <c r="J64" s="57" t="n">
        <f aca="false">DK63</f>
        <v>0.0596509006362797</v>
      </c>
      <c r="K64" s="57" t="n">
        <f aca="false">DL63</f>
        <v>0.749570873508747</v>
      </c>
      <c r="L64" s="57" t="n">
        <f aca="false">1-EXP(LN(1-E64)*dt)</f>
        <v>0.03778578808961</v>
      </c>
      <c r="M64" s="57" t="n">
        <f aca="false">G64*(1-L64)</f>
        <v>0.156343393880217</v>
      </c>
      <c r="N64" s="57" t="n">
        <f aca="false">IF(Apixaban!$B$2=1,EXP(LN(or_apx_stroke)*D64)*(1-EXP(-r_stroke*F64*dt))/(1-(1-EXP(-r_stroke*F64*dt))+EXP(LN(or_apx_stroke)*D64)*(1-EXP(-r_stroke*F64*dt))),(1-EXP(-r_stroke*F64*dt)))</f>
        <v>0.00572271270348888</v>
      </c>
      <c r="O64" s="57" t="n">
        <f aca="false">IF(Apixaban!$B$2=1,EXP(LN(or_apx_ich)*D64)*(1-EXP(-r_ich*dt))/(1-(1-EXP(-r_ich*dt))+EXP(LN(or_apx_ich)*D64)*(1-EXP(-r_ich*dt))),(1-EXP(-r_ich*dt)))</f>
        <v>0.000843513249640701</v>
      </c>
      <c r="P64" s="57" t="n">
        <f aca="false">IF(Apixaban!$B$2=1,EXP(LN(or_apx_mb)*D64)*(1-EXP(-r_mb*dt))/(1-(1-EXP(-r_mb*dt))+EXP(LN(or_apx_mb)*D64)*(1-EXP(-r_mb*dt))),(1-EXP(-r_mb*dt)))</f>
        <v>0.00669446907979895</v>
      </c>
      <c r="Q64" s="57" t="n">
        <f aca="false">IF(Apixaban!$B$2=1,EXP(LN(or_apx_mi)*D64)*(1-EXP(-r_mi*dt))/(1-(1-EXP(-r_mi*dt))+EXP(LN(or_apx_mi)*D64)*(1-EXP(-r_mi*dt))),(1-EXP(-r_mi*dt)))</f>
        <v>0.00132321915530843</v>
      </c>
      <c r="R64" s="57" t="n">
        <f aca="false">(1-EXP(-r_tia*dt))</f>
        <v>0.0020060281549299</v>
      </c>
      <c r="S64" s="57" t="n">
        <f aca="false">(1-EXP(-r_minor*dt))</f>
        <v>0.0437937690785545</v>
      </c>
      <c r="T64" s="57" t="n">
        <f aca="false">M64*N64</f>
        <v>0.000894708326264882</v>
      </c>
      <c r="U64" s="57" t="n">
        <f aca="false">M64*O64</f>
        <v>0.000131877724231758</v>
      </c>
      <c r="V64" s="57" t="n">
        <f aca="false">M64*P64</f>
        <v>0.00104663601616194</v>
      </c>
      <c r="W64" s="57" t="n">
        <f aca="false">M64*Q64</f>
        <v>0.000206876573588233</v>
      </c>
      <c r="X64" s="57" t="n">
        <f aca="false">M64*R64</f>
        <v>0.000313629249961009</v>
      </c>
      <c r="Y64" s="57" t="n">
        <f aca="false">M64*S64</f>
        <v>0.0068468664885477</v>
      </c>
      <c r="Z64" s="57" t="n">
        <f aca="false">T64*f_stroke_fatal</f>
        <v>0.000212045873324777</v>
      </c>
      <c r="AA64" s="57" t="n">
        <f aca="false">T64*(1-f_stroke_fatal)*f_stroke_major</f>
        <v>0.000227326596829055</v>
      </c>
      <c r="AB64" s="57" t="n">
        <f aca="false">T64*(1-f_stroke_fatal)*(1-f_stroke_major)</f>
        <v>0.00045533585611105</v>
      </c>
      <c r="AC64" s="57" t="n">
        <f aca="false">U64*(1-f_bleed_fatal)</f>
        <v>0.00012079999539629</v>
      </c>
      <c r="AD64" s="57" t="n">
        <f aca="false">V64*(1-f_bleed_fatal)</f>
        <v>0.000958718590804337</v>
      </c>
      <c r="AE64" s="57" t="n">
        <f aca="false">W64*f_mi_fatal</f>
        <v>2.50320654041762E-005</v>
      </c>
      <c r="AF64" s="57" t="n">
        <f aca="false">W64-AE64</f>
        <v>0.000181844508184057</v>
      </c>
      <c r="AG64" s="57" t="n">
        <f aca="false">M64-T64-U64-V64-AE64</f>
        <v>0.154245139748154</v>
      </c>
      <c r="AH64" s="19" t="n">
        <f aca="false">Z64*c_stroke_fatal+AA64*c_stroke_major+AB64*c_stroke_minor+U64*c_ich+V64*c_major_bleed+AE64*c_mi_fatal+AF64*c_mi_nonfatal+X64*c_tia+Y64*c_minor_bleed</f>
        <v>48.2495028792403</v>
      </c>
      <c r="AI64" s="57" t="n">
        <f aca="false">dt*(AF64*dec_mi+AD64*dec_major_bleed+Y64*dec_minor_bleed+X64*dec_tia)</f>
        <v>5.80614377435276E-005</v>
      </c>
      <c r="AJ64" s="57" t="n">
        <f aca="false">G64*L64+Z64+U64-AC64+V64-AD64+AE64</f>
        <v>0.00647561902484021</v>
      </c>
      <c r="AK64" s="57" t="n">
        <f aca="false">1-EXP(LN(1-E64)*hr_death_prior_stroke*dt)</f>
        <v>0.084780922206057</v>
      </c>
      <c r="AL64" s="57" t="n">
        <f aca="false">H64*(1-AK64)</f>
        <v>0.0171719290091601</v>
      </c>
      <c r="AM64" s="57" t="n">
        <f aca="false">(1-EXP(-r_stroke*F64*rr_stroke_prior*rr_asa_stroke*dt))</f>
        <v>0.0255400570692318</v>
      </c>
      <c r="AN64" s="57" t="n">
        <f aca="false">(1-EXP(-r_ich*rr_asa_ich*dt))</f>
        <v>0.00102357767802375</v>
      </c>
      <c r="AO64" s="57" t="n">
        <f aca="false">(1-EXP(-r_mb*rr_asa_mb*dt))</f>
        <v>0.00951809672747972</v>
      </c>
      <c r="AP64" s="57" t="n">
        <f aca="false">(1-EXP(-r_mi*rr_asa_mi*dt))</f>
        <v>0.00213413516393479</v>
      </c>
      <c r="AQ64" s="57" t="n">
        <f aca="false">(1-EXP(-r_tia*rr_asa_tia*dt))</f>
        <v>0.00312764565589152</v>
      </c>
      <c r="AR64" s="57" t="n">
        <f aca="false">(1-EXP(-r_minor*rr_asa_minor*dt))</f>
        <v>0.0278181950466747</v>
      </c>
      <c r="AS64" s="57" t="n">
        <f aca="false">AL64*AM64</f>
        <v>0.000438572046882746</v>
      </c>
      <c r="AT64" s="57" t="n">
        <f aca="false">AL64*AN64</f>
        <v>1.75768032223847E-005</v>
      </c>
      <c r="AU64" s="57" t="n">
        <f aca="false">AL64*AO64</f>
        <v>0.000163444081306601</v>
      </c>
      <c r="AV64" s="57" t="n">
        <f aca="false">AL64*AP64</f>
        <v>3.66472175310405E-005</v>
      </c>
      <c r="AW64" s="57" t="n">
        <f aca="false">AL64*AQ64</f>
        <v>5.37077091687772E-005</v>
      </c>
      <c r="AX64" s="57" t="n">
        <f aca="false">AL64*AR64</f>
        <v>0.000477692070504468</v>
      </c>
      <c r="AY64" s="57" t="n">
        <f aca="false">AS64*f_stroke_fatal_recur</f>
        <v>0.000163188272924601</v>
      </c>
      <c r="AZ64" s="57" t="n">
        <f aca="false">AS64*(1-f_stroke_fatal_recur)*f_stroke_major</f>
        <v>9.17027967280624E-005</v>
      </c>
      <c r="BA64" s="57" t="n">
        <f aca="false">AS64*(1-f_stroke_fatal_recur)*(1-f_stroke_major)</f>
        <v>0.000183680977230083</v>
      </c>
      <c r="BB64" s="57" t="n">
        <f aca="false">AT64*(1-f_bleed_fatal)</f>
        <v>1.61003517517044E-005</v>
      </c>
      <c r="BC64" s="57" t="n">
        <f aca="false">AU64*(1-f_bleed_fatal)</f>
        <v>0.000149714778476847</v>
      </c>
      <c r="BD64" s="57" t="n">
        <f aca="false">AV64*f_mi_fatal</f>
        <v>4.4343133212559E-006</v>
      </c>
      <c r="BE64" s="57" t="n">
        <f aca="false">AV64-BD64</f>
        <v>3.22129042097846E-005</v>
      </c>
      <c r="BF64" s="57" t="n">
        <f aca="false">AL64-AS64-AT64-AU64-BD64</f>
        <v>0.0165479017644271</v>
      </c>
      <c r="BG64" s="19" t="n">
        <f aca="false">AY64*c_stroke_fatal+AZ64*c_stroke_major+BA64*c_stroke_minor+AT64*c_ich+AU64*c_major_bleed+BD64*c_mi_fatal+BE64*c_mi_nonfatal+AW64*c_tia+AX64*c_minor_bleed</f>
        <v>17.434068121767</v>
      </c>
      <c r="BH64" s="57" t="n">
        <f aca="false">dt*(BE64*dec_mi+BC64*dec_major_bleed+AX64*dec_minor_bleed+AW64*dec_tia)</f>
        <v>7.38556590175877E-006</v>
      </c>
      <c r="BI64" s="57" t="n">
        <f aca="false">H64*AK64+AY64+AT64-BB64+AU64-BC64+BD64</f>
        <v>0.00177354253431369</v>
      </c>
      <c r="BJ64" s="57" t="n">
        <f aca="false">1-EXP(LN(1-E64)*hr_death_prior_stroke*dt)</f>
        <v>0.084780922206057</v>
      </c>
      <c r="BK64" s="57" t="n">
        <f aca="false">I64*(1-BJ64)</f>
        <v>0.00872445658888228</v>
      </c>
      <c r="BL64" s="57" t="n">
        <f aca="false">(1-EXP(-r_stroke*F64*rr_stroke_prior*rr_asa_stroke*dt))</f>
        <v>0.0255400570692318</v>
      </c>
      <c r="BM64" s="57" t="n">
        <f aca="false">(1-EXP(-r_ich*rr_asa_ich*dt))</f>
        <v>0.00102357767802375</v>
      </c>
      <c r="BN64" s="57" t="n">
        <f aca="false">(1-EXP(-r_mb*rr_asa_mb*dt))</f>
        <v>0.00951809672747972</v>
      </c>
      <c r="BO64" s="57" t="n">
        <f aca="false">(1-EXP(-r_mi*rr_asa_mi*dt))</f>
        <v>0.00213413516393479</v>
      </c>
      <c r="BP64" s="57" t="n">
        <f aca="false">(1-EXP(-r_tia*rr_asa_tia*dt))</f>
        <v>0.00312764565589152</v>
      </c>
      <c r="BQ64" s="57" t="n">
        <f aca="false">(1-EXP(-r_minor*rr_asa_minor*dt))</f>
        <v>0.0278181950466747</v>
      </c>
      <c r="BR64" s="57" t="n">
        <f aca="false">BK64*BL64</f>
        <v>0.000222823119178089</v>
      </c>
      <c r="BS64" s="57" t="n">
        <f aca="false">BK64*BM64</f>
        <v>8.9301590172671E-006</v>
      </c>
      <c r="BT64" s="57" t="n">
        <f aca="false">BK64*BN64</f>
        <v>8.30402217076793E-005</v>
      </c>
      <c r="BU64" s="57" t="n">
        <f aca="false">BK64*BO64</f>
        <v>1.86191695925563E-005</v>
      </c>
      <c r="BV64" s="57" t="n">
        <f aca="false">BK64*BP64</f>
        <v>2.72870087502318E-005</v>
      </c>
      <c r="BW64" s="57" t="n">
        <f aca="false">BK64*BQ64</f>
        <v>0.000242698635065774</v>
      </c>
      <c r="BX64" s="57" t="n">
        <f aca="false">BR64*f_stroke_fatal_recur</f>
        <v>8.29102544149751E-005</v>
      </c>
      <c r="BY64" s="57" t="n">
        <f aca="false">BR64*(1-f_stroke_fatal_recur)*f_stroke_major</f>
        <v>4.65909839661169E-005</v>
      </c>
      <c r="BZ64" s="57" t="n">
        <f aca="false">BR64*(1-f_stroke_fatal_recur)*(1-f_stroke_major)</f>
        <v>9.33218807969969E-005</v>
      </c>
      <c r="CA64" s="57" t="n">
        <f aca="false">BS64*(1-f_bleed_fatal)</f>
        <v>8.18002565981666E-006</v>
      </c>
      <c r="CB64" s="57" t="n">
        <f aca="false">BT64*(1-f_bleed_fatal)</f>
        <v>7.60648430842343E-005</v>
      </c>
      <c r="CC64" s="57" t="n">
        <f aca="false">BU64*f_mi_fatal</f>
        <v>2.25291952069931E-006</v>
      </c>
      <c r="CD64" s="57" t="n">
        <f aca="false">BU64-CC64</f>
        <v>1.6366250071857E-005</v>
      </c>
      <c r="CE64" s="57" t="n">
        <f aca="false">BK64-BR64-BS64-BT64-CC64</f>
        <v>0.00840741016945855</v>
      </c>
      <c r="CF64" s="19" t="n">
        <f aca="false">BX64*c_stroke_fatal+BY64*c_stroke_major+BZ64*c_stroke_minor+BS64*c_ich+BT64*c_major_bleed+CC64*c_mi_fatal+CD64*c_mi_nonfatal+BV64*c_tia+BW64*c_minor_bleed</f>
        <v>8.85764030440819</v>
      </c>
      <c r="CG64" s="57" t="n">
        <f aca="false">dt*(CD64*dec_mi+CB64*dec_major_bleed+BW64*dec_minor_bleed+BV64*dec_tia)</f>
        <v>3.75234774496515E-006</v>
      </c>
      <c r="CH64" s="57" t="n">
        <f aca="false">I64*BJ64+BX64+BS64-CA64+BT64-CB64+CC64</f>
        <v>0.000901074936945182</v>
      </c>
      <c r="CI64" s="57" t="n">
        <f aca="false">1-EXP(LN(1-E64)*dt)</f>
        <v>0.03778578808961</v>
      </c>
      <c r="CJ64" s="57" t="n">
        <f aca="false">J64*(1-CI64)</f>
        <v>0.0573969443454828</v>
      </c>
      <c r="CK64" s="57" t="n">
        <f aca="false">(1-EXP(-r_stroke*F64*rr_asa_stroke*dt))</f>
        <v>0.0116910613307907</v>
      </c>
      <c r="CL64" s="57" t="n">
        <f aca="false">(1-EXP(-r_ich*rr_asa_ich*dt))</f>
        <v>0.00102357767802375</v>
      </c>
      <c r="CM64" s="57" t="n">
        <f aca="false">(1-EXP(-r_mb*rr_asa_mb*dt))</f>
        <v>0.00951809672747972</v>
      </c>
      <c r="CN64" s="57" t="n">
        <f aca="false">(1-EXP(-r_mi*rr_asa_mi*dt))</f>
        <v>0.00213413516393479</v>
      </c>
      <c r="CO64" s="57" t="n">
        <f aca="false">(1-EXP(-r_tia*rr_asa_tia*dt))</f>
        <v>0.00312764565589152</v>
      </c>
      <c r="CP64" s="57" t="n">
        <f aca="false">(1-EXP(-r_minor*rr_asa_minor*dt))</f>
        <v>0.0278181950466747</v>
      </c>
      <c r="CQ64" s="57" t="n">
        <f aca="false">CJ64*CK64</f>
        <v>0.000671031196543019</v>
      </c>
      <c r="CR64" s="57" t="n">
        <f aca="false">CJ64*CL64</f>
        <v>5.87502310188075E-005</v>
      </c>
      <c r="CS64" s="57" t="n">
        <f aca="false">CJ64*CM64</f>
        <v>0.000546309668142076</v>
      </c>
      <c r="CT64" s="57" t="n">
        <f aca="false">CJ64*CN64</f>
        <v>0.000122492837230103</v>
      </c>
      <c r="CU64" s="57" t="n">
        <f aca="false">CJ64*CO64</f>
        <v>0.000179517303643597</v>
      </c>
      <c r="CV64" s="57" t="n">
        <f aca="false">CJ64*CP64</f>
        <v>0.00159667939288577</v>
      </c>
      <c r="CW64" s="57" t="n">
        <f aca="false">CQ64*f_stroke_fatal</f>
        <v>0.000159034393580695</v>
      </c>
      <c r="CX64" s="57" t="n">
        <f aca="false">CQ64*(1-f_stroke_fatal)*f_stroke_major</f>
        <v>0.000170494935386454</v>
      </c>
      <c r="CY64" s="57" t="n">
        <f aca="false">CQ64*(1-f_stroke_fatal)*(1-f_stroke_major)</f>
        <v>0.00034150186757587</v>
      </c>
      <c r="CZ64" s="57" t="n">
        <f aca="false">CR64*(1-f_bleed_fatal)</f>
        <v>5.38152116132277E-005</v>
      </c>
      <c r="DA64" s="57" t="n">
        <f aca="false">CS64*(1-f_bleed_fatal)</f>
        <v>0.000500419656018141</v>
      </c>
      <c r="DB64" s="57" t="n">
        <f aca="false">CT64*f_mi_fatal</f>
        <v>1.48216333048425E-005</v>
      </c>
      <c r="DC64" s="57" t="n">
        <f aca="false">CT64-DB64</f>
        <v>0.000107671203925261</v>
      </c>
      <c r="DD64" s="57" t="n">
        <f aca="false">CJ64-CQ64-CR64-CS64-DB64</f>
        <v>0.0561060316164741</v>
      </c>
      <c r="DE64" s="19" t="n">
        <f aca="false">CW64*c_stroke_fatal+CX64*c_stroke_major+CY64*c_stroke_minor+CR64*c_ich+CS64*c_major_bleed+DB64*c_mi_fatal+DC64*c_mi_nonfatal+CU64*c_tia+CV64*c_minor_bleed</f>
        <v>32.5219853440216</v>
      </c>
      <c r="DF64" s="57" t="n">
        <f aca="false">dt*(DC64*dec_mi+DA64*dec_major_bleed+CV64*dec_minor_bleed+CU64*dec_tia)</f>
        <v>2.4686155806783E-005</v>
      </c>
      <c r="DG64" s="57" t="n">
        <f aca="false">J64*CI64+CW64+CR64-CZ64+CS64-DA64+DB64</f>
        <v>0.0024786373492119</v>
      </c>
      <c r="DH64" s="57" t="n">
        <f aca="false">AG64</f>
        <v>0.154245139748154</v>
      </c>
      <c r="DI64" s="57" t="n">
        <f aca="false">AB64+AC64+BF64+BA64+BB64+BC64+CY64+CZ64</f>
        <v>0.0178688508025822</v>
      </c>
      <c r="DJ64" s="57" t="n">
        <f aca="false">AA64+AZ64+BY64+CX64+CE64+BZ64+CA64+CB64</f>
        <v>0.00912109223190928</v>
      </c>
      <c r="DK64" s="57" t="n">
        <f aca="false">AD64+DD64+DA64</f>
        <v>0.0575651698632966</v>
      </c>
      <c r="DL64" s="57" t="n">
        <f aca="false">K64+AJ64+BI64+CH64+DG64</f>
        <v>0.761199747354058</v>
      </c>
      <c r="DM64" s="58" t="n">
        <f aca="false">SUM(DH64:DL64)</f>
        <v>1</v>
      </c>
      <c r="DN64" s="19" t="n">
        <f aca="false">dt*(G64*Apixaban!$H$2+(H64+I64+J64)*c_aspirin)</f>
        <v>12.9769904890835</v>
      </c>
      <c r="DO64" s="19" t="n">
        <f aca="false">dt*(H64*c_lt_minor_stroke+I64*c_lt_major_stroke)</f>
        <v>112.956931348456</v>
      </c>
      <c r="DP64" s="19" t="n">
        <f aca="false">AH64+BG64+CF64+DE64</f>
        <v>107.063196649437</v>
      </c>
      <c r="DQ64" s="19" t="n">
        <f aca="false">DN64+DO64+DP64</f>
        <v>232.997118486977</v>
      </c>
      <c r="DR64" s="57" t="n">
        <f aca="false">dt*(G64*(u_af-dec_per_year_over_70*MAX(B64-ref_age,0))+H64*(u_minor_stroke-dec_per_year_over_70*MAX(B64-ref_age,0))+I64*(u_major_stroke-dec_per_year_over_70*MAX(B64-ref_age,0))+J64*(u_af-dec_per_year_over_70*MAX(B64-ref_age,0)))-AI64-BH64-CG64-DF64</f>
        <v>0.0489355884170705</v>
      </c>
      <c r="DS64" s="57" t="n">
        <f aca="false">dt*(G64+H64+I64+J64)</f>
        <v>0.0626072816228133</v>
      </c>
      <c r="DT64" s="19" t="n">
        <f aca="false">DQ64*C64</f>
        <v>187.7556165646</v>
      </c>
      <c r="DU64" s="19" t="n">
        <f aca="false">DN64*C64</f>
        <v>10.4572231032419</v>
      </c>
      <c r="DV64" s="19" t="n">
        <f aca="false">DP64*C64</f>
        <v>86.2745283239012</v>
      </c>
      <c r="DW64" s="19" t="n">
        <f aca="false">DO64*C64</f>
        <v>91.0238651374563</v>
      </c>
      <c r="DX64" s="57" t="n">
        <f aca="false">DR64*C64</f>
        <v>0.0394336704027184</v>
      </c>
      <c r="DY64" s="57" t="n">
        <f aca="false">DS64*C64</f>
        <v>0.0504507044501577</v>
      </c>
      <c r="DZ64" s="57" t="n">
        <f aca="false">T64+AS64+BR64+CQ64</f>
        <v>0.00222713468886874</v>
      </c>
      <c r="EA64" s="57" t="n">
        <f aca="false">U64+AT64+BS64+CR64</f>
        <v>0.000217134917490217</v>
      </c>
      <c r="EB64" s="57" t="n">
        <f aca="false">V64+AU64+BT64+CS64</f>
        <v>0.0018394299873183</v>
      </c>
      <c r="EC64" s="57" t="n">
        <f aca="false">G64*dt*C64</f>
        <v>0.0327333281456025</v>
      </c>
    </row>
    <row r="65" customFormat="false" ht="15" hidden="false" customHeight="false" outlineLevel="0" collapsed="false">
      <c r="A65" s="8" t="n">
        <v>59</v>
      </c>
      <c r="B65" s="54" t="n">
        <f aca="false">start_age+A65*dt</f>
        <v>84.75</v>
      </c>
      <c r="C65" s="16" t="n">
        <f aca="false">(1+disc_rate)^-(A65*dt)</f>
        <v>0.802834222308888</v>
      </c>
      <c r="D65" s="55" t="n">
        <f aca="false">IF(A65*dt&gt;=wane_start,(1-wane_decay)^(A65*dt-wane_start),1)</f>
        <v>1</v>
      </c>
      <c r="E65" s="25" t="n">
        <f aca="false">MIN(p_nonvasc_death*MIN(EXP(gomp_int+gomp_slope*INT(B65)),1)/qx_ref,0.999)</f>
        <v>0.142790316175049</v>
      </c>
      <c r="F65" s="55" t="n">
        <f aca="false">rr_stroke_per_decade^((B65-ref_age)/10)</f>
        <v>1.81858919782063</v>
      </c>
      <c r="G65" s="57" t="n">
        <f aca="false">DH64</f>
        <v>0.154245139748154</v>
      </c>
      <c r="H65" s="57" t="n">
        <f aca="false">DI64</f>
        <v>0.0178688508025822</v>
      </c>
      <c r="I65" s="57" t="n">
        <f aca="false">DJ64</f>
        <v>0.00912109223190928</v>
      </c>
      <c r="J65" s="57" t="n">
        <f aca="false">DK64</f>
        <v>0.0575651698632966</v>
      </c>
      <c r="K65" s="57" t="n">
        <f aca="false">DL64</f>
        <v>0.761199747354058</v>
      </c>
      <c r="L65" s="57" t="n">
        <f aca="false">1-EXP(LN(1-E65)*dt)</f>
        <v>0.03778578808961</v>
      </c>
      <c r="M65" s="57" t="n">
        <f aca="false">G65*(1-L65)</f>
        <v>0.148416865583778</v>
      </c>
      <c r="N65" s="57" t="n">
        <f aca="false">IF(Apixaban!$B$2=1,EXP(LN(or_apx_stroke)*D65)*(1-EXP(-r_stroke*F65*dt))/(1-(1-EXP(-r_stroke*F65*dt))+EXP(LN(or_apx_stroke)*D65)*(1-EXP(-r_stroke*F65*dt))),(1-EXP(-r_stroke*F65*dt)))</f>
        <v>0.00578089246966837</v>
      </c>
      <c r="O65" s="57" t="n">
        <f aca="false">IF(Apixaban!$B$2=1,EXP(LN(or_apx_ich)*D65)*(1-EXP(-r_ich*dt))/(1-(1-EXP(-r_ich*dt))+EXP(LN(or_apx_ich)*D65)*(1-EXP(-r_ich*dt))),(1-EXP(-r_ich*dt)))</f>
        <v>0.000843513249640701</v>
      </c>
      <c r="P65" s="57" t="n">
        <f aca="false">IF(Apixaban!$B$2=1,EXP(LN(or_apx_mb)*D65)*(1-EXP(-r_mb*dt))/(1-(1-EXP(-r_mb*dt))+EXP(LN(or_apx_mb)*D65)*(1-EXP(-r_mb*dt))),(1-EXP(-r_mb*dt)))</f>
        <v>0.00669446907979895</v>
      </c>
      <c r="Q65" s="57" t="n">
        <f aca="false">IF(Apixaban!$B$2=1,EXP(LN(or_apx_mi)*D65)*(1-EXP(-r_mi*dt))/(1-(1-EXP(-r_mi*dt))+EXP(LN(or_apx_mi)*D65)*(1-EXP(-r_mi*dt))),(1-EXP(-r_mi*dt)))</f>
        <v>0.00132321915530843</v>
      </c>
      <c r="R65" s="57" t="n">
        <f aca="false">(1-EXP(-r_tia*dt))</f>
        <v>0.0020060281549299</v>
      </c>
      <c r="S65" s="57" t="n">
        <f aca="false">(1-EXP(-r_minor*dt))</f>
        <v>0.0437937690785545</v>
      </c>
      <c r="T65" s="57" t="n">
        <f aca="false">M65*N65</f>
        <v>0.000857981940625045</v>
      </c>
      <c r="U65" s="57" t="n">
        <f aca="false">M65*O65</f>
        <v>0.00012519159259006</v>
      </c>
      <c r="V65" s="57" t="n">
        <f aca="false">M65*P65</f>
        <v>0.000993572117571279</v>
      </c>
      <c r="W65" s="57" t="n">
        <f aca="false">M65*Q65</f>
        <v>0.000196388039511291</v>
      </c>
      <c r="X65" s="57" t="n">
        <f aca="false">M65*R65</f>
        <v>0.000297728411027505</v>
      </c>
      <c r="Y65" s="57" t="n">
        <f aca="false">M65*S65</f>
        <v>0.00649973393873884</v>
      </c>
      <c r="Z65" s="57" t="n">
        <f aca="false">T65*f_stroke_fatal</f>
        <v>0.000203341719928136</v>
      </c>
      <c r="AA65" s="57" t="n">
        <f aca="false">T65*(1-f_stroke_fatal)*f_stroke_major</f>
        <v>0.000217995193492071</v>
      </c>
      <c r="AB65" s="57" t="n">
        <f aca="false">T65*(1-f_stroke_fatal)*(1-f_stroke_major)</f>
        <v>0.000436645027204839</v>
      </c>
      <c r="AC65" s="57" t="n">
        <f aca="false">U65*(1-f_bleed_fatal)</f>
        <v>0.000114675498812495</v>
      </c>
      <c r="AD65" s="57" t="n">
        <f aca="false">V65*(1-f_bleed_fatal)</f>
        <v>0.000910112059695292</v>
      </c>
      <c r="AE65" s="57" t="n">
        <f aca="false">W65*f_mi_fatal</f>
        <v>2.37629527808663E-005</v>
      </c>
      <c r="AF65" s="57" t="n">
        <f aca="false">W65-AE65</f>
        <v>0.000172625086730425</v>
      </c>
      <c r="AG65" s="57" t="n">
        <f aca="false">M65-T65-U65-V65-AE65</f>
        <v>0.146416356980211</v>
      </c>
      <c r="AH65" s="19" t="n">
        <f aca="false">Z65*c_stroke_fatal+AA65*c_stroke_major+AB65*c_stroke_minor+U65*c_ich+V65*c_major_bleed+AE65*c_mi_fatal+AF65*c_mi_nonfatal+X65*c_tia+Y65*c_minor_bleed</f>
        <v>46.1223158850584</v>
      </c>
      <c r="AI65" s="57" t="n">
        <f aca="false">dt*(AF65*dec_mi+AD65*dec_major_bleed+Y65*dec_minor_bleed+X65*dec_tia)</f>
        <v>5.5117753218177E-005</v>
      </c>
      <c r="AJ65" s="57" t="n">
        <f aca="false">G65*L65+Z65+U65-AC65+V65-AD65+AE65</f>
        <v>0.00614935498873858</v>
      </c>
      <c r="AK65" s="57" t="n">
        <f aca="false">1-EXP(LN(1-E65)*hr_death_prior_stroke*dt)</f>
        <v>0.084780922206057</v>
      </c>
      <c r="AL65" s="57" t="n">
        <f aca="false">H65*(1-AK65)</f>
        <v>0.0163539131527768</v>
      </c>
      <c r="AM65" s="57" t="n">
        <f aca="false">(1-EXP(-r_stroke*F65*rr_stroke_prior*rr_asa_stroke*dt))</f>
        <v>0.0257968783496568</v>
      </c>
      <c r="AN65" s="57" t="n">
        <f aca="false">(1-EXP(-r_ich*rr_asa_ich*dt))</f>
        <v>0.00102357767802375</v>
      </c>
      <c r="AO65" s="57" t="n">
        <f aca="false">(1-EXP(-r_mb*rr_asa_mb*dt))</f>
        <v>0.00951809672747972</v>
      </c>
      <c r="AP65" s="57" t="n">
        <f aca="false">(1-EXP(-r_mi*rr_asa_mi*dt))</f>
        <v>0.00213413516393479</v>
      </c>
      <c r="AQ65" s="57" t="n">
        <f aca="false">(1-EXP(-r_tia*rr_asa_tia*dt))</f>
        <v>0.00312764565589152</v>
      </c>
      <c r="AR65" s="57" t="n">
        <f aca="false">(1-EXP(-r_minor*rr_asa_minor*dt))</f>
        <v>0.0278181950466747</v>
      </c>
      <c r="AS65" s="57" t="n">
        <f aca="false">AL65*AM65</f>
        <v>0.000421879908143037</v>
      </c>
      <c r="AT65" s="57" t="n">
        <f aca="false">AL65*AN65</f>
        <v>1.67395004515213E-005</v>
      </c>
      <c r="AU65" s="57" t="n">
        <f aca="false">AL65*AO65</f>
        <v>0.000155658127260933</v>
      </c>
      <c r="AV65" s="57" t="n">
        <f aca="false">AL65*AP65</f>
        <v>3.49014611272768E-005</v>
      </c>
      <c r="AW65" s="57" t="n">
        <f aca="false">AL65*AQ65</f>
        <v>5.11492454291097E-005</v>
      </c>
      <c r="AX65" s="57" t="n">
        <f aca="false">AL65*AR65</f>
        <v>0.000454936345860325</v>
      </c>
      <c r="AY65" s="57" t="n">
        <f aca="false">AS65*f_stroke_fatal_recur</f>
        <v>0.000156977295020943</v>
      </c>
      <c r="AZ65" s="57" t="n">
        <f aca="false">AS65*(1-f_stroke_fatal_recur)*f_stroke_major</f>
        <v>8.82125701696574E-005</v>
      </c>
      <c r="BA65" s="57" t="n">
        <f aca="false">AS65*(1-f_stroke_fatal_recur)*(1-f_stroke_major)</f>
        <v>0.000176690042952437</v>
      </c>
      <c r="BB65" s="57" t="n">
        <f aca="false">AT65*(1-f_bleed_fatal)</f>
        <v>1.53333824135935E-005</v>
      </c>
      <c r="BC65" s="57" t="n">
        <f aca="false">AU65*(1-f_bleed_fatal)</f>
        <v>0.000142582844571014</v>
      </c>
      <c r="BD65" s="57" t="n">
        <f aca="false">AV65*f_mi_fatal</f>
        <v>4.22307679640049E-006</v>
      </c>
      <c r="BE65" s="57" t="n">
        <f aca="false">AV65-BD65</f>
        <v>3.06783843308763E-005</v>
      </c>
      <c r="BF65" s="57" t="n">
        <f aca="false">AL65-AS65-AT65-AU65-BD65</f>
        <v>0.0157554125401249</v>
      </c>
      <c r="BG65" s="19" t="n">
        <f aca="false">AY65*c_stroke_fatal+AZ65*c_stroke_major+BA65*c_stroke_minor+AT65*c_ich+AU65*c_major_bleed+BD65*c_mi_fatal+BE65*c_mi_nonfatal+AW65*c_tia+AX65*c_minor_bleed</f>
        <v>16.7483796503415</v>
      </c>
      <c r="BH65" s="57" t="n">
        <f aca="false">dt*(BE65*dec_mi+BC65*dec_major_bleed+AX65*dec_minor_bleed+AW65*dec_tia)</f>
        <v>7.03374112931885E-006</v>
      </c>
      <c r="BI65" s="57" t="n">
        <f aca="false">H65*AK65+AY65+AT65-BB65+AU65-BC65+BD65</f>
        <v>0.00169061942235055</v>
      </c>
      <c r="BJ65" s="57" t="n">
        <f aca="false">1-EXP(LN(1-E65)*hr_death_prior_stroke*dt)</f>
        <v>0.084780922206057</v>
      </c>
      <c r="BK65" s="57" t="n">
        <f aca="false">I65*(1-BJ65)</f>
        <v>0.00834779762096151</v>
      </c>
      <c r="BL65" s="57" t="n">
        <f aca="false">(1-EXP(-r_stroke*F65*rr_stroke_prior*rr_asa_stroke*dt))</f>
        <v>0.0257968783496568</v>
      </c>
      <c r="BM65" s="57" t="n">
        <f aca="false">(1-EXP(-r_ich*rr_asa_ich*dt))</f>
        <v>0.00102357767802375</v>
      </c>
      <c r="BN65" s="57" t="n">
        <f aca="false">(1-EXP(-r_mb*rr_asa_mb*dt))</f>
        <v>0.00951809672747972</v>
      </c>
      <c r="BO65" s="57" t="n">
        <f aca="false">(1-EXP(-r_mi*rr_asa_mi*dt))</f>
        <v>0.00213413516393479</v>
      </c>
      <c r="BP65" s="57" t="n">
        <f aca="false">(1-EXP(-r_tia*rr_asa_tia*dt))</f>
        <v>0.00312764565589152</v>
      </c>
      <c r="BQ65" s="57" t="n">
        <f aca="false">(1-EXP(-r_minor*rr_asa_minor*dt))</f>
        <v>0.0278181950466747</v>
      </c>
      <c r="BR65" s="57" t="n">
        <f aca="false">BK65*BL65</f>
        <v>0.000215347119715499</v>
      </c>
      <c r="BS65" s="57" t="n">
        <f aca="false">BK65*BM65</f>
        <v>8.54461930547594E-006</v>
      </c>
      <c r="BT65" s="57" t="n">
        <f aca="false">BK65*BN65</f>
        <v>7.94551452177368E-005</v>
      </c>
      <c r="BU65" s="57" t="n">
        <f aca="false">BK65*BO65</f>
        <v>1.78153284443052E-005</v>
      </c>
      <c r="BV65" s="57" t="n">
        <f aca="false">BK65*BP65</f>
        <v>2.61089529654618E-005</v>
      </c>
      <c r="BW65" s="57" t="n">
        <f aca="false">BK65*BQ65</f>
        <v>0.000232220662430074</v>
      </c>
      <c r="BX65" s="57" t="n">
        <f aca="false">BR65*f_stroke_fatal_recur</f>
        <v>8.01285097749399E-005</v>
      </c>
      <c r="BY65" s="57" t="n">
        <f aca="false">BR65*(1-f_stroke_fatal_recur)*f_stroke_major</f>
        <v>4.50277971102061E-005</v>
      </c>
      <c r="BZ65" s="57" t="n">
        <f aca="false">BR65*(1-f_stroke_fatal_recur)*(1-f_stroke_major)</f>
        <v>9.01908128303527E-005</v>
      </c>
      <c r="CA65" s="57" t="n">
        <f aca="false">BS65*(1-f_bleed_fatal)</f>
        <v>7.82687128381596E-006</v>
      </c>
      <c r="CB65" s="57" t="n">
        <f aca="false">BT65*(1-f_bleed_fatal)</f>
        <v>7.27809130194469E-005</v>
      </c>
      <c r="CC65" s="57" t="n">
        <f aca="false">BU65*f_mi_fatal</f>
        <v>2.15565474176092E-006</v>
      </c>
      <c r="CD65" s="57" t="n">
        <f aca="false">BU65-CC65</f>
        <v>1.56596737025442E-005</v>
      </c>
      <c r="CE65" s="57" t="n">
        <f aca="false">BK65-BR65-BS65-BT65-CC65</f>
        <v>0.00804229508198104</v>
      </c>
      <c r="CF65" s="19" t="n">
        <f aca="false">BX65*c_stroke_fatal+BY65*c_stroke_major+BZ65*c_stroke_minor+BS65*c_ich+BT65*c_major_bleed+CC65*c_mi_fatal+CD65*c_mi_nonfatal+BV65*c_tia+BW65*c_minor_bleed</f>
        <v>8.5491516613772</v>
      </c>
      <c r="CG65" s="57" t="n">
        <f aca="false">dt*(CD65*dec_mi+CB65*dec_major_bleed+BW65*dec_minor_bleed+BV65*dec_tia)</f>
        <v>3.59034849441017E-006</v>
      </c>
      <c r="CH65" s="57" t="n">
        <f aca="false">I65*BJ65+BX65+BS65-CA65+BT65-CB65+CC65</f>
        <v>0.000862970755684423</v>
      </c>
      <c r="CI65" s="57" t="n">
        <f aca="false">1-EXP(LN(1-E65)*dt)</f>
        <v>0.03778578808961</v>
      </c>
      <c r="CJ65" s="57" t="n">
        <f aca="false">J65*(1-CI65)</f>
        <v>0.0553900245534997</v>
      </c>
      <c r="CK65" s="57" t="n">
        <f aca="false">(1-EXP(-r_stroke*F65*rr_asa_stroke*dt))</f>
        <v>0.0118094658496555</v>
      </c>
      <c r="CL65" s="57" t="n">
        <f aca="false">(1-EXP(-r_ich*rr_asa_ich*dt))</f>
        <v>0.00102357767802375</v>
      </c>
      <c r="CM65" s="57" t="n">
        <f aca="false">(1-EXP(-r_mb*rr_asa_mb*dt))</f>
        <v>0.00951809672747972</v>
      </c>
      <c r="CN65" s="57" t="n">
        <f aca="false">(1-EXP(-r_mi*rr_asa_mi*dt))</f>
        <v>0.00213413516393479</v>
      </c>
      <c r="CO65" s="57" t="n">
        <f aca="false">(1-EXP(-r_tia*rr_asa_tia*dt))</f>
        <v>0.00312764565589152</v>
      </c>
      <c r="CP65" s="57" t="n">
        <f aca="false">(1-EXP(-r_minor*rr_asa_minor*dt))</f>
        <v>0.0278181950466747</v>
      </c>
      <c r="CQ65" s="57" t="n">
        <f aca="false">CJ65*CK65</f>
        <v>0.000654126603376133</v>
      </c>
      <c r="CR65" s="57" t="n">
        <f aca="false">CJ65*CL65</f>
        <v>5.66959927181495E-005</v>
      </c>
      <c r="CS65" s="57" t="n">
        <f aca="false">CJ65*CM65</f>
        <v>0.000527207611437686</v>
      </c>
      <c r="CT65" s="57" t="n">
        <f aca="false">CJ65*CN65</f>
        <v>0.000118209799130835</v>
      </c>
      <c r="CU65" s="57" t="n">
        <f aca="false">CJ65*CO65</f>
        <v>0.000173240369674478</v>
      </c>
      <c r="CV65" s="57" t="n">
        <f aca="false">CJ65*CP65</f>
        <v>0.00154085050666935</v>
      </c>
      <c r="CW65" s="57" t="n">
        <f aca="false">CQ65*f_stroke_fatal</f>
        <v>0.000155028005000143</v>
      </c>
      <c r="CX65" s="57" t="n">
        <f aca="false">CQ65*(1-f_stroke_fatal)*f_stroke_major</f>
        <v>0.000166199833259204</v>
      </c>
      <c r="CY65" s="57" t="n">
        <f aca="false">CQ65*(1-f_stroke_fatal)*(1-f_stroke_major)</f>
        <v>0.000332898765116785</v>
      </c>
      <c r="CZ65" s="57" t="n">
        <f aca="false">CR65*(1-f_bleed_fatal)</f>
        <v>5.19335293298249E-005</v>
      </c>
      <c r="DA65" s="57" t="n">
        <f aca="false">CS65*(1-f_bleed_fatal)</f>
        <v>0.000482922172076921</v>
      </c>
      <c r="DB65" s="57" t="n">
        <f aca="false">CT65*f_mi_fatal</f>
        <v>1.4303385694831E-005</v>
      </c>
      <c r="DC65" s="57" t="n">
        <f aca="false">CT65-DB65</f>
        <v>0.000103906413436004</v>
      </c>
      <c r="DD65" s="57" t="n">
        <f aca="false">CJ65-CQ65-CR65-CS65-DB65</f>
        <v>0.0541376909602729</v>
      </c>
      <c r="DE65" s="19" t="n">
        <f aca="false">CW65*c_stroke_fatal+CX65*c_stroke_major+CY65*c_stroke_minor+CR65*c_ich+CS65*c_major_bleed+DB65*c_mi_fatal+DC65*c_mi_nonfatal+CU65*c_tia+CV65*c_minor_bleed</f>
        <v>31.627152357517</v>
      </c>
      <c r="DF65" s="57" t="n">
        <f aca="false">dt*(DC65*dec_mi+DA65*dec_major_bleed+CV65*dec_minor_bleed+CU65*dec_tia)</f>
        <v>2.38229890434375E-005</v>
      </c>
      <c r="DG65" s="57" t="n">
        <f aca="false">J65*CI65+CW65+CR65-CZ65+CS65-DA65+DB65</f>
        <v>0.00239352460324099</v>
      </c>
      <c r="DH65" s="57" t="n">
        <f aca="false">AG65</f>
        <v>0.146416356980211</v>
      </c>
      <c r="DI65" s="57" t="n">
        <f aca="false">AB65+AC65+BF65+BA65+BB65+BC65+CY65+CZ65</f>
        <v>0.0170261716305259</v>
      </c>
      <c r="DJ65" s="57" t="n">
        <f aca="false">AA65+AZ65+BY65+CX65+CE65+BZ65+CA65+CB65</f>
        <v>0.00873052907314579</v>
      </c>
      <c r="DK65" s="57" t="n">
        <f aca="false">AD65+DD65+DA65</f>
        <v>0.0555307251920451</v>
      </c>
      <c r="DL65" s="57" t="n">
        <f aca="false">K65+AJ65+BI65+CH65+DG65</f>
        <v>0.772296217124072</v>
      </c>
      <c r="DM65" s="58" t="n">
        <f aca="false">SUM(DH65:DL65)</f>
        <v>1</v>
      </c>
      <c r="DN65" s="19" t="n">
        <f aca="false">dt*(G65*Apixaban!$H$2+(H65+I65+J65)*c_aspirin)</f>
        <v>12.3294851171157</v>
      </c>
      <c r="DO65" s="19" t="n">
        <f aca="false">dt*(H65*c_lt_minor_stroke+I65*c_lt_major_stroke)</f>
        <v>107.853843450305</v>
      </c>
      <c r="DP65" s="19" t="n">
        <f aca="false">AH65+BG65+CF65+DE65</f>
        <v>103.046999554294</v>
      </c>
      <c r="DQ65" s="19" t="n">
        <f aca="false">DN65+DO65+DP65</f>
        <v>223.230328121714</v>
      </c>
      <c r="DR65" s="57" t="n">
        <f aca="false">dt*(G65*(u_af-dec_per_year_over_70*MAX(B65-ref_age,0))+H65*(u_minor_stroke-dec_per_year_over_70*MAX(B65-ref_age,0))+I65*(u_major_stroke-dec_per_year_over_70*MAX(B65-ref_age,0))+J65*(u_af-dec_per_year_over_70*MAX(B65-ref_age,0)))-AI65-BH65-CG65-DF65</f>
        <v>0.0466554841888276</v>
      </c>
      <c r="DS65" s="57" t="n">
        <f aca="false">dt*(G65+H65+I65+J65)</f>
        <v>0.0597000631614855</v>
      </c>
      <c r="DT65" s="19" t="n">
        <f aca="false">DQ65*C65</f>
        <v>179.216946873355</v>
      </c>
      <c r="DU65" s="19" t="n">
        <f aca="false">DN65*C65</f>
        <v>9.89853259546861</v>
      </c>
      <c r="DV65" s="19" t="n">
        <f aca="false">DP65*C65</f>
        <v>82.729657748436</v>
      </c>
      <c r="DW65" s="19" t="n">
        <f aca="false">DO65*C65</f>
        <v>86.5887565294499</v>
      </c>
      <c r="DX65" s="57" t="n">
        <f aca="false">DR65*C65</f>
        <v>0.037456619365182</v>
      </c>
      <c r="DY65" s="57" t="n">
        <f aca="false">DS65*C65</f>
        <v>0.0479292537800427</v>
      </c>
      <c r="DZ65" s="57" t="n">
        <f aca="false">T65+AS65+BR65+CQ65</f>
        <v>0.00214933557185971</v>
      </c>
      <c r="EA65" s="57" t="n">
        <f aca="false">U65+AT65+BS65+CR65</f>
        <v>0.000207171705065206</v>
      </c>
      <c r="EB65" s="57" t="n">
        <f aca="false">V65+AU65+BT65+CS65</f>
        <v>0.00175589300148764</v>
      </c>
      <c r="EC65" s="57" t="n">
        <f aca="false">G65*dt*C65</f>
        <v>0.0309583192036588</v>
      </c>
    </row>
    <row r="66" customFormat="false" ht="15" hidden="false" customHeight="false" outlineLevel="0" collapsed="false">
      <c r="A66" s="8" t="n">
        <v>60</v>
      </c>
      <c r="B66" s="54" t="n">
        <f aca="false">start_age+A66*dt</f>
        <v>85</v>
      </c>
      <c r="C66" s="16" t="n">
        <f aca="false">(1+disc_rate)^-(A66*dt)</f>
        <v>0.799851504909812</v>
      </c>
      <c r="D66" s="55" t="n">
        <f aca="false">IF(A66*dt&gt;=wane_start,(1-wane_decay)^(A66*dt-wane_start),1)</f>
        <v>1</v>
      </c>
      <c r="E66" s="25" t="n">
        <f aca="false">MIN(p_nonvasc_death*MIN(EXP(gomp_int+gomp_slope*INT(B66)),1)/qx_ref,0.999)</f>
        <v>0.158540611064101</v>
      </c>
      <c r="F66" s="55" t="n">
        <f aca="false">rr_stroke_per_decade^((B66-ref_age)/10)</f>
        <v>1.83711730708738</v>
      </c>
      <c r="G66" s="57" t="n">
        <f aca="false">DH65</f>
        <v>0.146416356980211</v>
      </c>
      <c r="H66" s="57" t="n">
        <f aca="false">DI65</f>
        <v>0.0170261716305259</v>
      </c>
      <c r="I66" s="57" t="n">
        <f aca="false">DJ65</f>
        <v>0.00873052907314579</v>
      </c>
      <c r="J66" s="57" t="n">
        <f aca="false">DK65</f>
        <v>0.0555307251920451</v>
      </c>
      <c r="K66" s="57" t="n">
        <f aca="false">DL65</f>
        <v>0.772296217124072</v>
      </c>
      <c r="L66" s="57" t="n">
        <f aca="false">1-EXP(LN(1-E66)*dt)</f>
        <v>0.0422364825170679</v>
      </c>
      <c r="M66" s="57" t="n">
        <f aca="false">G66*(1-L66)</f>
        <v>0.140232245078403</v>
      </c>
      <c r="N66" s="57" t="n">
        <f aca="false">IF(Apixaban!$B$2=1,EXP(LN(or_apx_stroke)*D66)*(1-EXP(-r_stroke*F66*dt))/(1-(1-EXP(-r_stroke*F66*dt))+EXP(LN(or_apx_stroke)*D66)*(1-EXP(-r_stroke*F66*dt))),(1-EXP(-r_stroke*F66*dt)))</f>
        <v>0.00583966243713573</v>
      </c>
      <c r="O66" s="57" t="n">
        <f aca="false">IF(Apixaban!$B$2=1,EXP(LN(or_apx_ich)*D66)*(1-EXP(-r_ich*dt))/(1-(1-EXP(-r_ich*dt))+EXP(LN(or_apx_ich)*D66)*(1-EXP(-r_ich*dt))),(1-EXP(-r_ich*dt)))</f>
        <v>0.000843513249640701</v>
      </c>
      <c r="P66" s="57" t="n">
        <f aca="false">IF(Apixaban!$B$2=1,EXP(LN(or_apx_mb)*D66)*(1-EXP(-r_mb*dt))/(1-(1-EXP(-r_mb*dt))+EXP(LN(or_apx_mb)*D66)*(1-EXP(-r_mb*dt))),(1-EXP(-r_mb*dt)))</f>
        <v>0.00669446907979895</v>
      </c>
      <c r="Q66" s="57" t="n">
        <f aca="false">IF(Apixaban!$B$2=1,EXP(LN(or_apx_mi)*D66)*(1-EXP(-r_mi*dt))/(1-(1-EXP(-r_mi*dt))+EXP(LN(or_apx_mi)*D66)*(1-EXP(-r_mi*dt))),(1-EXP(-r_mi*dt)))</f>
        <v>0.00132321915530843</v>
      </c>
      <c r="R66" s="57" t="n">
        <f aca="false">(1-EXP(-r_tia*dt))</f>
        <v>0.0020060281549299</v>
      </c>
      <c r="S66" s="57" t="n">
        <f aca="false">(1-EXP(-r_minor*dt))</f>
        <v>0.0437937690785545</v>
      </c>
      <c r="T66" s="57" t="n">
        <f aca="false">M66*N66</f>
        <v>0.000818908974059563</v>
      </c>
      <c r="U66" s="57" t="n">
        <f aca="false">M66*O66</f>
        <v>0.000118287756750495</v>
      </c>
      <c r="V66" s="57" t="n">
        <f aca="false">M66*P66</f>
        <v>0.00093878042866816</v>
      </c>
      <c r="W66" s="57" t="n">
        <f aca="false">M66*Q66</f>
        <v>0.000185557992879649</v>
      </c>
      <c r="X66" s="57" t="n">
        <f aca="false">M66*R66</f>
        <v>0.000281309831856306</v>
      </c>
      <c r="Y66" s="57" t="n">
        <f aca="false">M66*S66</f>
        <v>0.00614129855833085</v>
      </c>
      <c r="Z66" s="57" t="n">
        <f aca="false">T66*f_stroke_fatal</f>
        <v>0.000194081426852116</v>
      </c>
      <c r="AA66" s="57" t="n">
        <f aca="false">T66*(1-f_stroke_fatal)*f_stroke_major</f>
        <v>0.00020806757322008</v>
      </c>
      <c r="AB66" s="57" t="n">
        <f aca="false">T66*(1-f_stroke_fatal)*(1-f_stroke_major)</f>
        <v>0.000416759973987367</v>
      </c>
      <c r="AC66" s="57" t="n">
        <f aca="false">U66*(1-f_bleed_fatal)</f>
        <v>0.000108351585183454</v>
      </c>
      <c r="AD66" s="57" t="n">
        <f aca="false">V66*(1-f_bleed_fatal)</f>
        <v>0.000859922872660034</v>
      </c>
      <c r="AE66" s="57" t="n">
        <f aca="false">W66*f_mi_fatal</f>
        <v>2.24525171384376E-005</v>
      </c>
      <c r="AF66" s="57" t="n">
        <f aca="false">W66-AE66</f>
        <v>0.000163105475741212</v>
      </c>
      <c r="AG66" s="57" t="n">
        <f aca="false">M66-T66-U66-V66-AE66</f>
        <v>0.138333815401787</v>
      </c>
      <c r="AH66" s="19" t="n">
        <f aca="false">Z66*c_stroke_fatal+AA66*c_stroke_major+AB66*c_stroke_minor+U66*c_ich+V66*c_major_bleed+AE66*c_mi_fatal+AF66*c_mi_nonfatal+X66*c_tia+Y66*c_minor_bleed</f>
        <v>43.8833490320754</v>
      </c>
      <c r="AI66" s="57" t="n">
        <f aca="false">dt*(AF66*dec_mi+AD66*dec_major_bleed+Y66*dec_minor_bleed+X66*dec_tia)</f>
        <v>5.20782206729688E-005</v>
      </c>
      <c r="AJ66" s="57" t="n">
        <f aca="false">G66*L66+Z66+U66-AC66+V66-AD66+AE66</f>
        <v>0.00648943957337317</v>
      </c>
      <c r="AK66" s="57" t="n">
        <f aca="false">1-EXP(LN(1-E66)*hr_death_prior_stroke*dt)</f>
        <v>0.0944882974916055</v>
      </c>
      <c r="AL66" s="57" t="n">
        <f aca="false">H66*(1-AK66)</f>
        <v>0.0154173976603577</v>
      </c>
      <c r="AM66" s="57" t="n">
        <f aca="false">(1-EXP(-r_stroke*F66*rr_stroke_prior*rr_asa_stroke*dt))</f>
        <v>0.0260562474471172</v>
      </c>
      <c r="AN66" s="57" t="n">
        <f aca="false">(1-EXP(-r_ich*rr_asa_ich*dt))</f>
        <v>0.00102357767802375</v>
      </c>
      <c r="AO66" s="57" t="n">
        <f aca="false">(1-EXP(-r_mb*rr_asa_mb*dt))</f>
        <v>0.00951809672747972</v>
      </c>
      <c r="AP66" s="57" t="n">
        <f aca="false">(1-EXP(-r_mi*rr_asa_mi*dt))</f>
        <v>0.00213413516393479</v>
      </c>
      <c r="AQ66" s="57" t="n">
        <f aca="false">(1-EXP(-r_tia*rr_asa_tia*dt))</f>
        <v>0.00312764565589152</v>
      </c>
      <c r="AR66" s="57" t="n">
        <f aca="false">(1-EXP(-r_minor*rr_asa_minor*dt))</f>
        <v>0.0278181950466747</v>
      </c>
      <c r="AS66" s="57" t="n">
        <f aca="false">AL66*AM66</f>
        <v>0.000401719528428885</v>
      </c>
      <c r="AT66" s="57" t="n">
        <f aca="false">AL66*AN66</f>
        <v>1.57809040983576E-005</v>
      </c>
      <c r="AU66" s="57" t="n">
        <f aca="false">AL66*AO66</f>
        <v>0.000146744282217304</v>
      </c>
      <c r="AV66" s="57" t="n">
        <f aca="false">AL66*AP66</f>
        <v>3.29028104833353E-005</v>
      </c>
      <c r="AW66" s="57" t="n">
        <f aca="false">AL66*AQ66</f>
        <v>4.82201568175698E-005</v>
      </c>
      <c r="AX66" s="57" t="n">
        <f aca="false">AL66*AR66</f>
        <v>0.000428884175227976</v>
      </c>
      <c r="AY66" s="57" t="n">
        <f aca="false">AS66*f_stroke_fatal_recur</f>
        <v>0.000149475819333104</v>
      </c>
      <c r="AZ66" s="57" t="n">
        <f aca="false">AS66*(1-f_stroke_fatal_recur)*f_stroke_major</f>
        <v>8.39971551288952E-005</v>
      </c>
      <c r="BA66" s="57" t="n">
        <f aca="false">AS66*(1-f_stroke_fatal_recur)*(1-f_stroke_major)</f>
        <v>0.000168246553966886</v>
      </c>
      <c r="BB66" s="57" t="n">
        <f aca="false">AT66*(1-f_bleed_fatal)</f>
        <v>1.44553081540956E-005</v>
      </c>
      <c r="BC66" s="57" t="n">
        <f aca="false">AU66*(1-f_bleed_fatal)</f>
        <v>0.00013441776251105</v>
      </c>
      <c r="BD66" s="57" t="n">
        <f aca="false">AV66*f_mi_fatal</f>
        <v>3.98124006848357E-006</v>
      </c>
      <c r="BE66" s="57" t="n">
        <f aca="false">AV66-BD66</f>
        <v>2.89215704148517E-005</v>
      </c>
      <c r="BF66" s="57" t="n">
        <f aca="false">AL66-AS66-AT66-AU66-BD66</f>
        <v>0.0148491717055446</v>
      </c>
      <c r="BG66" s="19" t="n">
        <f aca="false">AY66*c_stroke_fatal+AZ66*c_stroke_major+BA66*c_stroke_minor+AT66*c_ich+AU66*c_major_bleed+BD66*c_mi_fatal+BE66*c_mi_nonfatal+AW66*c_tia+AX66*c_minor_bleed</f>
        <v>15.9271511584317</v>
      </c>
      <c r="BH66" s="57" t="n">
        <f aca="false">dt*(BE66*dec_mi+BC66*dec_major_bleed+AX66*dec_minor_bleed+AW66*dec_tia)</f>
        <v>6.63095022076162E-006</v>
      </c>
      <c r="BI66" s="57" t="n">
        <f aca="false">H66*AK66+AY66+AT66-BB66+AU66-BC66+BD66</f>
        <v>0.00177588314522037</v>
      </c>
      <c r="BJ66" s="57" t="n">
        <f aca="false">1-EXP(LN(1-E66)*hr_death_prior_stroke*dt)</f>
        <v>0.0944882974916055</v>
      </c>
      <c r="BK66" s="57" t="n">
        <f aca="false">I66*(1-BJ66)</f>
        <v>0.00790559624482328</v>
      </c>
      <c r="BL66" s="57" t="n">
        <f aca="false">(1-EXP(-r_stroke*F66*rr_stroke_prior*rr_asa_stroke*dt))</f>
        <v>0.0260562474471172</v>
      </c>
      <c r="BM66" s="57" t="n">
        <f aca="false">(1-EXP(-r_ich*rr_asa_ich*dt))</f>
        <v>0.00102357767802375</v>
      </c>
      <c r="BN66" s="57" t="n">
        <f aca="false">(1-EXP(-r_mb*rr_asa_mb*dt))</f>
        <v>0.00951809672747972</v>
      </c>
      <c r="BO66" s="57" t="n">
        <f aca="false">(1-EXP(-r_mi*rr_asa_mi*dt))</f>
        <v>0.00213413516393479</v>
      </c>
      <c r="BP66" s="57" t="n">
        <f aca="false">(1-EXP(-r_tia*rr_asa_tia*dt))</f>
        <v>0.00312764565589152</v>
      </c>
      <c r="BQ66" s="57" t="n">
        <f aca="false">(1-EXP(-r_minor*rr_asa_minor*dt))</f>
        <v>0.0278181950466747</v>
      </c>
      <c r="BR66" s="57" t="n">
        <f aca="false">BK66*BL66</f>
        <v>0.000205990171972116</v>
      </c>
      <c r="BS66" s="57" t="n">
        <f aca="false">BK66*BM66</f>
        <v>8.09199184766946E-006</v>
      </c>
      <c r="BT66" s="57" t="n">
        <f aca="false">BK66*BN66</f>
        <v>7.52462297466285E-005</v>
      </c>
      <c r="BU66" s="57" t="n">
        <f aca="false">BK66*BO66</f>
        <v>1.68716109379482E-005</v>
      </c>
      <c r="BV66" s="57" t="n">
        <f aca="false">BK66*BP66</f>
        <v>2.47259037523539E-005</v>
      </c>
      <c r="BW66" s="57" t="n">
        <f aca="false">BK66*BQ66</f>
        <v>0.000219919418298753</v>
      </c>
      <c r="BX66" s="57" t="n">
        <f aca="false">BR66*f_stroke_fatal_recur</f>
        <v>7.66468830891047E-005</v>
      </c>
      <c r="BY66" s="57" t="n">
        <f aca="false">BR66*(1-f_stroke_fatal_recur)*f_stroke_major</f>
        <v>4.30713151980428E-005</v>
      </c>
      <c r="BZ66" s="57" t="n">
        <f aca="false">BR66*(1-f_stroke_fatal_recur)*(1-f_stroke_major)</f>
        <v>8.62719736849686E-005</v>
      </c>
      <c r="CA66" s="57" t="n">
        <f aca="false">BS66*(1-f_bleed_fatal)</f>
        <v>7.41226453246523E-006</v>
      </c>
      <c r="CB66" s="57" t="n">
        <f aca="false">BT66*(1-f_bleed_fatal)</f>
        <v>6.89255464479117E-005</v>
      </c>
      <c r="CC66" s="57" t="n">
        <f aca="false">BU66*f_mi_fatal</f>
        <v>2.04146492349173E-006</v>
      </c>
      <c r="CD66" s="57" t="n">
        <f aca="false">BU66-CC66</f>
        <v>1.48301460144565E-005</v>
      </c>
      <c r="CE66" s="57" t="n">
        <f aca="false">BK66-BR66-BS66-BT66-CC66</f>
        <v>0.00761422638633338</v>
      </c>
      <c r="CF66" s="19" t="n">
        <f aca="false">BX66*c_stroke_fatal+BY66*c_stroke_major+BZ66*c_stroke_minor+BS66*c_ich+BT66*c_major_bleed+CC66*c_mi_fatal+CD66*c_mi_nonfatal+BV66*c_tia+BW66*c_minor_bleed</f>
        <v>8.16698311626148</v>
      </c>
      <c r="CG66" s="57" t="n">
        <f aca="false">dt*(CD66*dec_mi+CB66*dec_major_bleed+BW66*dec_minor_bleed+BV66*dec_tia)</f>
        <v>3.40015976234779E-006</v>
      </c>
      <c r="CH66" s="57" t="n">
        <f aca="false">I66*BJ66+BX66+BS66-CA66+BT66-CB66+CC66</f>
        <v>0.000910621586949028</v>
      </c>
      <c r="CI66" s="57" t="n">
        <f aca="false">1-EXP(LN(1-E66)*dt)</f>
        <v>0.0422364825170679</v>
      </c>
      <c r="CJ66" s="57" t="n">
        <f aca="false">J66*(1-CI66)</f>
        <v>0.0531853026883112</v>
      </c>
      <c r="CK66" s="57" t="n">
        <f aca="false">(1-EXP(-r_stroke*F66*rr_asa_stroke*dt))</f>
        <v>0.0119290622917672</v>
      </c>
      <c r="CL66" s="57" t="n">
        <f aca="false">(1-EXP(-r_ich*rr_asa_ich*dt))</f>
        <v>0.00102357767802375</v>
      </c>
      <c r="CM66" s="57" t="n">
        <f aca="false">(1-EXP(-r_mb*rr_asa_mb*dt))</f>
        <v>0.00951809672747972</v>
      </c>
      <c r="CN66" s="57" t="n">
        <f aca="false">(1-EXP(-r_mi*rr_asa_mi*dt))</f>
        <v>0.00213413516393479</v>
      </c>
      <c r="CO66" s="57" t="n">
        <f aca="false">(1-EXP(-r_tia*rr_asa_tia*dt))</f>
        <v>0.00312764565589152</v>
      </c>
      <c r="CP66" s="57" t="n">
        <f aca="false">(1-EXP(-r_minor*rr_asa_minor*dt))</f>
        <v>0.0278181950466747</v>
      </c>
      <c r="CQ66" s="57" t="n">
        <f aca="false">CJ66*CK66</f>
        <v>0.000634450788775355</v>
      </c>
      <c r="CR66" s="57" t="n">
        <f aca="false">CJ66*CL66</f>
        <v>5.44392886306916E-005</v>
      </c>
      <c r="CS66" s="57" t="n">
        <f aca="false">CJ66*CM66</f>
        <v>0.000506222855467633</v>
      </c>
      <c r="CT66" s="57" t="n">
        <f aca="false">CJ66*CN66</f>
        <v>0.00011350462467164</v>
      </c>
      <c r="CU66" s="57" t="n">
        <f aca="false">CJ66*CO66</f>
        <v>0.000166344780910372</v>
      </c>
      <c r="CV66" s="57" t="n">
        <f aca="false">CJ66*CP66</f>
        <v>0.00147951912379987</v>
      </c>
      <c r="CW66" s="57" t="n">
        <f aca="false">CQ66*f_stroke_fatal</f>
        <v>0.000150364836939759</v>
      </c>
      <c r="CX66" s="57" t="n">
        <f aca="false">CQ66*(1-f_stroke_fatal)*f_stroke_major</f>
        <v>0.000161200621961253</v>
      </c>
      <c r="CY66" s="57" t="n">
        <f aca="false">CQ66*(1-f_stroke_fatal)*(1-f_stroke_major)</f>
        <v>0.000322885329874342</v>
      </c>
      <c r="CZ66" s="57" t="n">
        <f aca="false">CR66*(1-f_bleed_fatal)</f>
        <v>4.98663883857135E-005</v>
      </c>
      <c r="DA66" s="57" t="n">
        <f aca="false">CS66*(1-f_bleed_fatal)</f>
        <v>0.000463700135608352</v>
      </c>
      <c r="DB66" s="57" t="n">
        <f aca="false">CT66*f_mi_fatal</f>
        <v>1.37340595852685E-005</v>
      </c>
      <c r="DC66" s="57" t="n">
        <f aca="false">CT66-DB66</f>
        <v>9.97705650863719E-005</v>
      </c>
      <c r="DD66" s="57" t="n">
        <f aca="false">CJ66-CQ66-CR66-CS66-DB66</f>
        <v>0.0519764556958522</v>
      </c>
      <c r="DE66" s="19" t="n">
        <f aca="false">CW66*c_stroke_fatal+CX66*c_stroke_major+CY66*c_stroke_minor+CR66*c_ich+CS66*c_major_bleed+DB66*c_mi_fatal+DC66*c_mi_nonfatal+CU66*c_tia+CV66*c_minor_bleed</f>
        <v>30.6032936223331</v>
      </c>
      <c r="DF66" s="57" t="n">
        <f aca="false">dt*(DC66*dec_mi+DA66*dec_major_bleed+CV66*dec_minor_bleed+CU66*dec_tia)</f>
        <v>2.28747485387329E-005</v>
      </c>
      <c r="DG66" s="57" t="n">
        <f aca="false">J66*CI66+CW66+CR66-CZ66+CS66-DA66+DB66</f>
        <v>0.0025566170203632</v>
      </c>
      <c r="DH66" s="57" t="n">
        <f aca="false">AG66</f>
        <v>0.138333815401787</v>
      </c>
      <c r="DI66" s="57" t="n">
        <f aca="false">AB66+AC66+BF66+BA66+BB66+BC66+CY66+CZ66</f>
        <v>0.0160641546076075</v>
      </c>
      <c r="DJ66" s="57" t="n">
        <f aca="false">AA66+AZ66+BY66+CX66+CE66+BZ66+CA66+CB66</f>
        <v>0.008273172836507</v>
      </c>
      <c r="DK66" s="57" t="n">
        <f aca="false">AD66+DD66+DA66</f>
        <v>0.0533000787041206</v>
      </c>
      <c r="DL66" s="57" t="n">
        <f aca="false">K66+AJ66+BI66+CH66+DG66</f>
        <v>0.784028778449978</v>
      </c>
      <c r="DM66" s="58" t="n">
        <f aca="false">SUM(DH66:DL66)</f>
        <v>1</v>
      </c>
      <c r="DN66" s="19" t="n">
        <f aca="false">dt*(G66*Apixaban!$H$2+(H66+I66+J66)*c_aspirin)</f>
        <v>11.7136901665721</v>
      </c>
      <c r="DO66" s="19" t="n">
        <f aca="false">dt*(H66*c_lt_minor_stroke+I66*c_lt_major_stroke)</f>
        <v>103.025951369583</v>
      </c>
      <c r="DP66" s="19" t="n">
        <f aca="false">AH66+BG66+CF66+DE66</f>
        <v>98.5807769291016</v>
      </c>
      <c r="DQ66" s="19" t="n">
        <f aca="false">DN66+DO66+DP66</f>
        <v>213.320418465256</v>
      </c>
      <c r="DR66" s="57" t="n">
        <f aca="false">dt*(G66*(u_af-dec_per_year_over_70*MAX(B66-ref_age,0))+H66*(u_minor_stroke-dec_per_year_over_70*MAX(B66-ref_age,0))+I66*(u_major_stroke-dec_per_year_over_70*MAX(B66-ref_age,0))+J66*(u_af-dec_per_year_over_70*MAX(B66-ref_age,0)))-AI66-BH66-CG66-DF66</f>
        <v>0.0444800228699651</v>
      </c>
      <c r="DS66" s="57" t="n">
        <f aca="false">dt*(G66+H66+I66+J66)</f>
        <v>0.0569259457189819</v>
      </c>
      <c r="DT66" s="19" t="n">
        <f aca="false">DQ66*C66</f>
        <v>170.624657737426</v>
      </c>
      <c r="DU66" s="19" t="n">
        <f aca="false">DN66*C66</f>
        <v>9.36921270777994</v>
      </c>
      <c r="DV66" s="19" t="n">
        <f aca="false">DP66*C66</f>
        <v>78.8499827819204</v>
      </c>
      <c r="DW66" s="19" t="n">
        <f aca="false">DO66*C66</f>
        <v>82.4054622477258</v>
      </c>
      <c r="DX66" s="57" t="n">
        <f aca="false">DR66*C66</f>
        <v>0.0355774132309644</v>
      </c>
      <c r="DY66" s="57" t="n">
        <f aca="false">DS66*C66</f>
        <v>0.0455323033517419</v>
      </c>
      <c r="DZ66" s="57" t="n">
        <f aca="false">T66+AS66+BR66+CQ66</f>
        <v>0.00206106946323592</v>
      </c>
      <c r="EA66" s="57" t="n">
        <f aca="false">U66+AT66+BS66+CR66</f>
        <v>0.000196599941327214</v>
      </c>
      <c r="EB66" s="57" t="n">
        <f aca="false">V66+AU66+BT66+CS66</f>
        <v>0.00166699379609972</v>
      </c>
      <c r="EC66" s="57" t="n">
        <f aca="false">G66*dt*C66</f>
        <v>0.0292778358685084</v>
      </c>
    </row>
    <row r="67" customFormat="false" ht="15" hidden="false" customHeight="false" outlineLevel="0" collapsed="false">
      <c r="A67" s="8" t="n">
        <v>61</v>
      </c>
      <c r="B67" s="54" t="n">
        <f aca="false">start_age+A67*dt</f>
        <v>85.25</v>
      </c>
      <c r="C67" s="16" t="n">
        <f aca="false">(1+disc_rate)^-(A67*dt)</f>
        <v>0.796879869005315</v>
      </c>
      <c r="D67" s="55" t="n">
        <f aca="false">IF(A67*dt&gt;=wane_start,(1-wane_decay)^(A67*dt-wane_start),1)</f>
        <v>1</v>
      </c>
      <c r="E67" s="25" t="n">
        <f aca="false">MIN(p_nonvasc_death*MIN(EXP(gomp_int+gomp_slope*INT(B67)),1)/qx_ref,0.999)</f>
        <v>0.158540611064101</v>
      </c>
      <c r="F67" s="55" t="n">
        <f aca="false">rr_stroke_per_decade^((B67-ref_age)/10)</f>
        <v>1.85583418401723</v>
      </c>
      <c r="G67" s="57" t="n">
        <f aca="false">DH66</f>
        <v>0.138333815401787</v>
      </c>
      <c r="H67" s="57" t="n">
        <f aca="false">DI66</f>
        <v>0.0160641546076075</v>
      </c>
      <c r="I67" s="57" t="n">
        <f aca="false">DJ66</f>
        <v>0.008273172836507</v>
      </c>
      <c r="J67" s="57" t="n">
        <f aca="false">DK66</f>
        <v>0.0533000787041206</v>
      </c>
      <c r="K67" s="57" t="n">
        <f aca="false">DL66</f>
        <v>0.784028778449978</v>
      </c>
      <c r="L67" s="57" t="n">
        <f aca="false">1-EXP(LN(1-E67)*dt)</f>
        <v>0.0422364825170679</v>
      </c>
      <c r="M67" s="57" t="n">
        <f aca="false">G67*(1-L67)</f>
        <v>0.13249108162605</v>
      </c>
      <c r="N67" s="57" t="n">
        <f aca="false">IF(Apixaban!$B$2=1,EXP(LN(or_apx_stroke)*D67)*(1-EXP(-r_stroke*F67*dt))/(1-(1-EXP(-r_stroke*F67*dt))+EXP(LN(or_apx_stroke)*D67)*(1-EXP(-r_stroke*F67*dt))),(1-EXP(-r_stroke*F67*dt)))</f>
        <v>0.00589902856685775</v>
      </c>
      <c r="O67" s="57" t="n">
        <f aca="false">IF(Apixaban!$B$2=1,EXP(LN(or_apx_ich)*D67)*(1-EXP(-r_ich*dt))/(1-(1-EXP(-r_ich*dt))+EXP(LN(or_apx_ich)*D67)*(1-EXP(-r_ich*dt))),(1-EXP(-r_ich*dt)))</f>
        <v>0.000843513249640701</v>
      </c>
      <c r="P67" s="57" t="n">
        <f aca="false">IF(Apixaban!$B$2=1,EXP(LN(or_apx_mb)*D67)*(1-EXP(-r_mb*dt))/(1-(1-EXP(-r_mb*dt))+EXP(LN(or_apx_mb)*D67)*(1-EXP(-r_mb*dt))),(1-EXP(-r_mb*dt)))</f>
        <v>0.00669446907979895</v>
      </c>
      <c r="Q67" s="57" t="n">
        <f aca="false">IF(Apixaban!$B$2=1,EXP(LN(or_apx_mi)*D67)*(1-EXP(-r_mi*dt))/(1-(1-EXP(-r_mi*dt))+EXP(LN(or_apx_mi)*D67)*(1-EXP(-r_mi*dt))),(1-EXP(-r_mi*dt)))</f>
        <v>0.00132321915530843</v>
      </c>
      <c r="R67" s="57" t="n">
        <f aca="false">(1-EXP(-r_tia*dt))</f>
        <v>0.0020060281549299</v>
      </c>
      <c r="S67" s="57" t="n">
        <f aca="false">(1-EXP(-r_minor*dt))</f>
        <v>0.0437937690785545</v>
      </c>
      <c r="T67" s="57" t="n">
        <f aca="false">M67*N67</f>
        <v>0.00078156867536595</v>
      </c>
      <c r="U67" s="57" t="n">
        <f aca="false">M67*O67</f>
        <v>0.000111757982810801</v>
      </c>
      <c r="V67" s="57" t="n">
        <f aca="false">M67*P67</f>
        <v>0.00088695744929471</v>
      </c>
      <c r="W67" s="57" t="n">
        <f aca="false">M67*Q67</f>
        <v>0.000175314737115122</v>
      </c>
      <c r="X67" s="57" t="n">
        <f aca="false">M67*R67</f>
        <v>0.000265780840018971</v>
      </c>
      <c r="Y67" s="57" t="n">
        <f aca="false">M67*S67</f>
        <v>0.00580228383369914</v>
      </c>
      <c r="Z67" s="57" t="n">
        <f aca="false">T67*f_stroke_fatal</f>
        <v>0.00018523177606173</v>
      </c>
      <c r="AA67" s="57" t="n">
        <f aca="false">T67*(1-f_stroke_fatal)*f_stroke_major</f>
        <v>0.000198580187468305</v>
      </c>
      <c r="AB67" s="57" t="n">
        <f aca="false">T67*(1-f_stroke_fatal)*(1-f_stroke_major)</f>
        <v>0.000397756711835914</v>
      </c>
      <c r="AC67" s="57" t="n">
        <f aca="false">U67*(1-f_bleed_fatal)</f>
        <v>0.000102370312254693</v>
      </c>
      <c r="AD67" s="57" t="n">
        <f aca="false">V67*(1-f_bleed_fatal)</f>
        <v>0.000812453023553954</v>
      </c>
      <c r="AE67" s="57" t="n">
        <f aca="false">W67*f_mi_fatal</f>
        <v>2.12130831909297E-005</v>
      </c>
      <c r="AF67" s="57" t="n">
        <f aca="false">W67-AE67</f>
        <v>0.000154101653924192</v>
      </c>
      <c r="AG67" s="57" t="n">
        <f aca="false">M67-T67-U67-V67-AE67</f>
        <v>0.130689584435387</v>
      </c>
      <c r="AH67" s="19" t="n">
        <f aca="false">Z67*c_stroke_fatal+AA67*c_stroke_major+AB67*c_stroke_minor+U67*c_ich+V67*c_major_bleed+AE67*c_mi_fatal+AF67*c_mi_nonfatal+X67*c_tia+Y67*c_minor_bleed</f>
        <v>41.7514916179652</v>
      </c>
      <c r="AI67" s="57" t="n">
        <f aca="false">dt*(AF67*dec_mi+AD67*dec_major_bleed+Y67*dec_minor_bleed+X67*dec_tia)</f>
        <v>4.92033753168826E-005</v>
      </c>
      <c r="AJ67" s="57" t="n">
        <f aca="false">G67*L67+Z67+U67-AC67+V67-AD67+AE67</f>
        <v>0.00613307073128638</v>
      </c>
      <c r="AK67" s="57" t="n">
        <f aca="false">1-EXP(LN(1-E67)*hr_death_prior_stroke*dt)</f>
        <v>0.0944882974916055</v>
      </c>
      <c r="AL67" s="57" t="n">
        <f aca="false">H67*(1-AK67)</f>
        <v>0.0145462799880928</v>
      </c>
      <c r="AM67" s="57" t="n">
        <f aca="false">(1-EXP(-r_stroke*F67*rr_stroke_prior*rr_asa_stroke*dt))</f>
        <v>0.0263181889304245</v>
      </c>
      <c r="AN67" s="57" t="n">
        <f aca="false">(1-EXP(-r_ich*rr_asa_ich*dt))</f>
        <v>0.00102357767802375</v>
      </c>
      <c r="AO67" s="57" t="n">
        <f aca="false">(1-EXP(-r_mb*rr_asa_mb*dt))</f>
        <v>0.00951809672747972</v>
      </c>
      <c r="AP67" s="57" t="n">
        <f aca="false">(1-EXP(-r_mi*rr_asa_mi*dt))</f>
        <v>0.00213413516393479</v>
      </c>
      <c r="AQ67" s="57" t="n">
        <f aca="false">(1-EXP(-r_tia*rr_asa_tia*dt))</f>
        <v>0.00312764565589152</v>
      </c>
      <c r="AR67" s="57" t="n">
        <f aca="false">(1-EXP(-r_minor*rr_asa_minor*dt))</f>
        <v>0.0278181950466747</v>
      </c>
      <c r="AS67" s="57" t="n">
        <f aca="false">AL67*AM67</f>
        <v>0.000382831744961479</v>
      </c>
      <c r="AT67" s="57" t="n">
        <f aca="false">AL67*AN67</f>
        <v>1.48892474940953E-005</v>
      </c>
      <c r="AU67" s="57" t="n">
        <f aca="false">AL67*AO67</f>
        <v>0.00013845289995167</v>
      </c>
      <c r="AV67" s="57" t="n">
        <f aca="false">AL67*AP67</f>
        <v>3.10437276270298E-005</v>
      </c>
      <c r="AW67" s="57" t="n">
        <f aca="false">AL67*AQ67</f>
        <v>4.54956094141401E-005</v>
      </c>
      <c r="AX67" s="57" t="n">
        <f aca="false">AL67*AR67</f>
        <v>0.000404651253912306</v>
      </c>
      <c r="AY67" s="57" t="n">
        <f aca="false">AS67*f_stroke_fatal_recur</f>
        <v>0.000142447863982717</v>
      </c>
      <c r="AZ67" s="57" t="n">
        <f aca="false">AS67*(1-f_stroke_fatal_recur)*f_stroke_major</f>
        <v>8.00478323659278E-005</v>
      </c>
      <c r="BA67" s="57" t="n">
        <f aca="false">AS67*(1-f_stroke_fatal_recur)*(1-f_stroke_major)</f>
        <v>0.000160336048612834</v>
      </c>
      <c r="BB67" s="57" t="n">
        <f aca="false">AT67*(1-f_bleed_fatal)</f>
        <v>1.36385507045913E-005</v>
      </c>
      <c r="BC67" s="57" t="n">
        <f aca="false">AU67*(1-f_bleed_fatal)</f>
        <v>0.000126822856355729</v>
      </c>
      <c r="BD67" s="57" t="n">
        <f aca="false">AV67*f_mi_fatal</f>
        <v>3.7562910428706E-006</v>
      </c>
      <c r="BE67" s="57" t="n">
        <f aca="false">AV67-BD67</f>
        <v>2.72874365841592E-005</v>
      </c>
      <c r="BF67" s="57" t="n">
        <f aca="false">AL67-AS67-AT67-AU67-BD67</f>
        <v>0.0140063498046427</v>
      </c>
      <c r="BG67" s="19" t="n">
        <f aca="false">AY67*c_stroke_fatal+AZ67*c_stroke_major+BA67*c_stroke_minor+AT67*c_ich+AU67*c_major_bleed+BD67*c_mi_fatal+BE67*c_mi_nonfatal+AW67*c_tia+AX67*c_minor_bleed</f>
        <v>15.1586074507194</v>
      </c>
      <c r="BH67" s="57" t="n">
        <f aca="false">dt*(BE67*dec_mi+BC67*dec_major_bleed+AX67*dec_minor_bleed+AW67*dec_tia)</f>
        <v>6.25628660706585E-006</v>
      </c>
      <c r="BI67" s="57" t="n">
        <f aca="false">H67*AK67+AY67+AT67-BB67+AU67-BC67+BD67</f>
        <v>0.0016769595149258</v>
      </c>
      <c r="BJ67" s="57" t="n">
        <f aca="false">1-EXP(LN(1-E67)*hr_death_prior_stroke*dt)</f>
        <v>0.0944882974916055</v>
      </c>
      <c r="BK67" s="57" t="n">
        <f aca="false">I67*(1-BJ67)</f>
        <v>0.00749145482033165</v>
      </c>
      <c r="BL67" s="57" t="n">
        <f aca="false">(1-EXP(-r_stroke*F67*rr_stroke_prior*rr_asa_stroke*dt))</f>
        <v>0.0263181889304245</v>
      </c>
      <c r="BM67" s="57" t="n">
        <f aca="false">(1-EXP(-r_ich*rr_asa_ich*dt))</f>
        <v>0.00102357767802375</v>
      </c>
      <c r="BN67" s="57" t="n">
        <f aca="false">(1-EXP(-r_mb*rr_asa_mb*dt))</f>
        <v>0.00951809672747972</v>
      </c>
      <c r="BO67" s="57" t="n">
        <f aca="false">(1-EXP(-r_mi*rr_asa_mi*dt))</f>
        <v>0.00213413516393479</v>
      </c>
      <c r="BP67" s="57" t="n">
        <f aca="false">(1-EXP(-r_tia*rr_asa_tia*dt))</f>
        <v>0.00312764565589152</v>
      </c>
      <c r="BQ67" s="57" t="n">
        <f aca="false">(1-EXP(-r_minor*rr_asa_minor*dt))</f>
        <v>0.0278181950466747</v>
      </c>
      <c r="BR67" s="57" t="n">
        <f aca="false">BK67*BL67</f>
        <v>0.000197161523325228</v>
      </c>
      <c r="BS67" s="57" t="n">
        <f aca="false">BK67*BM67</f>
        <v>7.66808593001487E-006</v>
      </c>
      <c r="BT67" s="57" t="n">
        <f aca="false">BK67*BN67</f>
        <v>7.13043916094609E-005</v>
      </c>
      <c r="BU67" s="57" t="n">
        <f aca="false">BK67*BO67</f>
        <v>1.59877771610986E-005</v>
      </c>
      <c r="BV67" s="57" t="n">
        <f aca="false">BK67*BP67</f>
        <v>2.34306161251179E-005</v>
      </c>
      <c r="BW67" s="57" t="n">
        <f aca="false">BK67*BQ67</f>
        <v>0.000208398751375337</v>
      </c>
      <c r="BX67" s="57" t="n">
        <f aca="false">BR67*f_stroke_fatal_recur</f>
        <v>7.33618312140839E-005</v>
      </c>
      <c r="BY67" s="57" t="n">
        <f aca="false">BR67*(1-f_stroke_fatal_recur)*f_stroke_major</f>
        <v>4.12252974730108E-005</v>
      </c>
      <c r="BZ67" s="57" t="n">
        <f aca="false">BR67*(1-f_stroke_fatal_recur)*(1-f_stroke_major)</f>
        <v>8.25743946381328E-005</v>
      </c>
      <c r="CA67" s="57" t="n">
        <f aca="false">BS67*(1-f_bleed_fatal)</f>
        <v>7.02396671189362E-006</v>
      </c>
      <c r="CB67" s="57" t="n">
        <f aca="false">BT67*(1-f_bleed_fatal)</f>
        <v>6.53148227142662E-005</v>
      </c>
      <c r="CC67" s="57" t="n">
        <f aca="false">BU67*f_mi_fatal</f>
        <v>1.93452103649293E-006</v>
      </c>
      <c r="CD67" s="57" t="n">
        <f aca="false">BU67-CC67</f>
        <v>1.40532561246057E-005</v>
      </c>
      <c r="CE67" s="57" t="n">
        <f aca="false">BK67-BR67-BS67-BT67-CC67</f>
        <v>0.00721338629843046</v>
      </c>
      <c r="CF67" s="19" t="n">
        <f aca="false">BX67*c_stroke_fatal+BY67*c_stroke_major+BZ67*c_stroke_minor+BS67*c_ich+BT67*c_major_bleed+CC67*c_mi_fatal+CD67*c_mi_nonfatal+BV67*c_tia+BW67*c_minor_bleed</f>
        <v>7.80680854137033</v>
      </c>
      <c r="CG67" s="57" t="n">
        <f aca="false">dt*(CD67*dec_mi+CB67*dec_major_bleed+BW67*dec_minor_bleed+BV67*dec_tia)</f>
        <v>3.22203948351368E-006</v>
      </c>
      <c r="CH67" s="57" t="n">
        <f aca="false">I67*BJ67+BX67+BS67-CA67+BT67-CB67+CC67</f>
        <v>0.000863648056539236</v>
      </c>
      <c r="CI67" s="57" t="n">
        <f aca="false">1-EXP(LN(1-E67)*dt)</f>
        <v>0.0422364825170679</v>
      </c>
      <c r="CJ67" s="57" t="n">
        <f aca="false">J67*(1-CI67)</f>
        <v>0.0510488708617757</v>
      </c>
      <c r="CK67" s="57" t="n">
        <f aca="false">(1-EXP(-r_stroke*F67*rr_asa_stroke*dt))</f>
        <v>0.0120498625074545</v>
      </c>
      <c r="CL67" s="57" t="n">
        <f aca="false">(1-EXP(-r_ich*rr_asa_ich*dt))</f>
        <v>0.00102357767802375</v>
      </c>
      <c r="CM67" s="57" t="n">
        <f aca="false">(1-EXP(-r_mb*rr_asa_mb*dt))</f>
        <v>0.00951809672747972</v>
      </c>
      <c r="CN67" s="57" t="n">
        <f aca="false">(1-EXP(-r_mi*rr_asa_mi*dt))</f>
        <v>0.00213413516393479</v>
      </c>
      <c r="CO67" s="57" t="n">
        <f aca="false">(1-EXP(-r_tia*rr_asa_tia*dt))</f>
        <v>0.00312764565589152</v>
      </c>
      <c r="CP67" s="57" t="n">
        <f aca="false">(1-EXP(-r_minor*rr_asa_minor*dt))</f>
        <v>0.0278181950466747</v>
      </c>
      <c r="CQ67" s="57" t="n">
        <f aca="false">CJ67*CK67</f>
        <v>0.000615131875045199</v>
      </c>
      <c r="CR67" s="57" t="n">
        <f aca="false">CJ67*CL67</f>
        <v>5.22524847024304E-005</v>
      </c>
      <c r="CS67" s="57" t="n">
        <f aca="false">CJ67*CM67</f>
        <v>0.000485888090691002</v>
      </c>
      <c r="CT67" s="57" t="n">
        <f aca="false">CJ67*CN67</f>
        <v>0.000108945190385282</v>
      </c>
      <c r="CU67" s="57" t="n">
        <f aca="false">CJ67*CO67</f>
        <v>0.000159662779189</v>
      </c>
      <c r="CV67" s="57" t="n">
        <f aca="false">CJ67*CP67</f>
        <v>0.00142008744654538</v>
      </c>
      <c r="CW67" s="57" t="n">
        <f aca="false">CQ67*f_stroke_fatal</f>
        <v>0.000145786254385712</v>
      </c>
      <c r="CX67" s="57" t="n">
        <f aca="false">CQ67*(1-f_stroke_fatal)*f_stroke_major</f>
        <v>0.000156292091679609</v>
      </c>
      <c r="CY67" s="57" t="n">
        <f aca="false">CQ67*(1-f_stroke_fatal)*(1-f_stroke_major)</f>
        <v>0.000313053528979878</v>
      </c>
      <c r="CZ67" s="57" t="n">
        <f aca="false">CR67*(1-f_bleed_fatal)</f>
        <v>4.78632759874262E-005</v>
      </c>
      <c r="DA67" s="57" t="n">
        <f aca="false">CS67*(1-f_bleed_fatal)</f>
        <v>0.000445073491072958</v>
      </c>
      <c r="DB67" s="57" t="n">
        <f aca="false">CT67*f_mi_fatal</f>
        <v>1.31823680366191E-005</v>
      </c>
      <c r="DC67" s="57" t="n">
        <f aca="false">CT67-DB67</f>
        <v>9.57628223486625E-005</v>
      </c>
      <c r="DD67" s="57" t="n">
        <f aca="false">CJ67-CQ67-CR67-CS67-DB67</f>
        <v>0.0498824160433004</v>
      </c>
      <c r="DE67" s="19" t="n">
        <f aca="false">CW67*c_stroke_fatal+CX67*c_stroke_major+CY67*c_stroke_minor+CR67*c_ich+CS67*c_major_bleed+DB67*c_mi_fatal+DC67*c_mi_nonfatal+CU67*c_tia+CV67*c_minor_bleed</f>
        <v>29.6018173462559</v>
      </c>
      <c r="DF67" s="57" t="n">
        <f aca="false">dt*(DC67*dec_mi+DA67*dec_major_bleed+CV67*dec_minor_bleed+CU67*dec_tia)</f>
        <v>2.1955879258463E-005</v>
      </c>
      <c r="DG67" s="57" t="n">
        <f aca="false">J67*CI67+CW67+CR67-CZ67+CS67-DA67+DB67</f>
        <v>0.00245538027310031</v>
      </c>
      <c r="DH67" s="57" t="n">
        <f aca="false">AG67</f>
        <v>0.130689584435387</v>
      </c>
      <c r="DI67" s="57" t="n">
        <f aca="false">AB67+AC67+BF67+BA67+BB67+BC67+CY67+CZ67</f>
        <v>0.0151681910893737</v>
      </c>
      <c r="DJ67" s="57" t="n">
        <f aca="false">AA67+AZ67+BY67+CX67+CE67+BZ67+CA67+CB67</f>
        <v>0.00784444489148161</v>
      </c>
      <c r="DK67" s="57" t="n">
        <f aca="false">AD67+DD67+DA67</f>
        <v>0.0511399425579273</v>
      </c>
      <c r="DL67" s="57" t="n">
        <f aca="false">K67+AJ67+BI67+CH67+DG67</f>
        <v>0.79515783702583</v>
      </c>
      <c r="DM67" s="58" t="n">
        <f aca="false">SUM(DH67:DL67)</f>
        <v>1</v>
      </c>
      <c r="DN67" s="19" t="n">
        <f aca="false">dt*(G67*Apixaban!$H$2+(H67+I67+J67)*c_aspirin)</f>
        <v>11.0752372886244</v>
      </c>
      <c r="DO67" s="19" t="n">
        <f aca="false">dt*(H67*c_lt_minor_stroke+I67*c_lt_major_stroke)</f>
        <v>97.4393810385481</v>
      </c>
      <c r="DP67" s="19" t="n">
        <f aca="false">AH67+BG67+CF67+DE67</f>
        <v>94.3187249563108</v>
      </c>
      <c r="DQ67" s="19" t="n">
        <f aca="false">DN67+DO67+DP67</f>
        <v>202.833343283483</v>
      </c>
      <c r="DR67" s="57" t="n">
        <f aca="false">dt*(G67*(u_af-dec_per_year_over_70*MAX(B67-ref_age,0))+H67*(u_minor_stroke-dec_per_year_over_70*MAX(B67-ref_age,0))+I67*(u_major_stroke-dec_per_year_over_70*MAX(B67-ref_age,0))+J67*(u_af-dec_per_year_over_70*MAX(B67-ref_age,0)))-AI67-BH67-CG67-DF67</f>
        <v>0.042186386104236</v>
      </c>
      <c r="DS67" s="57" t="n">
        <f aca="false">dt*(G67+H67+I67+J67)</f>
        <v>0.0539928053875055</v>
      </c>
      <c r="DT67" s="19" t="n">
        <f aca="false">DQ67*C67</f>
        <v>161.633808025652</v>
      </c>
      <c r="DU67" s="19" t="n">
        <f aca="false">DN67*C67</f>
        <v>8.82563363976179</v>
      </c>
      <c r="DV67" s="19" t="n">
        <f aca="false">DP67*C67</f>
        <v>75.1606931879333</v>
      </c>
      <c r="DW67" s="19" t="n">
        <f aca="false">DO67*C67</f>
        <v>77.6474811979572</v>
      </c>
      <c r="DX67" s="57" t="n">
        <f aca="false">DR67*C67</f>
        <v>0.0336174818325513</v>
      </c>
      <c r="DY67" s="57" t="n">
        <f aca="false">DS67*C67</f>
        <v>0.0430257796844248</v>
      </c>
      <c r="DZ67" s="57" t="n">
        <f aca="false">T67+AS67+BR67+CQ67</f>
        <v>0.00197669381869786</v>
      </c>
      <c r="EA67" s="57" t="n">
        <f aca="false">U67+AT67+BS67+CR67</f>
        <v>0.000186567800937341</v>
      </c>
      <c r="EB67" s="57" t="n">
        <f aca="false">V67+AU67+BT67+CS67</f>
        <v>0.00158260283154684</v>
      </c>
      <c r="EC67" s="57" t="n">
        <f aca="false">G67*dt*C67</f>
        <v>0.0275588581740953</v>
      </c>
    </row>
    <row r="68" customFormat="false" ht="15" hidden="false" customHeight="false" outlineLevel="0" collapsed="false">
      <c r="A68" s="8" t="n">
        <v>62</v>
      </c>
      <c r="B68" s="54" t="n">
        <f aca="false">start_age+A68*dt</f>
        <v>85.5</v>
      </c>
      <c r="C68" s="16" t="n">
        <f aca="false">(1+disc_rate)^-(A68*dt)</f>
        <v>0.793919273425047</v>
      </c>
      <c r="D68" s="55" t="n">
        <f aca="false">IF(A68*dt&gt;=wane_start,(1-wane_decay)^(A68*dt-wane_start),1)</f>
        <v>1</v>
      </c>
      <c r="E68" s="25" t="n">
        <f aca="false">MIN(p_nonvasc_death*MIN(EXP(gomp_int+gomp_slope*INT(B68)),1)/qx_ref,0.999)</f>
        <v>0.158540611064101</v>
      </c>
      <c r="F68" s="55" t="n">
        <f aca="false">rr_stroke_per_decade^((B68-ref_age)/10)</f>
        <v>1.8747417518086</v>
      </c>
      <c r="G68" s="57" t="n">
        <f aca="false">DH67</f>
        <v>0.130689584435387</v>
      </c>
      <c r="H68" s="57" t="n">
        <f aca="false">DI67</f>
        <v>0.0151681910893737</v>
      </c>
      <c r="I68" s="57" t="n">
        <f aca="false">DJ67</f>
        <v>0.00784444489148161</v>
      </c>
      <c r="J68" s="57" t="n">
        <f aca="false">DK67</f>
        <v>0.0511399425579273</v>
      </c>
      <c r="K68" s="57" t="n">
        <f aca="false">DL67</f>
        <v>0.79515783702583</v>
      </c>
      <c r="L68" s="57" t="n">
        <f aca="false">1-EXP(LN(1-E68)*dt)</f>
        <v>0.0422364825170679</v>
      </c>
      <c r="M68" s="57" t="n">
        <f aca="false">G68*(1-L68)</f>
        <v>0.125169716087219</v>
      </c>
      <c r="N68" s="57" t="n">
        <f aca="false">IF(Apixaban!$B$2=1,EXP(LN(or_apx_stroke)*D68)*(1-EXP(-r_stroke*F68*dt))/(1-(1-EXP(-r_stroke*F68*dt))+EXP(LN(or_apx_stroke)*D68)*(1-EXP(-r_stroke*F68*dt))),(1-EXP(-r_stroke*F68*dt)))</f>
        <v>0.00595899687946557</v>
      </c>
      <c r="O68" s="57" t="n">
        <f aca="false">IF(Apixaban!$B$2=1,EXP(LN(or_apx_ich)*D68)*(1-EXP(-r_ich*dt))/(1-(1-EXP(-r_ich*dt))+EXP(LN(or_apx_ich)*D68)*(1-EXP(-r_ich*dt))),(1-EXP(-r_ich*dt)))</f>
        <v>0.000843513249640701</v>
      </c>
      <c r="P68" s="57" t="n">
        <f aca="false">IF(Apixaban!$B$2=1,EXP(LN(or_apx_mb)*D68)*(1-EXP(-r_mb*dt))/(1-(1-EXP(-r_mb*dt))+EXP(LN(or_apx_mb)*D68)*(1-EXP(-r_mb*dt))),(1-EXP(-r_mb*dt)))</f>
        <v>0.00669446907979895</v>
      </c>
      <c r="Q68" s="57" t="n">
        <f aca="false">IF(Apixaban!$B$2=1,EXP(LN(or_apx_mi)*D68)*(1-EXP(-r_mi*dt))/(1-(1-EXP(-r_mi*dt))+EXP(LN(or_apx_mi)*D68)*(1-EXP(-r_mi*dt))),(1-EXP(-r_mi*dt)))</f>
        <v>0.00132321915530843</v>
      </c>
      <c r="R68" s="57" t="n">
        <f aca="false">(1-EXP(-r_tia*dt))</f>
        <v>0.0020060281549299</v>
      </c>
      <c r="S68" s="57" t="n">
        <f aca="false">(1-EXP(-r_minor*dt))</f>
        <v>0.0437937690785545</v>
      </c>
      <c r="T68" s="57" t="n">
        <f aca="false">M68*N68</f>
        <v>0.000745885947567331</v>
      </c>
      <c r="U68" s="57" t="n">
        <f aca="false">M68*O68</f>
        <v>0.000105582313973334</v>
      </c>
      <c r="V68" s="57" t="n">
        <f aca="false">M68*P68</f>
        <v>0.000837944794073103</v>
      </c>
      <c r="W68" s="57" t="n">
        <f aca="false">M68*Q68</f>
        <v>0.000165626965991126</v>
      </c>
      <c r="X68" s="57" t="n">
        <f aca="false">M68*R68</f>
        <v>0.000251093974615543</v>
      </c>
      <c r="Y68" s="57" t="n">
        <f aca="false">M68*S68</f>
        <v>0.00548165364195191</v>
      </c>
      <c r="Z68" s="57" t="n">
        <f aca="false">T68*f_stroke_fatal</f>
        <v>0.000176774969573457</v>
      </c>
      <c r="AA68" s="57" t="n">
        <f aca="false">T68*(1-f_stroke_fatal)*f_stroke_major</f>
        <v>0.00018951395567196</v>
      </c>
      <c r="AB68" s="57" t="n">
        <f aca="false">T68*(1-f_stroke_fatal)*(1-f_stroke_major)</f>
        <v>0.000379597022321914</v>
      </c>
      <c r="AC68" s="57" t="n">
        <f aca="false">U68*(1-f_bleed_fatal)</f>
        <v>9.67133995995742E-005</v>
      </c>
      <c r="AD68" s="57" t="n">
        <f aca="false">V68*(1-f_bleed_fatal)</f>
        <v>0.000767557431370963</v>
      </c>
      <c r="AE68" s="57" t="n">
        <f aca="false">W68*f_mi_fatal</f>
        <v>2.00408628849263E-005</v>
      </c>
      <c r="AF68" s="57" t="n">
        <f aca="false">W68-AE68</f>
        <v>0.0001455861031062</v>
      </c>
      <c r="AG68" s="57" t="n">
        <f aca="false">M68-T68-U68-V68-AE68</f>
        <v>0.123460262168721</v>
      </c>
      <c r="AH68" s="19" t="n">
        <f aca="false">Z68*c_stroke_fatal+AA68*c_stroke_major+AB68*c_stroke_minor+U68*c_ich+V68*c_major_bleed+AE68*c_mi_fatal+AF68*c_mi_nonfatal+X68*c_tia+Y68*c_minor_bleed</f>
        <v>39.7216699890634</v>
      </c>
      <c r="AI68" s="57" t="n">
        <f aca="false">dt*(AF68*dec_mi+AD68*dec_major_bleed+Y68*dec_minor_bleed+X68*dec_tia)</f>
        <v>4.64844308262948E-005</v>
      </c>
      <c r="AJ68" s="57" t="n">
        <f aca="false">G68*L68+Z68+U68-AC68+V68-AD68+AE68</f>
        <v>0.0057959404577024</v>
      </c>
      <c r="AK68" s="57" t="n">
        <f aca="false">1-EXP(LN(1-E68)*hr_death_prior_stroke*dt)</f>
        <v>0.0944882974916055</v>
      </c>
      <c r="AL68" s="57" t="n">
        <f aca="false">H68*(1-AK68)</f>
        <v>0.0137349745373115</v>
      </c>
      <c r="AM68" s="57" t="n">
        <f aca="false">(1-EXP(-r_stroke*F68*rr_stroke_prior*rr_asa_stroke*dt))</f>
        <v>0.0265827275908304</v>
      </c>
      <c r="AN68" s="57" t="n">
        <f aca="false">(1-EXP(-r_ich*rr_asa_ich*dt))</f>
        <v>0.00102357767802375</v>
      </c>
      <c r="AO68" s="57" t="n">
        <f aca="false">(1-EXP(-r_mb*rr_asa_mb*dt))</f>
        <v>0.00951809672747972</v>
      </c>
      <c r="AP68" s="57" t="n">
        <f aca="false">(1-EXP(-r_mi*rr_asa_mi*dt))</f>
        <v>0.00213413516393479</v>
      </c>
      <c r="AQ68" s="57" t="n">
        <f aca="false">(1-EXP(-r_tia*rr_asa_tia*dt))</f>
        <v>0.00312764565589152</v>
      </c>
      <c r="AR68" s="57" t="n">
        <f aca="false">(1-EXP(-r_minor*rr_asa_minor*dt))</f>
        <v>0.0278181950466747</v>
      </c>
      <c r="AS68" s="57" t="n">
        <f aca="false">AL68*AM68</f>
        <v>0.000365113086592342</v>
      </c>
      <c r="AT68" s="57" t="n">
        <f aca="false">AL68*AN68</f>
        <v>1.40588133446166E-005</v>
      </c>
      <c r="AU68" s="57" t="n">
        <f aca="false">AL68*AO68</f>
        <v>0.000130730816195602</v>
      </c>
      <c r="AV68" s="57" t="n">
        <f aca="false">AL68*AP68</f>
        <v>2.93122921358254E-005</v>
      </c>
      <c r="AW68" s="57" t="n">
        <f aca="false">AL68*AQ68</f>
        <v>4.29581334454029E-005</v>
      </c>
      <c r="AX68" s="57" t="n">
        <f aca="false">AL68*AR68</f>
        <v>0.000382082200640041</v>
      </c>
      <c r="AY68" s="57" t="n">
        <f aca="false">AS68*f_stroke_fatal_recur</f>
        <v>0.000135854928390145</v>
      </c>
      <c r="AZ68" s="57" t="n">
        <f aca="false">AS68*(1-f_stroke_fatal_recur)*f_stroke_major</f>
        <v>7.63429666813318E-005</v>
      </c>
      <c r="BA68" s="57" t="n">
        <f aca="false">AS68*(1-f_stroke_fatal_recur)*(1-f_stroke_major)</f>
        <v>0.000152915191520866</v>
      </c>
      <c r="BB68" s="57" t="n">
        <f aca="false">AT68*(1-f_bleed_fatal)</f>
        <v>1.28778730236688E-005</v>
      </c>
      <c r="BC68" s="57" t="n">
        <f aca="false">AU68*(1-f_bleed_fatal)</f>
        <v>0.000119749427635171</v>
      </c>
      <c r="BD68" s="57" t="n">
        <f aca="false">AV68*f_mi_fatal</f>
        <v>3.54678734843487E-006</v>
      </c>
      <c r="BE68" s="57" t="n">
        <f aca="false">AV68-BD68</f>
        <v>2.57655047873905E-005</v>
      </c>
      <c r="BF68" s="57" t="n">
        <f aca="false">AL68-AS68-AT68-AU68-BD68</f>
        <v>0.0132215250338305</v>
      </c>
      <c r="BG68" s="19" t="n">
        <f aca="false">AY68*c_stroke_fatal+AZ68*c_stroke_major+BA68*c_stroke_minor+AT68*c_ich+AU68*c_major_bleed+BD68*c_mi_fatal+BE68*c_mi_nonfatal+AW68*c_tia+AX68*c_minor_bleed</f>
        <v>14.4384287511964</v>
      </c>
      <c r="BH68" s="57" t="n">
        <f aca="false">dt*(BE68*dec_mi+BC68*dec_major_bleed+AX68*dec_minor_bleed+AW68*dec_tia)</f>
        <v>5.90734794851415E-006</v>
      </c>
      <c r="BI68" s="57" t="n">
        <f aca="false">H68*AK68+AY68+AT68-BB68+AU68-BC68+BD68</f>
        <v>0.00158478059668222</v>
      </c>
      <c r="BJ68" s="57" t="n">
        <f aca="false">1-EXP(LN(1-E68)*hr_death_prior_stroke*dt)</f>
        <v>0.0944882974916055</v>
      </c>
      <c r="BK68" s="57" t="n">
        <f aca="false">I68*(1-BJ68)</f>
        <v>0.00710323664891879</v>
      </c>
      <c r="BL68" s="57" t="n">
        <f aca="false">(1-EXP(-r_stroke*F68*rr_stroke_prior*rr_asa_stroke*dt))</f>
        <v>0.0265827275908304</v>
      </c>
      <c r="BM68" s="57" t="n">
        <f aca="false">(1-EXP(-r_ich*rr_asa_ich*dt))</f>
        <v>0.00102357767802375</v>
      </c>
      <c r="BN68" s="57" t="n">
        <f aca="false">(1-EXP(-r_mb*rr_asa_mb*dt))</f>
        <v>0.00951809672747972</v>
      </c>
      <c r="BO68" s="57" t="n">
        <f aca="false">(1-EXP(-r_mi*rr_asa_mi*dt))</f>
        <v>0.00213413516393479</v>
      </c>
      <c r="BP68" s="57" t="n">
        <f aca="false">(1-EXP(-r_tia*rr_asa_tia*dt))</f>
        <v>0.00312764565589152</v>
      </c>
      <c r="BQ68" s="57" t="n">
        <f aca="false">(1-EXP(-r_minor*rr_asa_minor*dt))</f>
        <v>0.0278181950466747</v>
      </c>
      <c r="BR68" s="57" t="n">
        <f aca="false">BK68*BL68</f>
        <v>0.000188823404851411</v>
      </c>
      <c r="BS68" s="57" t="n">
        <f aca="false">BK68*BM68</f>
        <v>7.27071447555347E-006</v>
      </c>
      <c r="BT68" s="57" t="n">
        <f aca="false">BK68*BN68</f>
        <v>6.76092935025879E-005</v>
      </c>
      <c r="BU68" s="57" t="n">
        <f aca="false">BK68*BO68</f>
        <v>1.51592671102079E-005</v>
      </c>
      <c r="BV68" s="57" t="n">
        <f aca="false">BK68*BP68</f>
        <v>2.22164072477603E-005</v>
      </c>
      <c r="BW68" s="57" t="n">
        <f aca="false">BK68*BQ68</f>
        <v>0.000197599222562311</v>
      </c>
      <c r="BX68" s="57" t="n">
        <f aca="false">BR68*f_stroke_fatal_recur</f>
        <v>7.02593007111614E-005</v>
      </c>
      <c r="BY68" s="57" t="n">
        <f aca="false">BR68*(1-f_stroke_fatal_recur)*f_stroke_major</f>
        <v>3.9481846678703E-005</v>
      </c>
      <c r="BZ68" s="57" t="n">
        <f aca="false">BR68*(1-f_stroke_fatal_recur)*(1-f_stroke_major)</f>
        <v>7.90822574615463E-005</v>
      </c>
      <c r="CA68" s="57" t="n">
        <f aca="false">BS68*(1-f_bleed_fatal)</f>
        <v>6.65997445960698E-006</v>
      </c>
      <c r="CB68" s="57" t="n">
        <f aca="false">BT68*(1-f_bleed_fatal)</f>
        <v>6.19301128483705E-005</v>
      </c>
      <c r="CC68" s="57" t="n">
        <f aca="false">BU68*f_mi_fatal</f>
        <v>1.83427132033516E-006</v>
      </c>
      <c r="CD68" s="57" t="n">
        <f aca="false">BU68-CC68</f>
        <v>1.33249957898728E-005</v>
      </c>
      <c r="CE68" s="57" t="n">
        <f aca="false">BK68-BR68-BS68-BT68-CC68</f>
        <v>0.0068376989647689</v>
      </c>
      <c r="CF68" s="19" t="n">
        <f aca="false">BX68*c_stroke_fatal+BY68*c_stroke_major+BZ68*c_stroke_minor+BS68*c_ich+BT68*c_major_bleed+CC68*c_mi_fatal+CD68*c_mi_nonfatal+BV68*c_tia+BW68*c_minor_bleed</f>
        <v>7.46703796062341</v>
      </c>
      <c r="CG68" s="57" t="n">
        <f aca="false">dt*(CD68*dec_mi+CB68*dec_major_bleed+BW68*dec_minor_bleed+BV68*dec_tia)</f>
        <v>3.05506867390338E-006</v>
      </c>
      <c r="CH68" s="57" t="n">
        <f aca="false">I68*BJ68+BX68+BS68-CA68+BT68-CB68+CC68</f>
        <v>0.000819591735264479</v>
      </c>
      <c r="CI68" s="57" t="n">
        <f aca="false">1-EXP(LN(1-E68)*dt)</f>
        <v>0.0422364825170679</v>
      </c>
      <c r="CJ68" s="57" t="n">
        <f aca="false">J68*(1-CI68)</f>
        <v>0.0489799712681556</v>
      </c>
      <c r="CK68" s="57" t="n">
        <f aca="false">(1-EXP(-r_stroke*F68*rr_asa_stroke*dt))</f>
        <v>0.0121718784618299</v>
      </c>
      <c r="CL68" s="57" t="n">
        <f aca="false">(1-EXP(-r_ich*rr_asa_ich*dt))</f>
        <v>0.00102357767802375</v>
      </c>
      <c r="CM68" s="57" t="n">
        <f aca="false">(1-EXP(-r_mb*rr_asa_mb*dt))</f>
        <v>0.00951809672747972</v>
      </c>
      <c r="CN68" s="57" t="n">
        <f aca="false">(1-EXP(-r_mi*rr_asa_mi*dt))</f>
        <v>0.00213413516393479</v>
      </c>
      <c r="CO68" s="57" t="n">
        <f aca="false">(1-EXP(-r_tia*rr_asa_tia*dt))</f>
        <v>0.00312764565589152</v>
      </c>
      <c r="CP68" s="57" t="n">
        <f aca="false">(1-EXP(-r_minor*rr_asa_minor*dt))</f>
        <v>0.0278181950466747</v>
      </c>
      <c r="CQ68" s="57" t="n">
        <f aca="false">CJ68*CK68</f>
        <v>0.000596178257339909</v>
      </c>
      <c r="CR68" s="57" t="n">
        <f aca="false">CJ68*CL68</f>
        <v>5.01348052603285E-005</v>
      </c>
      <c r="CS68" s="57" t="n">
        <f aca="false">CJ68*CM68</f>
        <v>0.000466196104239482</v>
      </c>
      <c r="CT68" s="57" t="n">
        <f aca="false">CJ68*CN68</f>
        <v>0.000104529879011887</v>
      </c>
      <c r="CU68" s="57" t="n">
        <f aca="false">CJ68*CO68</f>
        <v>0.000153191994362538</v>
      </c>
      <c r="CV68" s="57" t="n">
        <f aca="false">CJ68*CP68</f>
        <v>0.00136253439411807</v>
      </c>
      <c r="CW68" s="57" t="n">
        <f aca="false">CQ68*f_stroke_fatal</f>
        <v>0.000141294246989558</v>
      </c>
      <c r="CX68" s="57" t="n">
        <f aca="false">CQ68*(1-f_stroke_fatal)*f_stroke_major</f>
        <v>0.000151476375446667</v>
      </c>
      <c r="CY68" s="57" t="n">
        <f aca="false">CQ68*(1-f_stroke_fatal)*(1-f_stroke_major)</f>
        <v>0.000303407634903684</v>
      </c>
      <c r="CZ68" s="57" t="n">
        <f aca="false">CR68*(1-f_bleed_fatal)</f>
        <v>4.59234816184609E-005</v>
      </c>
      <c r="DA68" s="57" t="n">
        <f aca="false">CS68*(1-f_bleed_fatal)</f>
        <v>0.000427035631483366</v>
      </c>
      <c r="DB68" s="57" t="n">
        <f aca="false">CT68*f_mi_fatal</f>
        <v>1.26481153604383E-005</v>
      </c>
      <c r="DC68" s="57" t="n">
        <f aca="false">CT68-DB68</f>
        <v>9.18817636514483E-005</v>
      </c>
      <c r="DD68" s="57" t="n">
        <f aca="false">CJ68-CQ68-CR68-CS68-DB68</f>
        <v>0.0478548139859554</v>
      </c>
      <c r="DE68" s="19" t="n">
        <f aca="false">CW68*c_stroke_fatal+CX68*c_stroke_major+CY68*c_stroke_minor+CR68*c_ich+CS68*c_major_bleed+DB68*c_mi_fatal+DC68*c_mi_nonfatal+CU68*c_tia+CV68*c_minor_bleed</f>
        <v>28.6229316655465</v>
      </c>
      <c r="DF68" s="57" t="n">
        <f aca="false">dt*(DC68*dec_mi+DA68*dec_major_bleed+CV68*dec_minor_bleed+CU68*dec_tia)</f>
        <v>2.10660552739443E-005</v>
      </c>
      <c r="DG68" s="57" t="n">
        <f aca="false">J68*CI68+CW68+CR68-CZ68+CS68-DA68+DB68</f>
        <v>0.00235728544851973</v>
      </c>
      <c r="DH68" s="57" t="n">
        <f aca="false">AG68</f>
        <v>0.123460262168721</v>
      </c>
      <c r="DI68" s="57" t="n">
        <f aca="false">AB68+AC68+BF68+BA68+BB68+BC68+CY68+CZ68</f>
        <v>0.0143327090644538</v>
      </c>
      <c r="DJ68" s="57" t="n">
        <f aca="false">AA68+AZ68+BY68+CX68+CE68+BZ68+CA68+CB68</f>
        <v>0.00744218645401708</v>
      </c>
      <c r="DK68" s="57" t="n">
        <f aca="false">AD68+DD68+DA68</f>
        <v>0.0490494070488097</v>
      </c>
      <c r="DL68" s="57" t="n">
        <f aca="false">K68+AJ68+BI68+CH68+DG68</f>
        <v>0.805715435263999</v>
      </c>
      <c r="DM68" s="58" t="n">
        <f aca="false">SUM(DH68:DL68)</f>
        <v>1</v>
      </c>
      <c r="DN68" s="19" t="n">
        <f aca="false">dt*(G68*Apixaban!$H$2+(H68+I68+J68)*c_aspirin)</f>
        <v>10.4710876665467</v>
      </c>
      <c r="DO68" s="19" t="n">
        <f aca="false">dt*(H68*c_lt_minor_stroke+I68*c_lt_major_stroke)</f>
        <v>92.2182794278193</v>
      </c>
      <c r="DP68" s="19" t="n">
        <f aca="false">AH68+BG68+CF68+DE68</f>
        <v>90.2500683664297</v>
      </c>
      <c r="DQ68" s="19" t="n">
        <f aca="false">DN68+DO68+DP68</f>
        <v>192.939435460796</v>
      </c>
      <c r="DR68" s="57" t="n">
        <f aca="false">dt*(G68*(u_af-dec_per_year_over_70*MAX(B68-ref_age,0))+H68*(u_minor_stroke-dec_per_year_over_70*MAX(B68-ref_age,0))+I68*(u_major_stroke-dec_per_year_over_70*MAX(B68-ref_age,0))+J68*(u_af-dec_per_year_over_70*MAX(B68-ref_age,0)))-AI68-BH68-CG68-DF68</f>
        <v>0.0400100763547656</v>
      </c>
      <c r="DS68" s="57" t="n">
        <f aca="false">dt*(G68+H68+I68+J68)</f>
        <v>0.0512105407435425</v>
      </c>
      <c r="DT68" s="19" t="n">
        <f aca="false">DQ68*C68</f>
        <v>153.178336416074</v>
      </c>
      <c r="DU68" s="19" t="n">
        <f aca="false">DN68*C68</f>
        <v>8.31319831219471</v>
      </c>
      <c r="DV68" s="19" t="n">
        <f aca="false">DP68*C68</f>
        <v>71.6512687040366</v>
      </c>
      <c r="DW68" s="19" t="n">
        <f aca="false">DO68*C68</f>
        <v>73.2138693998422</v>
      </c>
      <c r="DX68" s="57" t="n">
        <f aca="false">DR68*C68</f>
        <v>0.0317647707492562</v>
      </c>
      <c r="DY68" s="57" t="n">
        <f aca="false">DS68*C68</f>
        <v>0.040657035298817</v>
      </c>
      <c r="DZ68" s="57" t="n">
        <f aca="false">T68+AS68+BR68+CQ68</f>
        <v>0.00189600069635099</v>
      </c>
      <c r="EA68" s="57" t="n">
        <f aca="false">U68+AT68+BS68+CR68</f>
        <v>0.000177046647053833</v>
      </c>
      <c r="EB68" s="57" t="n">
        <f aca="false">V68+AU68+BT68+CS68</f>
        <v>0.00150248100801077</v>
      </c>
      <c r="EC68" s="57" t="n">
        <f aca="false">G68*dt*C68</f>
        <v>0.025939244979791</v>
      </c>
    </row>
    <row r="69" customFormat="false" ht="15" hidden="false" customHeight="false" outlineLevel="0" collapsed="false">
      <c r="A69" s="8" t="n">
        <v>63</v>
      </c>
      <c r="B69" s="54" t="n">
        <f aca="false">start_age+A69*dt</f>
        <v>85.75</v>
      </c>
      <c r="C69" s="16" t="n">
        <f aca="false">(1+disc_rate)^-(A69*dt)</f>
        <v>0.790969677151614</v>
      </c>
      <c r="D69" s="55" t="n">
        <f aca="false">IF(A69*dt&gt;=wane_start,(1-wane_decay)^(A69*dt-wane_start),1)</f>
        <v>1</v>
      </c>
      <c r="E69" s="25" t="n">
        <f aca="false">MIN(p_nonvasc_death*MIN(EXP(gomp_int+gomp_slope*INT(B69)),1)/qx_ref,0.999)</f>
        <v>0.158540611064101</v>
      </c>
      <c r="F69" s="55" t="n">
        <f aca="false">rr_stroke_per_decade^((B69-ref_age)/10)</f>
        <v>1.89384195325381</v>
      </c>
      <c r="G69" s="57" t="n">
        <f aca="false">DH68</f>
        <v>0.123460262168721</v>
      </c>
      <c r="H69" s="57" t="n">
        <f aca="false">DI68</f>
        <v>0.0143327090644538</v>
      </c>
      <c r="I69" s="57" t="n">
        <f aca="false">DJ68</f>
        <v>0.00744218645401708</v>
      </c>
      <c r="J69" s="57" t="n">
        <f aca="false">DK68</f>
        <v>0.0490494070488097</v>
      </c>
      <c r="K69" s="57" t="n">
        <f aca="false">DL68</f>
        <v>0.805715435263999</v>
      </c>
      <c r="L69" s="57" t="n">
        <f aca="false">1-EXP(LN(1-E69)*dt)</f>
        <v>0.0422364825170679</v>
      </c>
      <c r="M69" s="57" t="n">
        <f aca="false">G69*(1-L69)</f>
        <v>0.118245734964079</v>
      </c>
      <c r="N69" s="57" t="n">
        <f aca="false">IF(Apixaban!$B$2=1,EXP(LN(or_apx_stroke)*D69)*(1-EXP(-r_stroke*F69*dt))/(1-(1-EXP(-r_stroke*F69*dt))+EXP(LN(or_apx_stroke)*D69)*(1-EXP(-r_stroke*F69*dt))),(1-EXP(-r_stroke*F69*dt)))</f>
        <v>0.00601957345584063</v>
      </c>
      <c r="O69" s="57" t="n">
        <f aca="false">IF(Apixaban!$B$2=1,EXP(LN(or_apx_ich)*D69)*(1-EXP(-r_ich*dt))/(1-(1-EXP(-r_ich*dt))+EXP(LN(or_apx_ich)*D69)*(1-EXP(-r_ich*dt))),(1-EXP(-r_ich*dt)))</f>
        <v>0.000843513249640701</v>
      </c>
      <c r="P69" s="57" t="n">
        <f aca="false">IF(Apixaban!$B$2=1,EXP(LN(or_apx_mb)*D69)*(1-EXP(-r_mb*dt))/(1-(1-EXP(-r_mb*dt))+EXP(LN(or_apx_mb)*D69)*(1-EXP(-r_mb*dt))),(1-EXP(-r_mb*dt)))</f>
        <v>0.00669446907979895</v>
      </c>
      <c r="Q69" s="57" t="n">
        <f aca="false">IF(Apixaban!$B$2=1,EXP(LN(or_apx_mi)*D69)*(1-EXP(-r_mi*dt))/(1-(1-EXP(-r_mi*dt))+EXP(LN(or_apx_mi)*D69)*(1-EXP(-r_mi*dt))),(1-EXP(-r_mi*dt)))</f>
        <v>0.00132321915530843</v>
      </c>
      <c r="R69" s="57" t="n">
        <f aca="false">(1-EXP(-r_tia*dt))</f>
        <v>0.0020060281549299</v>
      </c>
      <c r="S69" s="57" t="n">
        <f aca="false">(1-EXP(-r_minor*dt))</f>
        <v>0.0437937690785545</v>
      </c>
      <c r="T69" s="57" t="n">
        <f aca="false">M69*N69</f>
        <v>0.000711788887456136</v>
      </c>
      <c r="U69" s="57" t="n">
        <f aca="false">M69*O69</f>
        <v>9.97418441557032E-005</v>
      </c>
      <c r="V69" s="57" t="n">
        <f aca="false">M69*P69</f>
        <v>0.000791592416535128</v>
      </c>
      <c r="W69" s="57" t="n">
        <f aca="false">M69*Q69</f>
        <v>0.000156465021537993</v>
      </c>
      <c r="X69" s="57" t="n">
        <f aca="false">M69*R69</f>
        <v>0.00023720427353832</v>
      </c>
      <c r="Y69" s="57" t="n">
        <f aca="false">M69*S69</f>
        <v>0.00517842641154082</v>
      </c>
      <c r="Z69" s="57" t="n">
        <f aca="false">T69*f_stroke_fatal</f>
        <v>0.000168693966327104</v>
      </c>
      <c r="AA69" s="57" t="n">
        <f aca="false">T69*(1-f_stroke_fatal)*f_stroke_major</f>
        <v>0.000180850608735967</v>
      </c>
      <c r="AB69" s="57" t="n">
        <f aca="false">T69*(1-f_stroke_fatal)*(1-f_stroke_major)</f>
        <v>0.000362244312393064</v>
      </c>
      <c r="AC69" s="57" t="n">
        <f aca="false">U69*(1-f_bleed_fatal)</f>
        <v>9.13635292466241E-005</v>
      </c>
      <c r="AD69" s="57" t="n">
        <f aca="false">V69*(1-f_bleed_fatal)</f>
        <v>0.000725098653546177</v>
      </c>
      <c r="AE69" s="57" t="n">
        <f aca="false">W69*f_mi_fatal</f>
        <v>1.89322676060971E-005</v>
      </c>
      <c r="AF69" s="57" t="n">
        <f aca="false">W69-AE69</f>
        <v>0.000137532753931896</v>
      </c>
      <c r="AG69" s="57" t="n">
        <f aca="false">M69-T69-U69-V69-AE69</f>
        <v>0.116623679548326</v>
      </c>
      <c r="AH69" s="19" t="n">
        <f aca="false">Z69*c_stroke_fatal+AA69*c_stroke_major+AB69*c_stroke_minor+U69*c_ich+V69*c_major_bleed+AE69*c_mi_fatal+AF69*c_mi_nonfatal+X69*c_tia+Y69*c_minor_bleed</f>
        <v>37.7890495350055</v>
      </c>
      <c r="AI69" s="57" t="n">
        <f aca="false">dt*(AF69*dec_mi+AD69*dec_major_bleed+Y69*dec_minor_bleed+X69*dec_tia)</f>
        <v>4.39130634730532E-005</v>
      </c>
      <c r="AJ69" s="57" t="n">
        <f aca="false">G69*L69+Z69+U69-AC69+V69-AD69+AE69</f>
        <v>0.00547702551647302</v>
      </c>
      <c r="AK69" s="57" t="n">
        <f aca="false">1-EXP(LN(1-E69)*hr_death_prior_stroke*dt)</f>
        <v>0.0944882974916055</v>
      </c>
      <c r="AL69" s="57" t="n">
        <f aca="false">H69*(1-AK69)</f>
        <v>0.0129784357865111</v>
      </c>
      <c r="AM69" s="57" t="n">
        <f aca="false">(1-EXP(-r_stroke*F69*rr_stroke_prior*rr_asa_stroke*dt))</f>
        <v>0.0268498884437394</v>
      </c>
      <c r="AN69" s="57" t="n">
        <f aca="false">(1-EXP(-r_ich*rr_asa_ich*dt))</f>
        <v>0.00102357767802375</v>
      </c>
      <c r="AO69" s="57" t="n">
        <f aca="false">(1-EXP(-r_mb*rr_asa_mb*dt))</f>
        <v>0.00951809672747972</v>
      </c>
      <c r="AP69" s="57" t="n">
        <f aca="false">(1-EXP(-r_mi*rr_asa_mi*dt))</f>
        <v>0.00213413516393479</v>
      </c>
      <c r="AQ69" s="57" t="n">
        <f aca="false">(1-EXP(-r_tia*rr_asa_tia*dt))</f>
        <v>0.00312764565589152</v>
      </c>
      <c r="AR69" s="57" t="n">
        <f aca="false">(1-EXP(-r_minor*rr_asa_minor*dt))</f>
        <v>0.0278181950466747</v>
      </c>
      <c r="AS69" s="57" t="n">
        <f aca="false">AL69*AM69</f>
        <v>0.000348469553042057</v>
      </c>
      <c r="AT69" s="57" t="n">
        <f aca="false">AL69*AN69</f>
        <v>1.32844371667373E-005</v>
      </c>
      <c r="AU69" s="57" t="n">
        <f aca="false">AL69*AO69</f>
        <v>0.000123530007187397</v>
      </c>
      <c r="AV69" s="57" t="n">
        <f aca="false">AL69*AP69</f>
        <v>2.7697736184863E-005</v>
      </c>
      <c r="AW69" s="57" t="n">
        <f aca="false">AL69*AQ69</f>
        <v>4.05919483079484E-005</v>
      </c>
      <c r="AX69" s="57" t="n">
        <f aca="false">AL69*AR69</f>
        <v>0.000361036658109908</v>
      </c>
      <c r="AY69" s="57" t="n">
        <f aca="false">AS69*f_stroke_fatal_recur</f>
        <v>0.000129662035991419</v>
      </c>
      <c r="AZ69" s="57" t="n">
        <f aca="false">AS69*(1-f_stroke_fatal_recur)*f_stroke_major</f>
        <v>7.28629031778625E-005</v>
      </c>
      <c r="BA69" s="57" t="n">
        <f aca="false">AS69*(1-f_stroke_fatal_recur)*(1-f_stroke_major)</f>
        <v>0.000145944613872776</v>
      </c>
      <c r="BB69" s="57" t="n">
        <f aca="false">AT69*(1-f_bleed_fatal)</f>
        <v>1.21685444447314E-005</v>
      </c>
      <c r="BC69" s="57" t="n">
        <f aca="false">AU69*(1-f_bleed_fatal)</f>
        <v>0.000113153486583655</v>
      </c>
      <c r="BD69" s="57" t="n">
        <f aca="false">AV69*f_mi_fatal</f>
        <v>3.35142607836842E-006</v>
      </c>
      <c r="BE69" s="57" t="n">
        <f aca="false">AV69-BD69</f>
        <v>2.43463101064946E-005</v>
      </c>
      <c r="BF69" s="57" t="n">
        <f aca="false">AL69-AS69-AT69-AU69-BD69</f>
        <v>0.0124898003630365</v>
      </c>
      <c r="BG69" s="19" t="n">
        <f aca="false">AY69*c_stroke_fatal+AZ69*c_stroke_major+BA69*c_stroke_minor+AT69*c_ich+AU69*c_major_bleed+BD69*c_mi_fatal+BE69*c_mi_nonfatal+AW69*c_tia+AX69*c_minor_bleed</f>
        <v>13.7626945601279</v>
      </c>
      <c r="BH69" s="57" t="n">
        <f aca="false">dt*(BE69*dec_mi+BC69*dec_major_bleed+AX69*dec_minor_bleed+AW69*dec_tia)</f>
        <v>5.5819641900389E-006</v>
      </c>
      <c r="BI69" s="57" t="n">
        <f aca="false">H69*AK69+AY69+AT69-BB69+AU69-BC69+BD69</f>
        <v>0.00149877915333828</v>
      </c>
      <c r="BJ69" s="57" t="n">
        <f aca="false">1-EXP(LN(1-E69)*hr_death_prior_stroke*dt)</f>
        <v>0.0944882974916055</v>
      </c>
      <c r="BK69" s="57" t="n">
        <f aca="false">I69*(1-BJ69)</f>
        <v>0.00673898692636192</v>
      </c>
      <c r="BL69" s="57" t="n">
        <f aca="false">(1-EXP(-r_stroke*F69*rr_stroke_prior*rr_asa_stroke*dt))</f>
        <v>0.0268498884437394</v>
      </c>
      <c r="BM69" s="57" t="n">
        <f aca="false">(1-EXP(-r_ich*rr_asa_ich*dt))</f>
        <v>0.00102357767802375</v>
      </c>
      <c r="BN69" s="57" t="n">
        <f aca="false">(1-EXP(-r_mb*rr_asa_mb*dt))</f>
        <v>0.00951809672747972</v>
      </c>
      <c r="BO69" s="57" t="n">
        <f aca="false">(1-EXP(-r_mi*rr_asa_mi*dt))</f>
        <v>0.00213413516393479</v>
      </c>
      <c r="BP69" s="57" t="n">
        <f aca="false">(1-EXP(-r_tia*rr_asa_tia*dt))</f>
        <v>0.00312764565589152</v>
      </c>
      <c r="BQ69" s="57" t="n">
        <f aca="false">(1-EXP(-r_minor*rr_asa_minor*dt))</f>
        <v>0.0278181950466747</v>
      </c>
      <c r="BR69" s="57" t="n">
        <f aca="false">BK69*BL69</f>
        <v>0.000180941047196636</v>
      </c>
      <c r="BS69" s="57" t="n">
        <f aca="false">BK69*BM69</f>
        <v>6.89787659031792E-006</v>
      </c>
      <c r="BT69" s="57" t="n">
        <f aca="false">BK69*BN69</f>
        <v>6.4142329410334E-005</v>
      </c>
      <c r="BU69" s="57" t="n">
        <f aca="false">BK69*BO69</f>
        <v>1.43819089688458E-005</v>
      </c>
      <c r="BV69" s="57" t="n">
        <f aca="false">BK69*BP69</f>
        <v>2.10771631853456E-005</v>
      </c>
      <c r="BW69" s="57" t="n">
        <f aca="false">BK69*BQ69</f>
        <v>0.000187466452734527</v>
      </c>
      <c r="BX69" s="57" t="n">
        <f aca="false">BR69*f_stroke_fatal_recur</f>
        <v>6.73263542513961E-005</v>
      </c>
      <c r="BY69" s="57" t="n">
        <f aca="false">BR69*(1-f_stroke_fatal_recur)*f_stroke_major</f>
        <v>3.78336927507647E-005</v>
      </c>
      <c r="BZ69" s="57" t="n">
        <f aca="false">BR69*(1-f_stroke_fatal_recur)*(1-f_stroke_major)</f>
        <v>7.57810001944747E-005</v>
      </c>
      <c r="CA69" s="57" t="n">
        <f aca="false">BS69*(1-f_bleed_fatal)</f>
        <v>6.31845495673121E-006</v>
      </c>
      <c r="CB69" s="57" t="n">
        <f aca="false">BT69*(1-f_bleed_fatal)</f>
        <v>5.8754373739866E-005</v>
      </c>
      <c r="CC69" s="57" t="n">
        <f aca="false">BU69*f_mi_fatal</f>
        <v>1.74021098523034E-006</v>
      </c>
      <c r="CD69" s="57" t="n">
        <f aca="false">BU69-CC69</f>
        <v>1.26416979836155E-005</v>
      </c>
      <c r="CE69" s="57" t="n">
        <f aca="false">BK69-BR69-BS69-BT69-CC69</f>
        <v>0.0064852654621794</v>
      </c>
      <c r="CF69" s="19" t="n">
        <f aca="false">BX69*c_stroke_fatal+BY69*c_stroke_major+BZ69*c_stroke_minor+BS69*c_ich+BT69*c_major_bleed+CC69*c_mi_fatal+CD69*c_mi_nonfatal+BV69*c_tia+BW69*c_minor_bleed</f>
        <v>7.14620931504004</v>
      </c>
      <c r="CG69" s="57" t="n">
        <f aca="false">dt*(CD69*dec_mi+CB69*dec_major_bleed+BW69*dec_minor_bleed+BV69*dec_tia)</f>
        <v>2.89840658141476E-006</v>
      </c>
      <c r="CH69" s="57" t="n">
        <f aca="false">I69*BJ69+BX69+BS69-CA69+BT69-CB69+CC69</f>
        <v>0.000778233470195844</v>
      </c>
      <c r="CI69" s="57" t="n">
        <f aca="false">1-EXP(LN(1-E69)*dt)</f>
        <v>0.0422364825170679</v>
      </c>
      <c r="CJ69" s="57" t="n">
        <f aca="false">J69*(1-CI69)</f>
        <v>0.0469777326255201</v>
      </c>
      <c r="CK69" s="57" t="n">
        <f aca="false">(1-EXP(-r_stroke*F69*rr_asa_stroke*dt))</f>
        <v>0.0122951222358376</v>
      </c>
      <c r="CL69" s="57" t="n">
        <f aca="false">(1-EXP(-r_ich*rr_asa_ich*dt))</f>
        <v>0.00102357767802375</v>
      </c>
      <c r="CM69" s="57" t="n">
        <f aca="false">(1-EXP(-r_mb*rr_asa_mb*dt))</f>
        <v>0.00951809672747972</v>
      </c>
      <c r="CN69" s="57" t="n">
        <f aca="false">(1-EXP(-r_mi*rr_asa_mi*dt))</f>
        <v>0.00213413516393479</v>
      </c>
      <c r="CO69" s="57" t="n">
        <f aca="false">(1-EXP(-r_tia*rr_asa_tia*dt))</f>
        <v>0.00312764565589152</v>
      </c>
      <c r="CP69" s="57" t="n">
        <f aca="false">(1-EXP(-r_minor*rr_asa_minor*dt))</f>
        <v>0.0278181950466747</v>
      </c>
      <c r="CQ69" s="57" t="n">
        <f aca="false">CJ69*CK69</f>
        <v>0.000577596964993267</v>
      </c>
      <c r="CR69" s="57" t="n">
        <f aca="false">CJ69*CL69</f>
        <v>4.80853584796503E-005</v>
      </c>
      <c r="CS69" s="57" t="n">
        <f aca="false">CJ69*CM69</f>
        <v>0.00044713860316738</v>
      </c>
      <c r="CT69" s="57" t="n">
        <f aca="false">CJ69*CN69</f>
        <v>0.000100256831118049</v>
      </c>
      <c r="CU69" s="57" t="n">
        <f aca="false">CJ69*CO69</f>
        <v>0.000146929701369841</v>
      </c>
      <c r="CV69" s="57" t="n">
        <f aca="false">CJ69*CP69</f>
        <v>0.00130683572902725</v>
      </c>
      <c r="CW69" s="57" t="n">
        <f aca="false">CQ69*f_stroke_fatal</f>
        <v>0.000136890480703404</v>
      </c>
      <c r="CX69" s="57" t="n">
        <f aca="false">CQ69*(1-f_stroke_fatal)*f_stroke_major</f>
        <v>0.000146755259268524</v>
      </c>
      <c r="CY69" s="57" t="n">
        <f aca="false">CQ69*(1-f_stroke_fatal)*(1-f_stroke_major)</f>
        <v>0.000293951225021338</v>
      </c>
      <c r="CZ69" s="57" t="n">
        <f aca="false">CR69*(1-f_bleed_fatal)</f>
        <v>4.40461883673596E-005</v>
      </c>
      <c r="DA69" s="57" t="n">
        <f aca="false">CS69*(1-f_bleed_fatal)</f>
        <v>0.00040957896050132</v>
      </c>
      <c r="DB69" s="57" t="n">
        <f aca="false">CT69*f_mi_fatal</f>
        <v>1.2131076565284E-005</v>
      </c>
      <c r="DC69" s="57" t="n">
        <f aca="false">CT69-DB69</f>
        <v>8.81257545527653E-005</v>
      </c>
      <c r="DD69" s="57" t="n">
        <f aca="false">CJ69-CQ69-CR69-CS69-DB69</f>
        <v>0.0458927806223145</v>
      </c>
      <c r="DE69" s="19" t="n">
        <f aca="false">CW69*c_stroke_fatal+CX69*c_stroke_major+CY69*c_stroke_minor+CR69*c_ich+CS69*c_major_bleed+DB69*c_mi_fatal+DC69*c_mi_nonfatal+CU69*c_tia+CV69*c_minor_bleed</f>
        <v>27.6667789721294</v>
      </c>
      <c r="DF69" s="57" t="n">
        <f aca="false">dt*(DC69*dec_mi+DA69*dec_major_bleed+CV69*dec_minor_bleed+CU69*dec_tia)</f>
        <v>2.02049018509163E-005</v>
      </c>
      <c r="DG69" s="57" t="n">
        <f aca="false">J69*CI69+CW69+CR69-CZ69+CS69-DA69+DB69</f>
        <v>0.00226229479333664</v>
      </c>
      <c r="DH69" s="57" t="n">
        <f aca="false">AG69</f>
        <v>0.116623679548326</v>
      </c>
      <c r="DI69" s="57" t="n">
        <f aca="false">AB69+AC69+BF69+BA69+BB69+BC69+CY69+CZ69</f>
        <v>0.0135526722629661</v>
      </c>
      <c r="DJ69" s="57" t="n">
        <f aca="false">AA69+AZ69+BY69+CX69+CE69+BZ69+CA69+CB69</f>
        <v>0.00706442175500359</v>
      </c>
      <c r="DK69" s="57" t="n">
        <f aca="false">AD69+DD69+DA69</f>
        <v>0.047027458236362</v>
      </c>
      <c r="DL69" s="57" t="n">
        <f aca="false">K69+AJ69+BI69+CH69+DG69</f>
        <v>0.815731768197342</v>
      </c>
      <c r="DM69" s="58" t="n">
        <f aca="false">SUM(DH69:DL69)</f>
        <v>1</v>
      </c>
      <c r="DN69" s="19" t="n">
        <f aca="false">dt*(G69*Apixaban!$H$2+(H69+I69+J69)*c_aspirin)</f>
        <v>9.89941155966162</v>
      </c>
      <c r="DO69" s="19" t="n">
        <f aca="false">dt*(H69*c_lt_minor_stroke+I69*c_lt_major_stroke)</f>
        <v>87.3334895834943</v>
      </c>
      <c r="DP69" s="19" t="n">
        <f aca="false">AH69+BG69+CF69+DE69</f>
        <v>86.3647323823028</v>
      </c>
      <c r="DQ69" s="19" t="n">
        <f aca="false">DN69+DO69+DP69</f>
        <v>183.597633525459</v>
      </c>
      <c r="DR69" s="57" t="n">
        <f aca="false">dt*(G69*(u_af-dec_per_year_over_70*MAX(B69-ref_age,0))+H69*(u_minor_stroke-dec_per_year_over_70*MAX(B69-ref_age,0))+I69*(u_major_stroke-dec_per_year_over_70*MAX(B69-ref_age,0))+J69*(u_af-dec_per_year_over_70*MAX(B69-ref_age,0)))-AI69-BH69-CG69-DF69</f>
        <v>0.0379449617463332</v>
      </c>
      <c r="DS69" s="57" t="n">
        <f aca="false">dt*(G69+H69+I69+J69)</f>
        <v>0.0485711411840003</v>
      </c>
      <c r="DT69" s="19" t="n">
        <f aca="false">DQ69*C69</f>
        <v>145.220160915432</v>
      </c>
      <c r="DU69" s="19" t="n">
        <f aca="false">DN69*C69</f>
        <v>7.83013436533651</v>
      </c>
      <c r="DV69" s="19" t="n">
        <f aca="false">DP69*C69</f>
        <v>68.3118844897156</v>
      </c>
      <c r="DW69" s="19" t="n">
        <f aca="false">DO69*C69</f>
        <v>69.0781420603803</v>
      </c>
      <c r="DX69" s="57" t="n">
        <f aca="false">DR69*C69</f>
        <v>0.0300133141420275</v>
      </c>
      <c r="DY69" s="57" t="n">
        <f aca="false">DS69*C69</f>
        <v>0.0384182998611942</v>
      </c>
      <c r="DZ69" s="57" t="n">
        <f aca="false">T69+AS69+BR69+CQ69</f>
        <v>0.0018187964526881</v>
      </c>
      <c r="EA69" s="57" t="n">
        <f aca="false">U69+AT69+BS69+CR69</f>
        <v>0.000168009516392409</v>
      </c>
      <c r="EB69" s="57" t="n">
        <f aca="false">V69+AU69+BT69+CS69</f>
        <v>0.00142640335630024</v>
      </c>
      <c r="EC69" s="57" t="n">
        <f aca="false">G69*dt*C69</f>
        <v>0.0244133309271616</v>
      </c>
    </row>
    <row r="70" customFormat="false" ht="15" hidden="false" customHeight="false" outlineLevel="0" collapsed="false">
      <c r="A70" s="8" t="n">
        <v>64</v>
      </c>
      <c r="B70" s="54" t="n">
        <f aca="false">start_age+A70*dt</f>
        <v>86</v>
      </c>
      <c r="C70" s="16" t="n">
        <f aca="false">(1+disc_rate)^-(A70*dt)</f>
        <v>0.788031039320012</v>
      </c>
      <c r="D70" s="55" t="n">
        <f aca="false">IF(A70*dt&gt;=wane_start,(1-wane_decay)^(A70*dt-wane_start),1)</f>
        <v>1</v>
      </c>
      <c r="E70" s="25" t="n">
        <f aca="false">MIN(p_nonvasc_death*MIN(EXP(gomp_int+gomp_slope*INT(B70)),1)/qx_ref,0.999)</f>
        <v>0.176028221169879</v>
      </c>
      <c r="F70" s="55" t="n">
        <f aca="false">rr_stroke_per_decade^((B70-ref_age)/10)</f>
        <v>1.91313675093869</v>
      </c>
      <c r="G70" s="57" t="n">
        <f aca="false">DH69</f>
        <v>0.116623679548326</v>
      </c>
      <c r="H70" s="57" t="n">
        <f aca="false">DI69</f>
        <v>0.0135526722629661</v>
      </c>
      <c r="I70" s="57" t="n">
        <f aca="false">DJ69</f>
        <v>0.00706442175500359</v>
      </c>
      <c r="J70" s="57" t="n">
        <f aca="false">DK69</f>
        <v>0.047027458236362</v>
      </c>
      <c r="K70" s="57" t="n">
        <f aca="false">DL69</f>
        <v>0.815731768197342</v>
      </c>
      <c r="L70" s="57" t="n">
        <f aca="false">1-EXP(LN(1-E70)*dt)</f>
        <v>0.0472519154398011</v>
      </c>
      <c r="M70" s="57" t="n">
        <f aca="false">G70*(1-L70)</f>
        <v>0.11111298730403</v>
      </c>
      <c r="N70" s="57" t="n">
        <f aca="false">IF(Apixaban!$B$2=1,EXP(LN(or_apx_stroke)*D70)*(1-EXP(-r_stroke*F70*dt))/(1-(1-EXP(-r_stroke*F70*dt))+EXP(LN(or_apx_stroke)*D70)*(1-EXP(-r_stroke*F70*dt))),(1-EXP(-r_stroke*F70*dt)))</f>
        <v>0.00608076443770632</v>
      </c>
      <c r="O70" s="57" t="n">
        <f aca="false">IF(Apixaban!$B$2=1,EXP(LN(or_apx_ich)*D70)*(1-EXP(-r_ich*dt))/(1-(1-EXP(-r_ich*dt))+EXP(LN(or_apx_ich)*D70)*(1-EXP(-r_ich*dt))),(1-EXP(-r_ich*dt)))</f>
        <v>0.000843513249640701</v>
      </c>
      <c r="P70" s="57" t="n">
        <f aca="false">IF(Apixaban!$B$2=1,EXP(LN(or_apx_mb)*D70)*(1-EXP(-r_mb*dt))/(1-(1-EXP(-r_mb*dt))+EXP(LN(or_apx_mb)*D70)*(1-EXP(-r_mb*dt))),(1-EXP(-r_mb*dt)))</f>
        <v>0.00669446907979895</v>
      </c>
      <c r="Q70" s="57" t="n">
        <f aca="false">IF(Apixaban!$B$2=1,EXP(LN(or_apx_mi)*D70)*(1-EXP(-r_mi*dt))/(1-(1-EXP(-r_mi*dt))+EXP(LN(or_apx_mi)*D70)*(1-EXP(-r_mi*dt))),(1-EXP(-r_mi*dt)))</f>
        <v>0.00132321915530843</v>
      </c>
      <c r="R70" s="57" t="n">
        <f aca="false">(1-EXP(-r_tia*dt))</f>
        <v>0.0020060281549299</v>
      </c>
      <c r="S70" s="57" t="n">
        <f aca="false">(1-EXP(-r_minor*dt))</f>
        <v>0.0437937690785545</v>
      </c>
      <c r="T70" s="57" t="n">
        <f aca="false">M70*N70</f>
        <v>0.000675651901765658</v>
      </c>
      <c r="U70" s="57" t="n">
        <f aca="false">M70*O70</f>
        <v>9.37252769981081E-005</v>
      </c>
      <c r="V70" s="57" t="n">
        <f aca="false">M70*P70</f>
        <v>0.000743842457870921</v>
      </c>
      <c r="W70" s="57" t="n">
        <f aca="false">M70*Q70</f>
        <v>0.000147026833204234</v>
      </c>
      <c r="X70" s="57" t="n">
        <f aca="false">M70*R70</f>
        <v>0.000222895780910252</v>
      </c>
      <c r="Y70" s="57" t="n">
        <f aca="false">M70*S70</f>
        <v>0.00486605650762104</v>
      </c>
      <c r="Z70" s="57" t="n">
        <f aca="false">T70*f_stroke_fatal</f>
        <v>0.000160129500718461</v>
      </c>
      <c r="AA70" s="57" t="n">
        <f aca="false">T70*(1-f_stroke_fatal)*f_stroke_major</f>
        <v>0.000171668959548717</v>
      </c>
      <c r="AB70" s="57" t="n">
        <f aca="false">T70*(1-f_stroke_fatal)*(1-f_stroke_major)</f>
        <v>0.000343853441498481</v>
      </c>
      <c r="AC70" s="57" t="n">
        <f aca="false">U70*(1-f_bleed_fatal)</f>
        <v>8.5852353730267E-005</v>
      </c>
      <c r="AD70" s="57" t="n">
        <f aca="false">V70*(1-f_bleed_fatal)</f>
        <v>0.000681359691409764</v>
      </c>
      <c r="AE70" s="57" t="n">
        <f aca="false">W70*f_mi_fatal</f>
        <v>1.77902468177124E-005</v>
      </c>
      <c r="AF70" s="57" t="n">
        <f aca="false">W70-AE70</f>
        <v>0.000129236586386522</v>
      </c>
      <c r="AG70" s="57" t="n">
        <f aca="false">M70-T70-U70-V70-AE70</f>
        <v>0.109581977420577</v>
      </c>
      <c r="AH70" s="19" t="n">
        <f aca="false">Z70*c_stroke_fatal+AA70*c_stroke_major+AB70*c_stroke_minor+U70*c_ich+V70*c_major_bleed+AE70*c_mi_fatal+AF70*c_mi_nonfatal+X70*c_tia+Y70*c_minor_bleed</f>
        <v>35.7607724689993</v>
      </c>
      <c r="AI70" s="57" t="n">
        <f aca="false">dt*(AF70*dec_mi+AD70*dec_major_bleed+Y70*dec_minor_bleed+X70*dec_tia)</f>
        <v>4.12641662352107E-005</v>
      </c>
      <c r="AJ70" s="57" t="n">
        <f aca="false">G70*L70+Z70+U70-AC70+V70-AD70+AE70</f>
        <v>0.00575896768156112</v>
      </c>
      <c r="AK70" s="57" t="n">
        <f aca="false">1-EXP(LN(1-E70)*hr_death_prior_stroke*dt)</f>
        <v>0.105357358985318</v>
      </c>
      <c r="AL70" s="57" t="n">
        <f aca="false">H70*(1-AK70)</f>
        <v>0.0121247985061464</v>
      </c>
      <c r="AM70" s="57" t="n">
        <f aca="false">(1-EXP(-r_stroke*F70*rr_stroke_prior*rr_asa_stroke*dt))</f>
        <v>0.0271196967304284</v>
      </c>
      <c r="AN70" s="57" t="n">
        <f aca="false">(1-EXP(-r_ich*rr_asa_ich*dt))</f>
        <v>0.00102357767802375</v>
      </c>
      <c r="AO70" s="57" t="n">
        <f aca="false">(1-EXP(-r_mb*rr_asa_mb*dt))</f>
        <v>0.00951809672747972</v>
      </c>
      <c r="AP70" s="57" t="n">
        <f aca="false">(1-EXP(-r_mi*rr_asa_mi*dt))</f>
        <v>0.00213413516393479</v>
      </c>
      <c r="AQ70" s="57" t="n">
        <f aca="false">(1-EXP(-r_tia*rr_asa_tia*dt))</f>
        <v>0.00312764565589152</v>
      </c>
      <c r="AR70" s="57" t="n">
        <f aca="false">(1-EXP(-r_minor*rr_asa_minor*dt))</f>
        <v>0.0278181950466747</v>
      </c>
      <c r="AS70" s="57" t="n">
        <f aca="false">AL70*AM70</f>
        <v>0.000328820858404241</v>
      </c>
      <c r="AT70" s="57" t="n">
        <f aca="false">AL70*AN70</f>
        <v>1.24106731014271E-005</v>
      </c>
      <c r="AU70" s="57" t="n">
        <f aca="false">AL70*AO70</f>
        <v>0.000115405004982703</v>
      </c>
      <c r="AV70" s="57" t="n">
        <f aca="false">AL70*AP70</f>
        <v>2.5875958847591E-005</v>
      </c>
      <c r="AW70" s="57" t="n">
        <f aca="false">AL70*AQ70</f>
        <v>3.79220733763087E-005</v>
      </c>
      <c r="AX70" s="57" t="n">
        <f aca="false">AL70*AR70</f>
        <v>0.00033729000974561</v>
      </c>
      <c r="AY70" s="57" t="n">
        <f aca="false">AS70*f_stroke_fatal_recur</f>
        <v>0.000122350953203634</v>
      </c>
      <c r="AZ70" s="57" t="n">
        <f aca="false">AS70*(1-f_stroke_fatal_recur)*f_stroke_major</f>
        <v>6.8754478431802E-005</v>
      </c>
      <c r="BA70" s="57" t="n">
        <f aca="false">AS70*(1-f_stroke_fatal_recur)*(1-f_stroke_major)</f>
        <v>0.000137715426768805</v>
      </c>
      <c r="BB70" s="57" t="n">
        <f aca="false">AT70*(1-f_bleed_fatal)</f>
        <v>1.13681765609072E-005</v>
      </c>
      <c r="BC70" s="57" t="n">
        <f aca="false">AU70*(1-f_bleed_fatal)</f>
        <v>0.000105710984564156</v>
      </c>
      <c r="BD70" s="57" t="n">
        <f aca="false">AV70*f_mi_fatal</f>
        <v>3.13099102055851E-006</v>
      </c>
      <c r="BE70" s="57" t="n">
        <f aca="false">AV70-BD70</f>
        <v>2.27449678270325E-005</v>
      </c>
      <c r="BF70" s="57" t="n">
        <f aca="false">AL70-AS70-AT70-AU70-BD70</f>
        <v>0.0116650309786375</v>
      </c>
      <c r="BG70" s="19" t="n">
        <f aca="false">AY70*c_stroke_fatal+AZ70*c_stroke_major+BA70*c_stroke_minor+AT70*c_ich+AU70*c_major_bleed+BD70*c_mi_fatal+BE70*c_mi_nonfatal+AW70*c_tia+AX70*c_minor_bleed</f>
        <v>12.9702689273785</v>
      </c>
      <c r="BH70" s="57" t="n">
        <f aca="false">dt*(BE70*dec_mi+BC70*dec_major_bleed+AX70*dec_minor_bleed+AW70*dec_tia)</f>
        <v>5.21481881068353E-006</v>
      </c>
      <c r="BI70" s="57" t="n">
        <f aca="false">H70*AK70+AY70+AT70-BB70+AU70-BC70+BD70</f>
        <v>0.00156409221800294</v>
      </c>
      <c r="BJ70" s="57" t="n">
        <f aca="false">1-EXP(LN(1-E70)*hr_death_prior_stroke*dt)</f>
        <v>0.105357358985318</v>
      </c>
      <c r="BK70" s="57" t="n">
        <f aca="false">I70*(1-BJ70)</f>
        <v>0.00632013293613799</v>
      </c>
      <c r="BL70" s="57" t="n">
        <f aca="false">(1-EXP(-r_stroke*F70*rr_stroke_prior*rr_asa_stroke*dt))</f>
        <v>0.0271196967304284</v>
      </c>
      <c r="BM70" s="57" t="n">
        <f aca="false">(1-EXP(-r_ich*rr_asa_ich*dt))</f>
        <v>0.00102357767802375</v>
      </c>
      <c r="BN70" s="57" t="n">
        <f aca="false">(1-EXP(-r_mb*rr_asa_mb*dt))</f>
        <v>0.00951809672747972</v>
      </c>
      <c r="BO70" s="57" t="n">
        <f aca="false">(1-EXP(-r_mi*rr_asa_mi*dt))</f>
        <v>0.00213413516393479</v>
      </c>
      <c r="BP70" s="57" t="n">
        <f aca="false">(1-EXP(-r_tia*rr_asa_tia*dt))</f>
        <v>0.00312764565589152</v>
      </c>
      <c r="BQ70" s="57" t="n">
        <f aca="false">(1-EXP(-r_minor*rr_asa_minor*dt))</f>
        <v>0.0278181950466747</v>
      </c>
      <c r="BR70" s="57" t="n">
        <f aca="false">BK70*BL70</f>
        <v>0.000171400088524054</v>
      </c>
      <c r="BS70" s="57" t="n">
        <f aca="false">BK70*BM70</f>
        <v>6.46914699557352E-006</v>
      </c>
      <c r="BT70" s="57" t="n">
        <f aca="false">BK70*BN70</f>
        <v>6.01556366166918E-005</v>
      </c>
      <c r="BU70" s="57" t="n">
        <f aca="false">BK70*BO70</f>
        <v>1.34880179397545E-005</v>
      </c>
      <c r="BV70" s="57" t="n">
        <f aca="false">BK70*BP70</f>
        <v>1.97671363223689E-005</v>
      </c>
      <c r="BW70" s="57" t="n">
        <f aca="false">BK70*BQ70</f>
        <v>0.0001758146907384</v>
      </c>
      <c r="BX70" s="57" t="n">
        <f aca="false">BR70*f_stroke_fatal_recur</f>
        <v>6.37762589389153E-005</v>
      </c>
      <c r="BY70" s="57" t="n">
        <f aca="false">BR70*(1-f_stroke_fatal_recur)*f_stroke_major</f>
        <v>3.58387352518512E-005</v>
      </c>
      <c r="BZ70" s="57" t="n">
        <f aca="false">BR70*(1-f_stroke_fatal_recur)*(1-f_stroke_major)</f>
        <v>7.17850943332875E-005</v>
      </c>
      <c r="CA70" s="57" t="n">
        <f aca="false">BS70*(1-f_bleed_fatal)</f>
        <v>5.92573864794535E-006</v>
      </c>
      <c r="CB70" s="57" t="n">
        <f aca="false">BT70*(1-f_bleed_fatal)</f>
        <v>5.51025631408897E-005</v>
      </c>
      <c r="CC70" s="57" t="n">
        <f aca="false">BU70*f_mi_fatal</f>
        <v>1.6320501707103E-006</v>
      </c>
      <c r="CD70" s="57" t="n">
        <f aca="false">BU70-CC70</f>
        <v>1.18559677690442E-005</v>
      </c>
      <c r="CE70" s="57" t="n">
        <f aca="false">BK70-BR70-BS70-BT70-CC70</f>
        <v>0.00608047601383096</v>
      </c>
      <c r="CF70" s="19" t="n">
        <f aca="false">BX70*c_stroke_fatal+BY70*c_stroke_major+BZ70*c_stroke_minor+BS70*c_ich+BT70*c_major_bleed+CC70*c_mi_fatal+CD70*c_mi_nonfatal+BV70*c_tia+BW70*c_minor_bleed</f>
        <v>6.76084009123429</v>
      </c>
      <c r="CG70" s="57" t="n">
        <f aca="false">dt*(CD70*dec_mi+CB70*dec_major_bleed+BW70*dec_minor_bleed+BV70*dec_tia)</f>
        <v>2.71825945022389E-006</v>
      </c>
      <c r="CH70" s="57" t="n">
        <f aca="false">I70*BJ70+BX70+BS70-CA70+BT70-CB70+CC70</f>
        <v>0.00081529360979866</v>
      </c>
      <c r="CI70" s="57" t="n">
        <f aca="false">1-EXP(LN(1-E70)*dt)</f>
        <v>0.0472519154398011</v>
      </c>
      <c r="CJ70" s="57" t="n">
        <f aca="false">J70*(1-CI70)</f>
        <v>0.0448053207564287</v>
      </c>
      <c r="CK70" s="57" t="n">
        <f aca="false">(1-EXP(-r_stroke*F70*rr_asa_stroke*dt))</f>
        <v>0.0124196060273125</v>
      </c>
      <c r="CL70" s="57" t="n">
        <f aca="false">(1-EXP(-r_ich*rr_asa_ich*dt))</f>
        <v>0.00102357767802375</v>
      </c>
      <c r="CM70" s="57" t="n">
        <f aca="false">(1-EXP(-r_mb*rr_asa_mb*dt))</f>
        <v>0.00951809672747972</v>
      </c>
      <c r="CN70" s="57" t="n">
        <f aca="false">(1-EXP(-r_mi*rr_asa_mi*dt))</f>
        <v>0.00213413516393479</v>
      </c>
      <c r="CO70" s="57" t="n">
        <f aca="false">(1-EXP(-r_tia*rr_asa_tia*dt))</f>
        <v>0.00312764565589152</v>
      </c>
      <c r="CP70" s="57" t="n">
        <f aca="false">(1-EXP(-r_minor*rr_asa_minor*dt))</f>
        <v>0.0278181950466747</v>
      </c>
      <c r="CQ70" s="57" t="n">
        <f aca="false">CJ70*CK70</f>
        <v>0.000556464431722212</v>
      </c>
      <c r="CR70" s="57" t="n">
        <f aca="false">CJ70*CL70</f>
        <v>4.58617261829744E-005</v>
      </c>
      <c r="CS70" s="57" t="n">
        <f aca="false">CJ70*CM70</f>
        <v>0.000426461376865443</v>
      </c>
      <c r="CT70" s="57" t="n">
        <f aca="false">CJ70*CN70</f>
        <v>9.56206105576718E-005</v>
      </c>
      <c r="CU70" s="57" t="n">
        <f aca="false">CJ70*CO70</f>
        <v>0.00014013516682467</v>
      </c>
      <c r="CV70" s="57" t="n">
        <f aca="false">CJ70*CP70</f>
        <v>0.00124640315193116</v>
      </c>
      <c r="CW70" s="57" t="n">
        <f aca="false">CQ70*f_stroke_fatal</f>
        <v>0.000131882070318164</v>
      </c>
      <c r="CX70" s="57" t="n">
        <f aca="false">CQ70*(1-f_stroke_fatal)*f_stroke_major</f>
        <v>0.000141385926347548</v>
      </c>
      <c r="CY70" s="57" t="n">
        <f aca="false">CQ70*(1-f_stroke_fatal)*(1-f_stroke_major)</f>
        <v>0.0002831964350565</v>
      </c>
      <c r="CZ70" s="57" t="n">
        <f aca="false">CR70*(1-f_bleed_fatal)</f>
        <v>4.20093411836046E-005</v>
      </c>
      <c r="DA70" s="57" t="n">
        <f aca="false">CS70*(1-f_bleed_fatal)</f>
        <v>0.000390638621208746</v>
      </c>
      <c r="DB70" s="57" t="n">
        <f aca="false">CT70*f_mi_fatal</f>
        <v>1.15700938774783E-005</v>
      </c>
      <c r="DC70" s="57" t="n">
        <f aca="false">CT70-DB70</f>
        <v>8.40505166801935E-005</v>
      </c>
      <c r="DD70" s="57" t="n">
        <f aca="false">CJ70-CQ70-CR70-CS70-DB70</f>
        <v>0.0437649631277806</v>
      </c>
      <c r="DE70" s="19" t="n">
        <f aca="false">CW70*c_stroke_fatal+CX70*c_stroke_major+CY70*c_stroke_minor+CR70*c_ich+CS70*c_major_bleed+DB70*c_mi_fatal+DC70*c_mi_nonfatal+CU70*c_tia+CV70*c_minor_bleed</f>
        <v>26.5934487410016</v>
      </c>
      <c r="DF70" s="57" t="n">
        <f aca="false">dt*(DC70*dec_mi+DA70*dec_major_bleed+CV70*dec_minor_bleed+CU70*dec_tia)</f>
        <v>1.92705577235687E-005</v>
      </c>
      <c r="DG70" s="57" t="n">
        <f aca="false">J70*CI70+CW70+CR70-CZ70+CS70-DA70+DB70</f>
        <v>0.00240526478478507</v>
      </c>
      <c r="DH70" s="57" t="n">
        <f aca="false">AG70</f>
        <v>0.109581977420577</v>
      </c>
      <c r="DI70" s="57" t="n">
        <f aca="false">AB70+AC70+BF70+BA70+BB70+BC70+CY70+CZ70</f>
        <v>0.0126747371380002</v>
      </c>
      <c r="DJ70" s="57" t="n">
        <f aca="false">AA70+AZ70+BY70+CX70+CE70+BZ70+CA70+CB70</f>
        <v>0.006630937509533</v>
      </c>
      <c r="DK70" s="57" t="n">
        <f aca="false">AD70+DD70+DA70</f>
        <v>0.0448369614403991</v>
      </c>
      <c r="DL70" s="57" t="n">
        <f aca="false">K70+AJ70+BI70+CH70+DG70</f>
        <v>0.82627538649149</v>
      </c>
      <c r="DM70" s="58" t="n">
        <f aca="false">SUM(DH70:DL70)</f>
        <v>1</v>
      </c>
      <c r="DN70" s="19" t="n">
        <f aca="false">dt*(G70*Apixaban!$H$2+(H70+I70+J70)*c_aspirin)</f>
        <v>9.35847717661858</v>
      </c>
      <c r="DO70" s="19" t="n">
        <f aca="false">dt*(H70*c_lt_minor_stroke+I70*c_lt_major_stroke)</f>
        <v>82.7584976809676</v>
      </c>
      <c r="DP70" s="19" t="n">
        <f aca="false">AH70+BG70+CF70+DE70</f>
        <v>82.0853302286137</v>
      </c>
      <c r="DQ70" s="19" t="n">
        <f aca="false">DN70+DO70+DP70</f>
        <v>174.2023050862</v>
      </c>
      <c r="DR70" s="57" t="n">
        <f aca="false">dt*(G70*(u_af-dec_per_year_over_70*MAX(B70-ref_age,0))+H70*(u_minor_stroke-dec_per_year_over_70*MAX(B70-ref_age,0))+I70*(u_major_stroke-dec_per_year_over_70*MAX(B70-ref_age,0))+J70*(u_af-dec_per_year_over_70*MAX(B70-ref_age,0)))-AI70-BH70-CG70-DF70</f>
        <v>0.0359856691685232</v>
      </c>
      <c r="DS70" s="57" t="n">
        <f aca="false">dt*(G70+H70+I70+J70)</f>
        <v>0.0460670579506644</v>
      </c>
      <c r="DT70" s="19" t="n">
        <f aca="false">DQ70*C70</f>
        <v>137.27682352902</v>
      </c>
      <c r="DU70" s="19" t="n">
        <f aca="false">DN70*C70</f>
        <v>7.37477049594335</v>
      </c>
      <c r="DV70" s="19" t="n">
        <f aca="false">DP70*C70</f>
        <v>64.6857880929808</v>
      </c>
      <c r="DW70" s="19" t="n">
        <f aca="false">DO70*C70</f>
        <v>65.2162649400956</v>
      </c>
      <c r="DX70" s="57" t="n">
        <f aca="false">DR70*C70</f>
        <v>0.0283578242754974</v>
      </c>
      <c r="DY70" s="57" t="n">
        <f aca="false">DS70*C70</f>
        <v>0.0363022715552772</v>
      </c>
      <c r="DZ70" s="57" t="n">
        <f aca="false">T70+AS70+BR70+CQ70</f>
        <v>0.00173233728041616</v>
      </c>
      <c r="EA70" s="57" t="n">
        <f aca="false">U70+AT70+BS70+CR70</f>
        <v>0.000158466823278083</v>
      </c>
      <c r="EB70" s="57" t="n">
        <f aca="false">V70+AU70+BT70+CS70</f>
        <v>0.00134586447633576</v>
      </c>
      <c r="EC70" s="57" t="n">
        <f aca="false">G70*dt*C70</f>
        <v>0.0229757698509478</v>
      </c>
    </row>
    <row r="71" customFormat="false" ht="15" hidden="false" customHeight="false" outlineLevel="0" collapsed="false">
      <c r="A71" s="8" t="n">
        <v>65</v>
      </c>
      <c r="B71" s="54" t="n">
        <f aca="false">start_age+A71*dt</f>
        <v>86.25</v>
      </c>
      <c r="C71" s="16" t="n">
        <f aca="false">(1+disc_rate)^-(A71*dt)</f>
        <v>0.785103319217059</v>
      </c>
      <c r="D71" s="55" t="n">
        <f aca="false">IF(A71*dt&gt;=wane_start,(1-wane_decay)^(A71*dt-wane_start),1)</f>
        <v>1</v>
      </c>
      <c r="E71" s="25" t="n">
        <f aca="false">MIN(p_nonvasc_death*MIN(EXP(gomp_int+gomp_slope*INT(B71)),1)/qx_ref,0.999)</f>
        <v>0.176028221169879</v>
      </c>
      <c r="F71" s="55" t="n">
        <f aca="false">rr_stroke_per_decade^((B71-ref_age)/10)</f>
        <v>1.93262812744423</v>
      </c>
      <c r="G71" s="57" t="n">
        <f aca="false">DH70</f>
        <v>0.109581977420577</v>
      </c>
      <c r="H71" s="57" t="n">
        <f aca="false">DI70</f>
        <v>0.0126747371380002</v>
      </c>
      <c r="I71" s="57" t="n">
        <f aca="false">DJ70</f>
        <v>0.006630937509533</v>
      </c>
      <c r="J71" s="57" t="n">
        <f aca="false">DK70</f>
        <v>0.0448369614403991</v>
      </c>
      <c r="K71" s="57" t="n">
        <f aca="false">DL70</f>
        <v>0.82627538649149</v>
      </c>
      <c r="L71" s="57" t="n">
        <f aca="false">1-EXP(LN(1-E71)*dt)</f>
        <v>0.0472519154398011</v>
      </c>
      <c r="M71" s="57" t="n">
        <f aca="false">G71*(1-L71)</f>
        <v>0.104404019089774</v>
      </c>
      <c r="N71" s="57" t="n">
        <f aca="false">IF(Apixaban!$B$2=1,EXP(LN(or_apx_stroke)*D71)*(1-EXP(-r_stroke*F71*dt))/(1-(1-EXP(-r_stroke*F71*dt))+EXP(LN(or_apx_stroke)*D71)*(1-EXP(-r_stroke*F71*dt))),(1-EXP(-r_stroke*F71*dt)))</f>
        <v>0.00614257602822489</v>
      </c>
      <c r="O71" s="57" t="n">
        <f aca="false">IF(Apixaban!$B$2=1,EXP(LN(or_apx_ich)*D71)*(1-EXP(-r_ich*dt))/(1-(1-EXP(-r_ich*dt))+EXP(LN(or_apx_ich)*D71)*(1-EXP(-r_ich*dt))),(1-EXP(-r_ich*dt)))</f>
        <v>0.000843513249640701</v>
      </c>
      <c r="P71" s="57" t="n">
        <f aca="false">IF(Apixaban!$B$2=1,EXP(LN(or_apx_mb)*D71)*(1-EXP(-r_mb*dt))/(1-(1-EXP(-r_mb*dt))+EXP(LN(or_apx_mb)*D71)*(1-EXP(-r_mb*dt))),(1-EXP(-r_mb*dt)))</f>
        <v>0.00669446907979895</v>
      </c>
      <c r="Q71" s="57" t="n">
        <f aca="false">IF(Apixaban!$B$2=1,EXP(LN(or_apx_mi)*D71)*(1-EXP(-r_mi*dt))/(1-(1-EXP(-r_mi*dt))+EXP(LN(or_apx_mi)*D71)*(1-EXP(-r_mi*dt))),(1-EXP(-r_mi*dt)))</f>
        <v>0.00132321915530843</v>
      </c>
      <c r="R71" s="57" t="n">
        <f aca="false">(1-EXP(-r_tia*dt))</f>
        <v>0.0020060281549299</v>
      </c>
      <c r="S71" s="57" t="n">
        <f aca="false">(1-EXP(-r_minor*dt))</f>
        <v>0.0437937690785545</v>
      </c>
      <c r="T71" s="57" t="n">
        <f aca="false">M71*N71</f>
        <v>0.00064130962491118</v>
      </c>
      <c r="U71" s="57" t="n">
        <f aca="false">M71*O71</f>
        <v>8.80661734179651E-005</v>
      </c>
      <c r="V71" s="57" t="n">
        <f aca="false">M71*P71</f>
        <v>0.000698929477603232</v>
      </c>
      <c r="W71" s="57" t="n">
        <f aca="false">M71*Q71</f>
        <v>0.000138149397950776</v>
      </c>
      <c r="X71" s="57" t="n">
        <f aca="false">M71*R71</f>
        <v>0.000209437401781925</v>
      </c>
      <c r="Y71" s="57" t="n">
        <f aca="false">M71*S71</f>
        <v>0.00457224550289056</v>
      </c>
      <c r="Z71" s="57" t="n">
        <f aca="false">T71*f_stroke_fatal</f>
        <v>0.00015199038110395</v>
      </c>
      <c r="AA71" s="57" t="n">
        <f aca="false">T71*(1-f_stroke_fatal)*f_stroke_major</f>
        <v>0.000162943308187808</v>
      </c>
      <c r="AB71" s="57" t="n">
        <f aca="false">T71*(1-f_stroke_fatal)*(1-f_stroke_major)</f>
        <v>0.000326375935619423</v>
      </c>
      <c r="AC71" s="57" t="n">
        <f aca="false">U71*(1-f_bleed_fatal)</f>
        <v>8.0668614850856E-005</v>
      </c>
      <c r="AD71" s="57" t="n">
        <f aca="false">V71*(1-f_bleed_fatal)</f>
        <v>0.000640219401484561</v>
      </c>
      <c r="AE71" s="57" t="n">
        <f aca="false">W71*f_mi_fatal</f>
        <v>1.67160771520439E-005</v>
      </c>
      <c r="AF71" s="57" t="n">
        <f aca="false">W71-AE71</f>
        <v>0.000121433320798732</v>
      </c>
      <c r="AG71" s="57" t="n">
        <f aca="false">M71-T71-U71-V71-AE71</f>
        <v>0.10295899773669</v>
      </c>
      <c r="AH71" s="19" t="n">
        <f aca="false">Z71*c_stroke_fatal+AA71*c_stroke_major+AB71*c_stroke_minor+U71*c_ich+V71*c_major_bleed+AE71*c_mi_fatal+AF71*c_mi_nonfatal+X71*c_tia+Y71*c_minor_bleed</f>
        <v>33.8399850023914</v>
      </c>
      <c r="AI71" s="57" t="n">
        <f aca="false">dt*(AF71*dec_mi+AD71*dec_major_bleed+Y71*dec_minor_bleed+X71*dec_tia)</f>
        <v>3.87726484893842E-005</v>
      </c>
      <c r="AJ71" s="57" t="n">
        <f aca="false">G71*L71+Z71+U71-AC71+V71-AD71+AE71</f>
        <v>0.00541277242374509</v>
      </c>
      <c r="AK71" s="57" t="n">
        <f aca="false">1-EXP(LN(1-E71)*hr_death_prior_stroke*dt)</f>
        <v>0.105357358985318</v>
      </c>
      <c r="AL71" s="57" t="n">
        <f aca="false">H71*(1-AK71)</f>
        <v>0.0113393603073073</v>
      </c>
      <c r="AM71" s="57" t="n">
        <f aca="false">(1-EXP(-r_stroke*F71*rr_stroke_prior*rr_asa_stroke*dt))</f>
        <v>0.0273921779197726</v>
      </c>
      <c r="AN71" s="57" t="n">
        <f aca="false">(1-EXP(-r_ich*rr_asa_ich*dt))</f>
        <v>0.00102357767802375</v>
      </c>
      <c r="AO71" s="57" t="n">
        <f aca="false">(1-EXP(-r_mb*rr_asa_mb*dt))</f>
        <v>0.00951809672747972</v>
      </c>
      <c r="AP71" s="57" t="n">
        <f aca="false">(1-EXP(-r_mi*rr_asa_mi*dt))</f>
        <v>0.00213413516393479</v>
      </c>
      <c r="AQ71" s="57" t="n">
        <f aca="false">(1-EXP(-r_tia*rr_asa_tia*dt))</f>
        <v>0.00312764565589152</v>
      </c>
      <c r="AR71" s="57" t="n">
        <f aca="false">(1-EXP(-r_minor*rr_asa_minor*dt))</f>
        <v>0.0278181950466747</v>
      </c>
      <c r="AS71" s="57" t="n">
        <f aca="false">AL71*AM71</f>
        <v>0.00031060977503417</v>
      </c>
      <c r="AT71" s="57" t="n">
        <f aca="false">AL71*AN71</f>
        <v>1.16067160936283E-005</v>
      </c>
      <c r="AU71" s="57" t="n">
        <f aca="false">AL71*AO71</f>
        <v>0.000107929128232695</v>
      </c>
      <c r="AV71" s="57" t="n">
        <f aca="false">AL71*AP71</f>
        <v>2.4199727568351E-005</v>
      </c>
      <c r="AW71" s="57" t="n">
        <f aca="false">AL71*AQ71</f>
        <v>3.54655010057386E-005</v>
      </c>
      <c r="AX71" s="57" t="n">
        <f aca="false">AL71*AR71</f>
        <v>0.000315440536733197</v>
      </c>
      <c r="AY71" s="57" t="n">
        <f aca="false">AS71*f_stroke_fatal_recur</f>
        <v>0.000115574791192464</v>
      </c>
      <c r="AZ71" s="57" t="n">
        <f aca="false">AS71*(1-f_stroke_fatal_recur)*f_stroke_major</f>
        <v>6.49466496192879E-005</v>
      </c>
      <c r="BA71" s="57" t="n">
        <f aca="false">AS71*(1-f_stroke_fatal_recur)*(1-f_stroke_major)</f>
        <v>0.000130088334222418</v>
      </c>
      <c r="BB71" s="57" t="n">
        <f aca="false">AT71*(1-f_bleed_fatal)</f>
        <v>1.06317519417635E-005</v>
      </c>
      <c r="BC71" s="57" t="n">
        <f aca="false">AU71*(1-f_bleed_fatal)</f>
        <v>9.88630814611491E-005</v>
      </c>
      <c r="BD71" s="57" t="n">
        <f aca="false">AV71*f_mi_fatal</f>
        <v>2.92816703577048E-006</v>
      </c>
      <c r="BE71" s="57" t="n">
        <f aca="false">AV71-BD71</f>
        <v>2.12715605325806E-005</v>
      </c>
      <c r="BF71" s="57" t="n">
        <f aca="false">AL71-AS71-AT71-AU71-BD71</f>
        <v>0.0109062865209111</v>
      </c>
      <c r="BG71" s="19" t="n">
        <f aca="false">AY71*c_stroke_fatal+AZ71*c_stroke_major+BA71*c_stroke_minor+AT71*c_ich+AU71*c_major_bleed+BD71*c_mi_fatal+BE71*c_mi_nonfatal+AW71*c_tia+AX71*c_minor_bleed</f>
        <v>12.2365949201482</v>
      </c>
      <c r="BH71" s="57" t="n">
        <f aca="false">dt*(BE71*dec_mi+BC71*dec_major_bleed+AX71*dec_minor_bleed+AW71*dec_tia)</f>
        <v>4.87700553553023E-006</v>
      </c>
      <c r="BI71" s="57" t="n">
        <f aca="false">H71*AK71+AY71+AT71-BB71+AU71-BC71+BD71</f>
        <v>0.00146392079984447</v>
      </c>
      <c r="BJ71" s="57" t="n">
        <f aca="false">1-EXP(LN(1-E71)*hr_death_prior_stroke*dt)</f>
        <v>0.105357358985318</v>
      </c>
      <c r="BK71" s="57" t="n">
        <f aca="false">I71*(1-BJ71)</f>
        <v>0.00593231944593192</v>
      </c>
      <c r="BL71" s="57" t="n">
        <f aca="false">(1-EXP(-r_stroke*F71*rr_stroke_prior*rr_asa_stroke*dt))</f>
        <v>0.0273921779197726</v>
      </c>
      <c r="BM71" s="57" t="n">
        <f aca="false">(1-EXP(-r_ich*rr_asa_ich*dt))</f>
        <v>0.00102357767802375</v>
      </c>
      <c r="BN71" s="57" t="n">
        <f aca="false">(1-EXP(-r_mb*rr_asa_mb*dt))</f>
        <v>0.00951809672747972</v>
      </c>
      <c r="BO71" s="57" t="n">
        <f aca="false">(1-EXP(-r_mi*rr_asa_mi*dt))</f>
        <v>0.00213413516393479</v>
      </c>
      <c r="BP71" s="57" t="n">
        <f aca="false">(1-EXP(-r_tia*rr_asa_tia*dt))</f>
        <v>0.00312764565589152</v>
      </c>
      <c r="BQ71" s="57" t="n">
        <f aca="false">(1-EXP(-r_minor*rr_asa_minor*dt))</f>
        <v>0.0278181950466747</v>
      </c>
      <c r="BR71" s="57" t="n">
        <f aca="false">BK71*BL71</f>
        <v>0.000162499149739894</v>
      </c>
      <c r="BS71" s="57" t="n">
        <f aca="false">BK71*BM71</f>
        <v>6.07218976376211E-006</v>
      </c>
      <c r="BT71" s="57" t="n">
        <f aca="false">BK71*BN71</f>
        <v>5.64643903046889E-005</v>
      </c>
      <c r="BU71" s="57" t="n">
        <f aca="false">BK71*BO71</f>
        <v>1.26603715332575E-005</v>
      </c>
      <c r="BV71" s="57" t="n">
        <f aca="false">BK71*BP71</f>
        <v>1.85541931444298E-005</v>
      </c>
      <c r="BW71" s="57" t="n">
        <f aca="false">BK71*BQ71</f>
        <v>0.000165026419426115</v>
      </c>
      <c r="BX71" s="57" t="n">
        <f aca="false">BR71*f_stroke_fatal_recur</f>
        <v>6.04643086267171E-005</v>
      </c>
      <c r="BY71" s="57" t="n">
        <f aca="false">BR71*(1-f_stroke_fatal_recur)*f_stroke_major</f>
        <v>3.39776020906878E-005</v>
      </c>
      <c r="BZ71" s="57" t="n">
        <f aca="false">BR71*(1-f_stroke_fatal_recur)*(1-f_stroke_major)</f>
        <v>6.80572390224888E-005</v>
      </c>
      <c r="CA71" s="57" t="n">
        <f aca="false">BS71*(1-f_bleed_fatal)</f>
        <v>5.56212582360609E-006</v>
      </c>
      <c r="CB71" s="57" t="n">
        <f aca="false">BT71*(1-f_bleed_fatal)</f>
        <v>5.17213815190951E-005</v>
      </c>
      <c r="CC71" s="57" t="n">
        <f aca="false">BU71*f_mi_fatal</f>
        <v>1.53190495552415E-006</v>
      </c>
      <c r="CD71" s="57" t="n">
        <f aca="false">BU71-CC71</f>
        <v>1.11284665777333E-005</v>
      </c>
      <c r="CE71" s="57" t="n">
        <f aca="false">BK71-BR71-BS71-BT71-CC71</f>
        <v>0.00570575181116805</v>
      </c>
      <c r="CF71" s="19" t="n">
        <f aca="false">BX71*c_stroke_fatal+BY71*c_stroke_major+BZ71*c_stroke_minor+BS71*c_ich+BT71*c_major_bleed+CC71*c_mi_fatal+CD71*c_mi_nonfatal+BV71*c_tia+BW71*c_minor_bleed</f>
        <v>6.40171826535996</v>
      </c>
      <c r="CG71" s="57" t="n">
        <f aca="false">dt*(CD71*dec_mi+CB71*dec_major_bleed+BW71*dec_minor_bleed+BV71*dec_tia)</f>
        <v>2.55146269209729E-006</v>
      </c>
      <c r="CH71" s="57" t="n">
        <f aca="false">I71*BJ71+BX71+BS71-CA71+BT71-CB71+CC71</f>
        <v>0.00076586734990907</v>
      </c>
      <c r="CI71" s="57" t="n">
        <f aca="false">1-EXP(LN(1-E71)*dt)</f>
        <v>0.0472519154398011</v>
      </c>
      <c r="CJ71" s="57" t="n">
        <f aca="false">J71*(1-CI71)</f>
        <v>0.0427183291298397</v>
      </c>
      <c r="CK71" s="57" t="n">
        <f aca="false">(1-EXP(-r_stroke*F71*rr_asa_stroke*dt))</f>
        <v>0.0125453421520451</v>
      </c>
      <c r="CL71" s="57" t="n">
        <f aca="false">(1-EXP(-r_ich*rr_asa_ich*dt))</f>
        <v>0.00102357767802375</v>
      </c>
      <c r="CM71" s="57" t="n">
        <f aca="false">(1-EXP(-r_mb*rr_asa_mb*dt))</f>
        <v>0.00951809672747972</v>
      </c>
      <c r="CN71" s="57" t="n">
        <f aca="false">(1-EXP(-r_mi*rr_asa_mi*dt))</f>
        <v>0.00213413516393479</v>
      </c>
      <c r="CO71" s="57" t="n">
        <f aca="false">(1-EXP(-r_tia*rr_asa_tia*dt))</f>
        <v>0.00312764565589152</v>
      </c>
      <c r="CP71" s="57" t="n">
        <f aca="false">(1-EXP(-r_minor*rr_asa_minor*dt))</f>
        <v>0.0278181950466747</v>
      </c>
      <c r="CQ71" s="57" t="n">
        <f aca="false">CJ71*CK71</f>
        <v>0.000535916055097512</v>
      </c>
      <c r="CR71" s="57" t="n">
        <f aca="false">CJ71*CL71</f>
        <v>4.37255281397755E-005</v>
      </c>
      <c r="CS71" s="57" t="n">
        <f aca="false">CJ71*CM71</f>
        <v>0.000406597188694129</v>
      </c>
      <c r="CT71" s="57" t="n">
        <f aca="false">CJ71*CN71</f>
        <v>9.11666883405309E-005</v>
      </c>
      <c r="CU71" s="57" t="n">
        <f aca="false">CJ71*CO71</f>
        <v>0.000133607796529887</v>
      </c>
      <c r="CV71" s="57" t="n">
        <f aca="false">CJ71*CP71</f>
        <v>0.00118834681180193</v>
      </c>
      <c r="CW71" s="57" t="n">
        <f aca="false">CQ71*f_stroke_fatal</f>
        <v>0.00012701210505811</v>
      </c>
      <c r="CX71" s="57" t="n">
        <f aca="false">CQ71*(1-f_stroke_fatal)*f_stroke_major</f>
        <v>0.000136165015363121</v>
      </c>
      <c r="CY71" s="57" t="n">
        <f aca="false">CQ71*(1-f_stroke_fatal)*(1-f_stroke_major)</f>
        <v>0.000272738934676281</v>
      </c>
      <c r="CZ71" s="57" t="n">
        <f aca="false">CR71*(1-f_bleed_fatal)</f>
        <v>4.00525837760343E-005</v>
      </c>
      <c r="DA71" s="57" t="n">
        <f aca="false">CS71*(1-f_bleed_fatal)</f>
        <v>0.000372443024843822</v>
      </c>
      <c r="DB71" s="57" t="n">
        <f aca="false">CT71*f_mi_fatal</f>
        <v>1.10311692892042E-005</v>
      </c>
      <c r="DC71" s="57" t="n">
        <f aca="false">CT71-DB71</f>
        <v>8.01355190513266E-005</v>
      </c>
      <c r="DD71" s="57" t="n">
        <f aca="false">CJ71-CQ71-CR71-CS71-DB71</f>
        <v>0.0417210591886191</v>
      </c>
      <c r="DE71" s="19" t="n">
        <f aca="false">CW71*c_stroke_fatal+CX71*c_stroke_major+CY71*c_stroke_minor+CR71*c_ich+CS71*c_major_bleed+DB71*c_mi_fatal+DC71*c_mi_nonfatal+CU71*c_tia+CV71*c_minor_bleed</f>
        <v>25.5532042548598</v>
      </c>
      <c r="DF71" s="57" t="n">
        <f aca="false">dt*(DC71*dec_mi+DA71*dec_major_bleed+CV71*dec_minor_bleed+CU71*dec_tia)</f>
        <v>1.83729524407627E-005</v>
      </c>
      <c r="DG71" s="57" t="n">
        <f aca="false">J71*CI71+CW71+CR71-CZ71+CS71-DA71+DB71</f>
        <v>0.00229450269312072</v>
      </c>
      <c r="DH71" s="57" t="n">
        <f aca="false">AG71</f>
        <v>0.10295899773669</v>
      </c>
      <c r="DI71" s="57" t="n">
        <f aca="false">AB71+AC71+BF71+BA71+BB71+BC71+CY71+CZ71</f>
        <v>0.011865705757459</v>
      </c>
      <c r="DJ71" s="57" t="n">
        <f aca="false">AA71+AZ71+BY71+CX71+CE71+BZ71+CA71+CB71</f>
        <v>0.00622912513279415</v>
      </c>
      <c r="DK71" s="57" t="n">
        <f aca="false">AD71+DD71+DA71</f>
        <v>0.0427337216149475</v>
      </c>
      <c r="DL71" s="57" t="n">
        <f aca="false">K71+AJ71+BI71+CH71+DG71</f>
        <v>0.83621244975811</v>
      </c>
      <c r="DM71" s="58" t="n">
        <f aca="false">SUM(DH71:DL71)</f>
        <v>1</v>
      </c>
      <c r="DN71" s="19" t="n">
        <f aca="false">dt*(G71*Apixaban!$H$2+(H71+I71+J71)*c_aspirin)</f>
        <v>8.79909981125343</v>
      </c>
      <c r="DO71" s="19" t="n">
        <f aca="false">dt*(H71*c_lt_minor_stroke+I71*c_lt_major_stroke)</f>
        <v>77.555080882726</v>
      </c>
      <c r="DP71" s="19" t="n">
        <f aca="false">AH71+BG71+CF71+DE71</f>
        <v>78.0315024427594</v>
      </c>
      <c r="DQ71" s="19" t="n">
        <f aca="false">DN71+DO71+DP71</f>
        <v>164.385683136739</v>
      </c>
      <c r="DR71" s="57" t="n">
        <f aca="false">dt*(G71*(u_af-dec_per_year_over_70*MAX(B71-ref_age,0))+H71*(u_minor_stroke-dec_per_year_over_70*MAX(B71-ref_age,0))+I71*(u_major_stroke-dec_per_year_over_70*MAX(B71-ref_age,0))+J71*(u_af-dec_per_year_over_70*MAX(B71-ref_age,0)))-AI71-BH71-CG71-DF71</f>
        <v>0.033928467407193</v>
      </c>
      <c r="DS71" s="57" t="n">
        <f aca="false">dt*(G71+H71+I71+J71)</f>
        <v>0.0434311533771274</v>
      </c>
      <c r="DT71" s="19" t="n">
        <f aca="false">DQ71*C71</f>
        <v>129.059745462417</v>
      </c>
      <c r="DU71" s="19" t="n">
        <f aca="false">DN71*C71</f>
        <v>6.90820246793727</v>
      </c>
      <c r="DV71" s="19" t="n">
        <f aca="false">DP71*C71</f>
        <v>61.2627915713044</v>
      </c>
      <c r="DW71" s="19" t="n">
        <f aca="false">DO71*C71</f>
        <v>60.8887514231757</v>
      </c>
      <c r="DX71" s="57" t="n">
        <f aca="false">DR71*C71</f>
        <v>0.026637352377335</v>
      </c>
      <c r="DY71" s="57" t="n">
        <f aca="false">DS71*C71</f>
        <v>0.0340979426738079</v>
      </c>
      <c r="DZ71" s="57" t="n">
        <f aca="false">T71+AS71+BR71+CQ71</f>
        <v>0.00165033460478276</v>
      </c>
      <c r="EA71" s="57" t="n">
        <f aca="false">U71+AT71+BS71+CR71</f>
        <v>0.000149470607415131</v>
      </c>
      <c r="EB71" s="57" t="n">
        <f aca="false">V71+AU71+BT71+CS71</f>
        <v>0.00126992018483475</v>
      </c>
      <c r="EC71" s="57" t="n">
        <f aca="false">G71*dt*C71</f>
        <v>0.021508293549816</v>
      </c>
    </row>
    <row r="72" customFormat="false" ht="15" hidden="false" customHeight="false" outlineLevel="0" collapsed="false">
      <c r="A72" s="8" t="n">
        <v>66</v>
      </c>
      <c r="B72" s="54" t="n">
        <f aca="false">start_age+A72*dt</f>
        <v>86.5</v>
      </c>
      <c r="C72" s="16" t="n">
        <f aca="false">(1+disc_rate)^-(A72*dt)</f>
        <v>0.782186476280834</v>
      </c>
      <c r="D72" s="55" t="n">
        <f aca="false">IF(A72*dt&gt;=wane_start,(1-wane_decay)^(A72*dt-wane_start),1)</f>
        <v>1</v>
      </c>
      <c r="E72" s="25" t="n">
        <f aca="false">MIN(p_nonvasc_death*MIN(EXP(gomp_int+gomp_slope*INT(B72)),1)/qx_ref,0.999)</f>
        <v>0.176028221169879</v>
      </c>
      <c r="F72" s="55" t="n">
        <f aca="false">rr_stroke_per_decade^((B72-ref_age)/10)</f>
        <v>1.95231808555033</v>
      </c>
      <c r="G72" s="57" t="n">
        <f aca="false">DH71</f>
        <v>0.10295899773669</v>
      </c>
      <c r="H72" s="57" t="n">
        <f aca="false">DI71</f>
        <v>0.011865705757459</v>
      </c>
      <c r="I72" s="57" t="n">
        <f aca="false">DJ71</f>
        <v>0.00622912513279415</v>
      </c>
      <c r="J72" s="57" t="n">
        <f aca="false">DK71</f>
        <v>0.0427337216149475</v>
      </c>
      <c r="K72" s="57" t="n">
        <f aca="false">DL71</f>
        <v>0.83621244975811</v>
      </c>
      <c r="L72" s="57" t="n">
        <f aca="false">1-EXP(LN(1-E72)*dt)</f>
        <v>0.0472519154398011</v>
      </c>
      <c r="M72" s="57" t="n">
        <f aca="false">G72*(1-L72)</f>
        <v>0.0980939878818689</v>
      </c>
      <c r="N72" s="57" t="n">
        <f aca="false">IF(Apixaban!$B$2=1,EXP(LN(or_apx_stroke)*D72)*(1-EXP(-r_stroke*F72*dt))/(1-(1-EXP(-r_stroke*F72*dt))+EXP(LN(or_apx_stroke)*D72)*(1-EXP(-r_stroke*F72*dt))),(1-EXP(-r_stroke*F72*dt)))</f>
        <v>0.00620501449260031</v>
      </c>
      <c r="O72" s="57" t="n">
        <f aca="false">IF(Apixaban!$B$2=1,EXP(LN(or_apx_ich)*D72)*(1-EXP(-r_ich*dt))/(1-(1-EXP(-r_ich*dt))+EXP(LN(or_apx_ich)*D72)*(1-EXP(-r_ich*dt))),(1-EXP(-r_ich*dt)))</f>
        <v>0.000843513249640701</v>
      </c>
      <c r="P72" s="57" t="n">
        <f aca="false">IF(Apixaban!$B$2=1,EXP(LN(or_apx_mb)*D72)*(1-EXP(-r_mb*dt))/(1-(1-EXP(-r_mb*dt))+EXP(LN(or_apx_mb)*D72)*(1-EXP(-r_mb*dt))),(1-EXP(-r_mb*dt)))</f>
        <v>0.00669446907979895</v>
      </c>
      <c r="Q72" s="57" t="n">
        <f aca="false">IF(Apixaban!$B$2=1,EXP(LN(or_apx_mi)*D72)*(1-EXP(-r_mi*dt))/(1-(1-EXP(-r_mi*dt))+EXP(LN(or_apx_mi)*D72)*(1-EXP(-r_mi*dt))),(1-EXP(-r_mi*dt)))</f>
        <v>0.00132321915530843</v>
      </c>
      <c r="R72" s="57" t="n">
        <f aca="false">(1-EXP(-r_tia*dt))</f>
        <v>0.0020060281549299</v>
      </c>
      <c r="S72" s="57" t="n">
        <f aca="false">(1-EXP(-r_minor*dt))</f>
        <v>0.0437937690785545</v>
      </c>
      <c r="T72" s="57" t="n">
        <f aca="false">M72*N72</f>
        <v>0.000608674616443956</v>
      </c>
      <c r="U72" s="57" t="n">
        <f aca="false">M72*O72</f>
        <v>8.27435784884508E-005</v>
      </c>
      <c r="V72" s="57" t="n">
        <f aca="false">M72*P72</f>
        <v>0.000656687168789345</v>
      </c>
      <c r="W72" s="57" t="n">
        <f aca="false">M72*Q72</f>
        <v>0.000129799843785882</v>
      </c>
      <c r="X72" s="57" t="n">
        <f aca="false">M72*R72</f>
        <v>0.000196779301520381</v>
      </c>
      <c r="Y72" s="57" t="n">
        <f aca="false">M72*S72</f>
        <v>0.00429590545329309</v>
      </c>
      <c r="Z72" s="57" t="n">
        <f aca="false">T72*f_stroke_fatal</f>
        <v>0.000144255884097218</v>
      </c>
      <c r="AA72" s="57" t="n">
        <f aca="false">T72*(1-f_stroke_fatal)*f_stroke_major</f>
        <v>0.000154651437871464</v>
      </c>
      <c r="AB72" s="57" t="n">
        <f aca="false">T72*(1-f_stroke_fatal)*(1-f_stroke_major)</f>
        <v>0.000309767294475275</v>
      </c>
      <c r="AC72" s="57" t="n">
        <f aca="false">U72*(1-f_bleed_fatal)</f>
        <v>7.57931178954209E-005</v>
      </c>
      <c r="AD72" s="57" t="n">
        <f aca="false">V72*(1-f_bleed_fatal)</f>
        <v>0.00060152544661104</v>
      </c>
      <c r="AE72" s="57" t="n">
        <f aca="false">W72*f_mi_fatal</f>
        <v>1.57057810980917E-005</v>
      </c>
      <c r="AF72" s="57" t="n">
        <f aca="false">W72-AE72</f>
        <v>0.00011409406268779</v>
      </c>
      <c r="AG72" s="57" t="n">
        <f aca="false">M72-T72-U72-V72-AE72</f>
        <v>0.0967301767370491</v>
      </c>
      <c r="AH72" s="19" t="n">
        <f aca="false">Z72*c_stroke_fatal+AA72*c_stroke_major+AB72*c_stroke_minor+U72*c_ich+V72*c_major_bleed+AE72*c_mi_fatal+AF72*c_mi_nonfatal+X72*c_tia+Y72*c_minor_bleed</f>
        <v>32.0210424362341</v>
      </c>
      <c r="AI72" s="57" t="n">
        <f aca="false">dt*(AF72*dec_mi+AD72*dec_major_bleed+Y72*dec_minor_bleed+X72*dec_tia)</f>
        <v>3.64292844683997E-005</v>
      </c>
      <c r="AJ72" s="57" t="n">
        <f aca="false">G72*L72+Z72+U72-AC72+V72-AD72+AE72</f>
        <v>0.00508708370278738</v>
      </c>
      <c r="AK72" s="57" t="n">
        <f aca="false">1-EXP(LN(1-E72)*hr_death_prior_stroke*dt)</f>
        <v>0.105357358985318</v>
      </c>
      <c r="AL72" s="57" t="n">
        <f aca="false">H72*(1-AK72)</f>
        <v>0.0106155663363562</v>
      </c>
      <c r="AM72" s="57" t="n">
        <f aca="false">(1-EXP(-r_stroke*F72*rr_stroke_prior*rr_asa_stroke*dt))</f>
        <v>0.027667357709978</v>
      </c>
      <c r="AN72" s="57" t="n">
        <f aca="false">(1-EXP(-r_ich*rr_asa_ich*dt))</f>
        <v>0.00102357767802375</v>
      </c>
      <c r="AO72" s="57" t="n">
        <f aca="false">(1-EXP(-r_mb*rr_asa_mb*dt))</f>
        <v>0.00951809672747972</v>
      </c>
      <c r="AP72" s="57" t="n">
        <f aca="false">(1-EXP(-r_mi*rr_asa_mi*dt))</f>
        <v>0.00213413516393479</v>
      </c>
      <c r="AQ72" s="57" t="n">
        <f aca="false">(1-EXP(-r_tia*rr_asa_tia*dt))</f>
        <v>0.00312764565589152</v>
      </c>
      <c r="AR72" s="57" t="n">
        <f aca="false">(1-EXP(-r_minor*rr_asa_minor*dt))</f>
        <v>0.0278181950466747</v>
      </c>
      <c r="AS72" s="57" t="n">
        <f aca="false">AL72*AM72</f>
        <v>0.000293704671121969</v>
      </c>
      <c r="AT72" s="57" t="n">
        <f aca="false">AL72*AN72</f>
        <v>1.08658567414746E-005</v>
      </c>
      <c r="AU72" s="57" t="n">
        <f aca="false">AL72*AO72</f>
        <v>0.000101039987206416</v>
      </c>
      <c r="AV72" s="57" t="n">
        <f aca="false">AL72*AP72</f>
        <v>2.26550534035003E-005</v>
      </c>
      <c r="AW72" s="57" t="n">
        <f aca="false">AL72*AQ72</f>
        <v>3.32017299367329E-005</v>
      </c>
      <c r="AX72" s="57" t="n">
        <f aca="false">AL72*AR72</f>
        <v>0.000295305894875672</v>
      </c>
      <c r="AY72" s="57" t="n">
        <f aca="false">AS72*f_stroke_fatal_recur</f>
        <v>0.000109284571077773</v>
      </c>
      <c r="AZ72" s="57" t="n">
        <f aca="false">AS72*(1-f_stroke_fatal_recur)*f_stroke_major</f>
        <v>6.1411893314717E-005</v>
      </c>
      <c r="BA72" s="57" t="n">
        <f aca="false">AS72*(1-f_stroke_fatal_recur)*(1-f_stroke_major)</f>
        <v>0.000123008206729478</v>
      </c>
      <c r="BB72" s="57" t="n">
        <f aca="false">AT72*(1-f_bleed_fatal)</f>
        <v>9.95312477519071E-006</v>
      </c>
      <c r="BC72" s="57" t="n">
        <f aca="false">AU72*(1-f_bleed_fatal)</f>
        <v>9.25526282810773E-005</v>
      </c>
      <c r="BD72" s="57" t="n">
        <f aca="false">AV72*f_mi_fatal</f>
        <v>2.74126146182353E-006</v>
      </c>
      <c r="BE72" s="57" t="n">
        <f aca="false">AV72-BD72</f>
        <v>1.99137919416768E-005</v>
      </c>
      <c r="BF72" s="57" t="n">
        <f aca="false">AL72-AS72-AT72-AU72-BD72</f>
        <v>0.0102072145598246</v>
      </c>
      <c r="BG72" s="19" t="n">
        <f aca="false">AY72*c_stroke_fatal+AZ72*c_stroke_major+BA72*c_stroke_minor+AT72*c_ich+AU72*c_major_bleed+BD72*c_mi_fatal+BE72*c_mi_nonfatal+AW72*c_tia+AX72*c_minor_bleed</f>
        <v>11.5562512799265</v>
      </c>
      <c r="BH72" s="57" t="n">
        <f aca="false">dt*(BE72*dec_mi+BC72*dec_major_bleed+AX72*dec_minor_bleed+AW72*dec_tia)</f>
        <v>4.56570515285898E-006</v>
      </c>
      <c r="BI72" s="57" t="n">
        <f aca="false">H72*AK72+AY72+AT72-BB72+AU72-BC72+BD72</f>
        <v>0.00137156534453398</v>
      </c>
      <c r="BJ72" s="57" t="n">
        <f aca="false">1-EXP(LN(1-E72)*hr_death_prior_stroke*dt)</f>
        <v>0.105357358985318</v>
      </c>
      <c r="BK72" s="57" t="n">
        <f aca="false">I72*(1-BJ72)</f>
        <v>0.00557284096001389</v>
      </c>
      <c r="BL72" s="57" t="n">
        <f aca="false">(1-EXP(-r_stroke*F72*rr_stroke_prior*rr_asa_stroke*dt))</f>
        <v>0.027667357709978</v>
      </c>
      <c r="BM72" s="57" t="n">
        <f aca="false">(1-EXP(-r_ich*rr_asa_ich*dt))</f>
        <v>0.00102357767802375</v>
      </c>
      <c r="BN72" s="57" t="n">
        <f aca="false">(1-EXP(-r_mb*rr_asa_mb*dt))</f>
        <v>0.00951809672747972</v>
      </c>
      <c r="BO72" s="57" t="n">
        <f aca="false">(1-EXP(-r_mi*rr_asa_mi*dt))</f>
        <v>0.00213413516393479</v>
      </c>
      <c r="BP72" s="57" t="n">
        <f aca="false">(1-EXP(-r_tia*rr_asa_tia*dt))</f>
        <v>0.00312764565589152</v>
      </c>
      <c r="BQ72" s="57" t="n">
        <f aca="false">(1-EXP(-r_minor*rr_asa_minor*dt))</f>
        <v>0.0278181950466747</v>
      </c>
      <c r="BR72" s="57" t="n">
        <f aca="false">BK72*BL72</f>
        <v>0.000154185784301521</v>
      </c>
      <c r="BS72" s="57" t="n">
        <f aca="false">BK72*BM72</f>
        <v>5.70423560984664E-006</v>
      </c>
      <c r="BT72" s="57" t="n">
        <f aca="false">BK72*BN72</f>
        <v>5.30428393042731E-005</v>
      </c>
      <c r="BU72" s="57" t="n">
        <f aca="false">BK72*BO72</f>
        <v>1.18931958557818E-005</v>
      </c>
      <c r="BV72" s="57" t="n">
        <f aca="false">BK72*BP72</f>
        <v>1.74298718195618E-005</v>
      </c>
      <c r="BW72" s="57" t="n">
        <f aca="false">BK72*BQ72</f>
        <v>0.000155026376789764</v>
      </c>
      <c r="BX72" s="57" t="n">
        <f aca="false">BR72*f_stroke_fatal_recur</f>
        <v>5.7370988480753E-005</v>
      </c>
      <c r="BY72" s="57" t="n">
        <f aca="false">BR72*(1-f_stroke_fatal_recur)*f_stroke_major</f>
        <v>3.22393270083158E-005</v>
      </c>
      <c r="BZ72" s="57" t="n">
        <f aca="false">BR72*(1-f_stroke_fatal_recur)*(1-f_stroke_major)</f>
        <v>6.45754688124524E-005</v>
      </c>
      <c r="CA72" s="57" t="n">
        <f aca="false">BS72*(1-f_bleed_fatal)</f>
        <v>5.22507981861952E-006</v>
      </c>
      <c r="CB72" s="57" t="n">
        <f aca="false">BT72*(1-f_bleed_fatal)</f>
        <v>4.85872408027142E-005</v>
      </c>
      <c r="CC72" s="57" t="n">
        <f aca="false">BU72*f_mi_fatal</f>
        <v>1.43907669854959E-006</v>
      </c>
      <c r="CD72" s="57" t="n">
        <f aca="false">BU72-CC72</f>
        <v>1.04541191572322E-005</v>
      </c>
      <c r="CE72" s="57" t="n">
        <f aca="false">BK72-BR72-BS72-BT72-CC72</f>
        <v>0.0053584690240997</v>
      </c>
      <c r="CF72" s="19" t="n">
        <f aca="false">BX72*c_stroke_fatal+BY72*c_stroke_major+BZ72*c_stroke_minor+BS72*c_ich+BT72*c_major_bleed+CC72*c_mi_fatal+CD72*c_mi_nonfatal+BV72*c_tia+BW72*c_minor_bleed</f>
        <v>6.06667119175979</v>
      </c>
      <c r="CG72" s="57" t="n">
        <f aca="false">dt*(CD72*dec_mi+CB72*dec_major_bleed+BW72*dec_minor_bleed+BV72*dec_tia)</f>
        <v>2.39685268604638E-006</v>
      </c>
      <c r="CH72" s="57" t="n">
        <f aca="false">I72*BJ72+BX72+BS72-CA72+BT72-CB72+CC72</f>
        <v>0.000720028992252349</v>
      </c>
      <c r="CI72" s="57" t="n">
        <f aca="false">1-EXP(LN(1-E72)*dt)</f>
        <v>0.0472519154398011</v>
      </c>
      <c r="CJ72" s="57" t="n">
        <f aca="false">J72*(1-CI72)</f>
        <v>0.04071447141477</v>
      </c>
      <c r="CK72" s="57" t="n">
        <f aca="false">(1-EXP(-r_stroke*F72*rr_asa_stroke*dt))</f>
        <v>0.012672343044856</v>
      </c>
      <c r="CL72" s="57" t="n">
        <f aca="false">(1-EXP(-r_ich*rr_asa_ich*dt))</f>
        <v>0.00102357767802375</v>
      </c>
      <c r="CM72" s="57" t="n">
        <f aca="false">(1-EXP(-r_mb*rr_asa_mb*dt))</f>
        <v>0.00951809672747972</v>
      </c>
      <c r="CN72" s="57" t="n">
        <f aca="false">(1-EXP(-r_mi*rr_asa_mi*dt))</f>
        <v>0.00213413516393479</v>
      </c>
      <c r="CO72" s="57" t="n">
        <f aca="false">(1-EXP(-r_tia*rr_asa_tia*dt))</f>
        <v>0.00312764565589152</v>
      </c>
      <c r="CP72" s="57" t="n">
        <f aca="false">(1-EXP(-r_minor*rr_asa_minor*dt))</f>
        <v>0.0278181950466747</v>
      </c>
      <c r="CQ72" s="57" t="n">
        <f aca="false">CJ72*CK72</f>
        <v>0.000515947748657948</v>
      </c>
      <c r="CR72" s="57" t="n">
        <f aca="false">CJ72*CL72</f>
        <v>4.16744241126944E-005</v>
      </c>
      <c r="CS72" s="57" t="n">
        <f aca="false">CJ72*CM72</f>
        <v>0.000387524277133989</v>
      </c>
      <c r="CT72" s="57" t="n">
        <f aca="false">CJ72*CN72</f>
        <v>8.68901851272785E-005</v>
      </c>
      <c r="CU72" s="57" t="n">
        <f aca="false">CJ72*CO72</f>
        <v>0.000127340439652325</v>
      </c>
      <c r="CV72" s="57" t="n">
        <f aca="false">CJ72*CP72</f>
        <v>0.00113260310703833</v>
      </c>
      <c r="CW72" s="57" t="n">
        <f aca="false">CQ72*f_stroke_fatal</f>
        <v>0.000122279616431934</v>
      </c>
      <c r="CX72" s="57" t="n">
        <f aca="false">CQ72*(1-f_stroke_fatal)*f_stroke_major</f>
        <v>0.000131091488031263</v>
      </c>
      <c r="CY72" s="57" t="n">
        <f aca="false">CQ72*(1-f_stroke_fatal)*(1-f_stroke_major)</f>
        <v>0.000262576644194752</v>
      </c>
      <c r="CZ72" s="57" t="n">
        <f aca="false">CR72*(1-f_bleed_fatal)</f>
        <v>3.81737724872281E-005</v>
      </c>
      <c r="DA72" s="57" t="n">
        <f aca="false">CS72*(1-f_bleed_fatal)</f>
        <v>0.000354972237854734</v>
      </c>
      <c r="DB72" s="57" t="n">
        <f aca="false">CT72*f_mi_fatal</f>
        <v>1.05137124004007E-005</v>
      </c>
      <c r="DC72" s="57" t="n">
        <f aca="false">CT72-DB72</f>
        <v>7.63764727268778E-005</v>
      </c>
      <c r="DD72" s="57" t="n">
        <f aca="false">CJ72-CQ72-CR72-CS72-DB72</f>
        <v>0.0397588112524649</v>
      </c>
      <c r="DE72" s="19" t="n">
        <f aca="false">CW72*c_stroke_fatal+CX72*c_stroke_major+CY72*c_stroke_minor+CR72*c_ich+CS72*c_major_bleed+DB72*c_mi_fatal+DC72*c_mi_nonfatal+CU72*c_tia+CV72*c_minor_bleed</f>
        <v>24.5455866553012</v>
      </c>
      <c r="DF72" s="57" t="n">
        <f aca="false">dt*(DC72*dec_mi+DA72*dec_major_bleed+CV72*dec_minor_bleed+CU72*dec_tia)</f>
        <v>1.75111026622957E-005</v>
      </c>
      <c r="DG72" s="57" t="n">
        <f aca="false">J72*CI72+CW72+CR72-CZ72+CS72-DA72+DB72</f>
        <v>0.00218809621991455</v>
      </c>
      <c r="DH72" s="57" t="n">
        <f aca="false">AG72</f>
        <v>0.0967301767370491</v>
      </c>
      <c r="DI72" s="57" t="n">
        <f aca="false">AB72+AC72+BF72+BA72+BB72+BC72+CY72+CZ72</f>
        <v>0.011119039348663</v>
      </c>
      <c r="DJ72" s="57" t="n">
        <f aca="false">AA72+AZ72+BY72+CX72+CE72+BZ72+CA72+CB72</f>
        <v>0.00585625095975924</v>
      </c>
      <c r="DK72" s="57" t="n">
        <f aca="false">AD72+DD72+DA72</f>
        <v>0.0407153089369307</v>
      </c>
      <c r="DL72" s="57" t="n">
        <f aca="false">K72+AJ72+BI72+CH72+DG72</f>
        <v>0.845579224017598</v>
      </c>
      <c r="DM72" s="58" t="n">
        <f aca="false">SUM(DH72:DL72)</f>
        <v>1</v>
      </c>
      <c r="DN72" s="19" t="n">
        <f aca="false">dt*(G72*Apixaban!$H$2+(H72+I72+J72)*c_aspirin)</f>
        <v>8.2727857075939</v>
      </c>
      <c r="DO72" s="19" t="n">
        <f aca="false">dt*(H72*c_lt_minor_stroke+I72*c_lt_major_stroke)</f>
        <v>72.744708361426</v>
      </c>
      <c r="DP72" s="19" t="n">
        <f aca="false">AH72+BG72+CF72+DE72</f>
        <v>74.1895515632216</v>
      </c>
      <c r="DQ72" s="19" t="n">
        <f aca="false">DN72+DO72+DP72</f>
        <v>155.207045632241</v>
      </c>
      <c r="DR72" s="57" t="n">
        <f aca="false">dt*(G72*(u_af-dec_per_year_over_70*MAX(B72-ref_age,0))+H72*(u_minor_stroke-dec_per_year_over_70*MAX(B72-ref_age,0))+I72*(u_major_stroke-dec_per_year_over_70*MAX(B72-ref_age,0))+J72*(u_af-dec_per_year_over_70*MAX(B72-ref_age,0)))-AI72-BH72-CG72-DF72</f>
        <v>0.0319887134510755</v>
      </c>
      <c r="DS72" s="57" t="n">
        <f aca="false">dt*(G72+H72+I72+J72)</f>
        <v>0.0409468875604726</v>
      </c>
      <c r="DT72" s="19" t="n">
        <f aca="false">DQ72*C72</f>
        <v>121.400852117042</v>
      </c>
      <c r="DU72" s="19" t="n">
        <f aca="false">DN72*C72</f>
        <v>6.47086110164933</v>
      </c>
      <c r="DV72" s="19" t="n">
        <f aca="false">DP72*C72</f>
        <v>58.0300639140916</v>
      </c>
      <c r="DW72" s="19" t="n">
        <f aca="false">DO72*C72</f>
        <v>56.8999271013007</v>
      </c>
      <c r="DX72" s="57" t="n">
        <f aca="false">DR72*C72</f>
        <v>0.025021139055054</v>
      </c>
      <c r="DY72" s="57" t="n">
        <f aca="false">DS72*C72</f>
        <v>0.0320281016955936</v>
      </c>
      <c r="DZ72" s="57" t="n">
        <f aca="false">T72+AS72+BR72+CQ72</f>
        <v>0.00157251282052539</v>
      </c>
      <c r="EA72" s="57" t="n">
        <f aca="false">U72+AT72+BS72+CR72</f>
        <v>0.000140988094952466</v>
      </c>
      <c r="EB72" s="57" t="n">
        <f aca="false">V72+AU72+BT72+CS72</f>
        <v>0.00119829427243402</v>
      </c>
      <c r="EC72" s="57" t="n">
        <f aca="false">G72*dt*C72</f>
        <v>0.0201332839102669</v>
      </c>
    </row>
    <row r="73" customFormat="false" ht="15" hidden="false" customHeight="false" outlineLevel="0" collapsed="false">
      <c r="A73" s="8" t="n">
        <v>67</v>
      </c>
      <c r="B73" s="54" t="n">
        <f aca="false">start_age+A73*dt</f>
        <v>86.75</v>
      </c>
      <c r="C73" s="16" t="n">
        <f aca="false">(1+disc_rate)^-(A73*dt)</f>
        <v>0.779280470100112</v>
      </c>
      <c r="D73" s="55" t="n">
        <f aca="false">IF(A73*dt&gt;=wane_start,(1-wane_decay)^(A73*dt-wane_start),1)</f>
        <v>1</v>
      </c>
      <c r="E73" s="25" t="n">
        <f aca="false">MIN(p_nonvasc_death*MIN(EXP(gomp_int+gomp_slope*INT(B73)),1)/qx_ref,0.999)</f>
        <v>0.176028221169879</v>
      </c>
      <c r="F73" s="55" t="n">
        <f aca="false">rr_stroke_per_decade^((B73-ref_age)/10)</f>
        <v>1.97220864844154</v>
      </c>
      <c r="G73" s="57" t="n">
        <f aca="false">DH72</f>
        <v>0.0967301767370491</v>
      </c>
      <c r="H73" s="57" t="n">
        <f aca="false">DI72</f>
        <v>0.011119039348663</v>
      </c>
      <c r="I73" s="57" t="n">
        <f aca="false">DJ72</f>
        <v>0.00585625095975924</v>
      </c>
      <c r="J73" s="57" t="n">
        <f aca="false">DK72</f>
        <v>0.0407153089369307</v>
      </c>
      <c r="K73" s="57" t="n">
        <f aca="false">DL72</f>
        <v>0.845579224017598</v>
      </c>
      <c r="L73" s="57" t="n">
        <f aca="false">1-EXP(LN(1-E73)*dt)</f>
        <v>0.0472519154398011</v>
      </c>
      <c r="M73" s="57" t="n">
        <f aca="false">G73*(1-L73)</f>
        <v>0.092159490605393</v>
      </c>
      <c r="N73" s="57" t="n">
        <f aca="false">IF(Apixaban!$B$2=1,EXP(LN(or_apx_stroke)*D73)*(1-EXP(-r_stroke*F73*dt))/(1-(1-EXP(-r_stroke*F73*dt))+EXP(LN(or_apx_stroke)*D73)*(1-EXP(-r_stroke*F73*dt))),(1-EXP(-r_stroke*F73*dt)))</f>
        <v>0.00626808615868677</v>
      </c>
      <c r="O73" s="57" t="n">
        <f aca="false">IF(Apixaban!$B$2=1,EXP(LN(or_apx_ich)*D73)*(1-EXP(-r_ich*dt))/(1-(1-EXP(-r_ich*dt))+EXP(LN(or_apx_ich)*D73)*(1-EXP(-r_ich*dt))),(1-EXP(-r_ich*dt)))</f>
        <v>0.000843513249640701</v>
      </c>
      <c r="P73" s="57" t="n">
        <f aca="false">IF(Apixaban!$B$2=1,EXP(LN(or_apx_mb)*D73)*(1-EXP(-r_mb*dt))/(1-(1-EXP(-r_mb*dt))+EXP(LN(or_apx_mb)*D73)*(1-EXP(-r_mb*dt))),(1-EXP(-r_mb*dt)))</f>
        <v>0.00669446907979895</v>
      </c>
      <c r="Q73" s="57" t="n">
        <f aca="false">IF(Apixaban!$B$2=1,EXP(LN(or_apx_mi)*D73)*(1-EXP(-r_mi*dt))/(1-(1-EXP(-r_mi*dt))+EXP(LN(or_apx_mi)*D73)*(1-EXP(-r_mi*dt))),(1-EXP(-r_mi*dt)))</f>
        <v>0.00132321915530843</v>
      </c>
      <c r="R73" s="57" t="n">
        <f aca="false">(1-EXP(-r_tia*dt))</f>
        <v>0.0020060281549299</v>
      </c>
      <c r="S73" s="57" t="n">
        <f aca="false">(1-EXP(-r_minor*dt))</f>
        <v>0.0437937690785545</v>
      </c>
      <c r="T73" s="57" t="n">
        <f aca="false">M73*N73</f>
        <v>0.000577663627455287</v>
      </c>
      <c r="U73" s="57" t="n">
        <f aca="false">M73*O73</f>
        <v>7.77377514057867E-005</v>
      </c>
      <c r="V73" s="57" t="n">
        <f aca="false">M73*P73</f>
        <v>0.000616958860267826</v>
      </c>
      <c r="W73" s="57" t="n">
        <f aca="false">M73*Q73</f>
        <v>0.000121947203312523</v>
      </c>
      <c r="X73" s="57" t="n">
        <f aca="false">M73*R73</f>
        <v>0.000184874532898416</v>
      </c>
      <c r="Y73" s="57" t="n">
        <f aca="false">M73*S73</f>
        <v>0.00403601144996979</v>
      </c>
      <c r="Z73" s="57" t="n">
        <f aca="false">T73*f_stroke_fatal</f>
        <v>0.000136906279706903</v>
      </c>
      <c r="AA73" s="57" t="n">
        <f aca="false">T73*(1-f_stroke_fatal)*f_stroke_major</f>
        <v>0.000146772196800212</v>
      </c>
      <c r="AB73" s="57" t="n">
        <f aca="false">T73*(1-f_stroke_fatal)*(1-f_stroke_major)</f>
        <v>0.000293985150948172</v>
      </c>
      <c r="AC73" s="57" t="n">
        <f aca="false">U73*(1-f_bleed_fatal)</f>
        <v>7.12077802877006E-005</v>
      </c>
      <c r="AD73" s="57" t="n">
        <f aca="false">V73*(1-f_bleed_fatal)</f>
        <v>0.000565134316005328</v>
      </c>
      <c r="AE73" s="57" t="n">
        <f aca="false">W73*f_mi_fatal</f>
        <v>1.47556116008153E-005</v>
      </c>
      <c r="AF73" s="57" t="n">
        <f aca="false">W73-AE73</f>
        <v>0.000107191591711708</v>
      </c>
      <c r="AG73" s="57" t="n">
        <f aca="false">M73-T73-U73-V73-AE73</f>
        <v>0.0908723747546633</v>
      </c>
      <c r="AH73" s="19" t="n">
        <f aca="false">Z73*c_stroke_fatal+AA73*c_stroke_major+AB73*c_stroke_minor+U73*c_ich+V73*c_major_bleed+AE73*c_mi_fatal+AF73*c_mi_nonfatal+X73*c_tia+Y73*c_minor_bleed</f>
        <v>30.2985948045198</v>
      </c>
      <c r="AI73" s="57" t="n">
        <f aca="false">dt*(AF73*dec_mi+AD73*dec_major_bleed+Y73*dec_minor_bleed+X73*dec_tia)</f>
        <v>3.42253829436494E-005</v>
      </c>
      <c r="AJ73" s="57" t="n">
        <f aca="false">G73*L73+Z73+U73-AC73+V73-AD73+AE73</f>
        <v>0.00478070253834436</v>
      </c>
      <c r="AK73" s="57" t="n">
        <f aca="false">1-EXP(LN(1-E73)*hr_death_prior_stroke*dt)</f>
        <v>0.105357358985318</v>
      </c>
      <c r="AL73" s="57" t="n">
        <f aca="false">H73*(1-AK73)</f>
        <v>0.00994756672843402</v>
      </c>
      <c r="AM73" s="57" t="n">
        <f aca="false">(1-EXP(-r_stroke*F73*rr_stroke_prior*rr_asa_stroke*dt))</f>
        <v>0.0279452620303202</v>
      </c>
      <c r="AN73" s="57" t="n">
        <f aca="false">(1-EXP(-r_ich*rr_asa_ich*dt))</f>
        <v>0.00102357767802375</v>
      </c>
      <c r="AO73" s="57" t="n">
        <f aca="false">(1-EXP(-r_mb*rr_asa_mb*dt))</f>
        <v>0.00951809672747972</v>
      </c>
      <c r="AP73" s="57" t="n">
        <f aca="false">(1-EXP(-r_mi*rr_asa_mi*dt))</f>
        <v>0.00213413516393479</v>
      </c>
      <c r="AQ73" s="57" t="n">
        <f aca="false">(1-EXP(-r_tia*rr_asa_tia*dt))</f>
        <v>0.00312764565589152</v>
      </c>
      <c r="AR73" s="57" t="n">
        <f aca="false">(1-EXP(-r_minor*rr_asa_minor*dt))</f>
        <v>0.0278181950466747</v>
      </c>
      <c r="AS73" s="57" t="n">
        <f aca="false">AL73*AM73</f>
        <v>0.000277987358790184</v>
      </c>
      <c r="AT73" s="57" t="n">
        <f aca="false">AL73*AN73</f>
        <v>1.01821072538768E-005</v>
      </c>
      <c r="AU73" s="57" t="n">
        <f aca="false">AL73*AO73</f>
        <v>9.4681902324294E-005</v>
      </c>
      <c r="AV73" s="57" t="n">
        <f aca="false">AL73*AP73</f>
        <v>2.12294519507388E-005</v>
      </c>
      <c r="AW73" s="57" t="n">
        <f aca="false">AL73*AQ73</f>
        <v>3.11124638648777E-005</v>
      </c>
      <c r="AX73" s="57" t="n">
        <f aca="false">AL73*AR73</f>
        <v>0.000276723351491389</v>
      </c>
      <c r="AY73" s="57" t="n">
        <f aca="false">AS73*f_stroke_fatal_recur</f>
        <v>0.000103436316332239</v>
      </c>
      <c r="AZ73" s="57" t="n">
        <f aca="false">AS73*(1-f_stroke_fatal_recur)*f_stroke_major</f>
        <v>5.81254971384955E-005</v>
      </c>
      <c r="BA73" s="57" t="n">
        <f aca="false">AS73*(1-f_stroke_fatal_recur)*(1-f_stroke_major)</f>
        <v>0.000116425545319449</v>
      </c>
      <c r="BB73" s="57" t="n">
        <f aca="false">AT73*(1-f_bleed_fatal)</f>
        <v>9.32681024455111E-006</v>
      </c>
      <c r="BC73" s="57" t="n">
        <f aca="false">AU73*(1-f_bleed_fatal)</f>
        <v>8.67286225290533E-005</v>
      </c>
      <c r="BD73" s="57" t="n">
        <f aca="false">AV73*f_mi_fatal</f>
        <v>2.5687636860394E-006</v>
      </c>
      <c r="BE73" s="57" t="n">
        <f aca="false">AV73-BD73</f>
        <v>1.86606882646994E-005</v>
      </c>
      <c r="BF73" s="57" t="n">
        <f aca="false">AL73-AS73-AT73-AU73-BD73</f>
        <v>0.00956214659637962</v>
      </c>
      <c r="BG73" s="19" t="n">
        <f aca="false">AY73*c_stroke_fatal+AZ73*c_stroke_major+BA73*c_stroke_minor+AT73*c_ich+AU73*c_major_bleed+BD73*c_mi_fatal+BE73*c_mi_nonfatal+AW73*c_tia+AX73*c_minor_bleed</f>
        <v>10.9243752202545</v>
      </c>
      <c r="BH73" s="57" t="n">
        <f aca="false">dt*(BE73*dec_mi+BC73*dec_major_bleed+AX73*dec_minor_bleed+AW73*dec_tia)</f>
        <v>4.2784016633077E-006</v>
      </c>
      <c r="BI73" s="57" t="n">
        <f aca="false">H73*AK73+AY73+AT73-BB73+AU73-BC73+BD73</f>
        <v>0.00128628627705181</v>
      </c>
      <c r="BJ73" s="57" t="n">
        <f aca="false">1-EXP(LN(1-E73)*hr_death_prior_stroke*dt)</f>
        <v>0.105357358985318</v>
      </c>
      <c r="BK73" s="57" t="n">
        <f aca="false">I73*(1-BJ73)</f>
        <v>0.00523925182508377</v>
      </c>
      <c r="BL73" s="57" t="n">
        <f aca="false">(1-EXP(-r_stroke*F73*rr_stroke_prior*rr_asa_stroke*dt))</f>
        <v>0.0279452620303202</v>
      </c>
      <c r="BM73" s="57" t="n">
        <f aca="false">(1-EXP(-r_ich*rr_asa_ich*dt))</f>
        <v>0.00102357767802375</v>
      </c>
      <c r="BN73" s="57" t="n">
        <f aca="false">(1-EXP(-r_mb*rr_asa_mb*dt))</f>
        <v>0.00951809672747972</v>
      </c>
      <c r="BO73" s="57" t="n">
        <f aca="false">(1-EXP(-r_mi*rr_asa_mi*dt))</f>
        <v>0.00213413516393479</v>
      </c>
      <c r="BP73" s="57" t="n">
        <f aca="false">(1-EXP(-r_tia*rr_asa_tia*dt))</f>
        <v>0.00312764565589152</v>
      </c>
      <c r="BQ73" s="57" t="n">
        <f aca="false">(1-EXP(-r_minor*rr_asa_minor*dt))</f>
        <v>0.0278181950466747</v>
      </c>
      <c r="BR73" s="57" t="n">
        <f aca="false">BK73*BL73</f>
        <v>0.0001464122650948</v>
      </c>
      <c r="BS73" s="57" t="n">
        <f aca="false">BK73*BM73</f>
        <v>5.36278121770092E-006</v>
      </c>
      <c r="BT73" s="57" t="n">
        <f aca="false">BK73*BN73</f>
        <v>4.9867705650772E-005</v>
      </c>
      <c r="BU73" s="57" t="n">
        <f aca="false">BK73*BO73</f>
        <v>1.11812715526208E-005</v>
      </c>
      <c r="BV73" s="57" t="n">
        <f aca="false">BK73*BP73</f>
        <v>1.6386523210845E-005</v>
      </c>
      <c r="BW73" s="57" t="n">
        <f aca="false">BK73*BQ73</f>
        <v>0.000145746529168827</v>
      </c>
      <c r="BX73" s="57" t="n">
        <f aca="false">BR73*f_stroke_fatal_recur</f>
        <v>5.44785397191239E-005</v>
      </c>
      <c r="BY73" s="57" t="n">
        <f aca="false">BR73*(1-f_stroke_fatal_recur)*f_stroke_major</f>
        <v>3.06139305501E-005</v>
      </c>
      <c r="BZ73" s="57" t="n">
        <f aca="false">BR73*(1-f_stroke_fatal_recur)*(1-f_stroke_major)</f>
        <v>6.13197948255756E-005</v>
      </c>
      <c r="CA73" s="57" t="n">
        <f aca="false">BS73*(1-f_bleed_fatal)</f>
        <v>4.91230759541405E-006</v>
      </c>
      <c r="CB73" s="57" t="n">
        <f aca="false">BT73*(1-f_bleed_fatal)</f>
        <v>4.56788183761072E-005</v>
      </c>
      <c r="CC73" s="57" t="n">
        <f aca="false">BU73*f_mi_fatal</f>
        <v>1.35293385786712E-006</v>
      </c>
      <c r="CD73" s="57" t="n">
        <f aca="false">BU73-CC73</f>
        <v>9.8283376947537E-006</v>
      </c>
      <c r="CE73" s="57" t="n">
        <f aca="false">BK73-BR73-BS73-BT73-CC73</f>
        <v>0.00503625613926264</v>
      </c>
      <c r="CF73" s="19" t="n">
        <f aca="false">BX73*c_stroke_fatal+BY73*c_stroke_major+BZ73*c_stroke_minor+BS73*c_ich+BT73*c_major_bleed+CC73*c_mi_fatal+CD73*c_mi_nonfatal+BV73*c_tia+BW73*c_minor_bleed</f>
        <v>5.7537239380377</v>
      </c>
      <c r="CG73" s="57" t="n">
        <f aca="false">dt*(CD73*dec_mi+CB73*dec_major_bleed+BW73*dec_minor_bleed+BV73*dec_tia)</f>
        <v>2.25337756808946E-006</v>
      </c>
      <c r="CH73" s="57" t="n">
        <f aca="false">I73*BJ73+BX73+BS73-CA73+BT73-CB73+CC73</f>
        <v>0.000677469969149411</v>
      </c>
      <c r="CI73" s="57" t="n">
        <f aca="false">1-EXP(LN(1-E73)*dt)</f>
        <v>0.0472519154398011</v>
      </c>
      <c r="CJ73" s="57" t="n">
        <f aca="false">J73*(1-CI73)</f>
        <v>0.0387914326019375</v>
      </c>
      <c r="CK73" s="57" t="n">
        <f aca="false">(1-EXP(-r_stroke*F73*rr_asa_stroke*dt))</f>
        <v>0.0128006212606785</v>
      </c>
      <c r="CL73" s="57" t="n">
        <f aca="false">(1-EXP(-r_ich*rr_asa_ich*dt))</f>
        <v>0.00102357767802375</v>
      </c>
      <c r="CM73" s="57" t="n">
        <f aca="false">(1-EXP(-r_mb*rr_asa_mb*dt))</f>
        <v>0.00951809672747972</v>
      </c>
      <c r="CN73" s="57" t="n">
        <f aca="false">(1-EXP(-r_mi*rr_asa_mi*dt))</f>
        <v>0.00213413516393479</v>
      </c>
      <c r="CO73" s="57" t="n">
        <f aca="false">(1-EXP(-r_tia*rr_asa_tia*dt))</f>
        <v>0.00312764565589152</v>
      </c>
      <c r="CP73" s="57" t="n">
        <f aca="false">(1-EXP(-r_minor*rr_asa_minor*dt))</f>
        <v>0.0278181950466747</v>
      </c>
      <c r="CQ73" s="57" t="n">
        <f aca="false">CJ73*CK73</f>
        <v>0.000496554436896538</v>
      </c>
      <c r="CR73" s="57" t="n">
        <f aca="false">CJ73*CL73</f>
        <v>3.97060445099058E-005</v>
      </c>
      <c r="CS73" s="57" t="n">
        <f aca="false">CJ73*CM73</f>
        <v>0.000369220607702751</v>
      </c>
      <c r="CT73" s="57" t="n">
        <f aca="false">CJ73*CN73</f>
        <v>8.27861603752013E-005</v>
      </c>
      <c r="CU73" s="57" t="n">
        <f aca="false">CJ73*CO73</f>
        <v>0.000121325855663258</v>
      </c>
      <c r="CV73" s="57" t="n">
        <f aca="false">CJ73*CP73</f>
        <v>0.00107910763826063</v>
      </c>
      <c r="CW73" s="57" t="n">
        <f aca="false">CQ73*f_stroke_fatal</f>
        <v>0.000117683401544479</v>
      </c>
      <c r="CX73" s="57" t="n">
        <f aca="false">CQ73*(1-f_stroke_fatal)*f_stroke_major</f>
        <v>0.000126164054772235</v>
      </c>
      <c r="CY73" s="57" t="n">
        <f aca="false">CQ73*(1-f_stroke_fatal)*(1-f_stroke_major)</f>
        <v>0.000252706980579823</v>
      </c>
      <c r="CZ73" s="57" t="n">
        <f aca="false">CR73*(1-f_bleed_fatal)</f>
        <v>3.63707367710737E-005</v>
      </c>
      <c r="DA73" s="57" t="n">
        <f aca="false">CS73*(1-f_bleed_fatal)</f>
        <v>0.00033820607665572</v>
      </c>
      <c r="DB73" s="57" t="n">
        <f aca="false">CT73*f_mi_fatal</f>
        <v>1.00171254053994E-005</v>
      </c>
      <c r="DC73" s="57" t="n">
        <f aca="false">CT73-DB73</f>
        <v>7.27690349698019E-005</v>
      </c>
      <c r="DD73" s="57" t="n">
        <f aca="false">CJ73-CQ73-CR73-CS73-DB73</f>
        <v>0.0378759343874229</v>
      </c>
      <c r="DE73" s="19" t="n">
        <f aca="false">CW73*c_stroke_fatal+CX73*c_stroke_major+CY73*c_stroke_minor+CR73*c_ich+CS73*c_major_bleed+DB73*c_mi_fatal+DC73*c_mi_nonfatal+CU73*c_tia+CV73*c_minor_bleed</f>
        <v>23.5700966792555</v>
      </c>
      <c r="DF73" s="57" t="n">
        <f aca="false">dt*(DC73*dec_mi+DA73*dec_major_bleed+CV73*dec_minor_bleed+CU73*dec_tia)</f>
        <v>1.66840127135638E-005</v>
      </c>
      <c r="DG73" s="57" t="n">
        <f aca="false">J73*CI73+CW73+CR73-CZ73+CS73-DA73+DB73</f>
        <v>0.00208592670072897</v>
      </c>
      <c r="DH73" s="57" t="n">
        <f aca="false">AG73</f>
        <v>0.0908723747546633</v>
      </c>
      <c r="DI73" s="57" t="n">
        <f aca="false">AB73+AC73+BF73+BA73+BB73+BC73+CY73+CZ73</f>
        <v>0.0104288982230594</v>
      </c>
      <c r="DJ73" s="57" t="n">
        <f aca="false">AA73+AZ73+BY73+CX73+CE73+BZ73+CA73+CB73</f>
        <v>0.00550984273932077</v>
      </c>
      <c r="DK73" s="57" t="n">
        <f aca="false">AD73+DD73+DA73</f>
        <v>0.0387792747800839</v>
      </c>
      <c r="DL73" s="57" t="n">
        <f aca="false">K73+AJ73+BI73+CH73+DG73</f>
        <v>0.854409609502872</v>
      </c>
      <c r="DM73" s="58" t="n">
        <f aca="false">SUM(DH73:DL73)</f>
        <v>1</v>
      </c>
      <c r="DN73" s="19" t="n">
        <f aca="false">dt*(G73*Apixaban!$H$2+(H73+I73+J73)*c_aspirin)</f>
        <v>7.77758858689955</v>
      </c>
      <c r="DO73" s="19" t="n">
        <f aca="false">dt*(H73*c_lt_minor_stroke+I73*c_lt_major_stroke)</f>
        <v>68.2918564921501</v>
      </c>
      <c r="DP73" s="19" t="n">
        <f aca="false">AH73+BG73+CF73+DE73</f>
        <v>70.5467906420674</v>
      </c>
      <c r="DQ73" s="19" t="n">
        <f aca="false">DN73+DO73+DP73</f>
        <v>146.616235721117</v>
      </c>
      <c r="DR73" s="57" t="n">
        <f aca="false">dt*(G73*(u_af-dec_per_year_over_70*MAX(B73-ref_age,0))+H73*(u_minor_stroke-dec_per_year_over_70*MAX(B73-ref_age,0))+I73*(u_major_stroke-dec_per_year_over_70*MAX(B73-ref_age,0))+J73*(u_af-dec_per_year_over_70*MAX(B73-ref_age,0)))-AI73-BH73-CG73-DF73</f>
        <v>0.030159512089437</v>
      </c>
      <c r="DS73" s="57" t="n">
        <f aca="false">dt*(G73+H73+I73+J73)</f>
        <v>0.0386051939956005</v>
      </c>
      <c r="DT73" s="19" t="n">
        <f aca="false">DQ73*C73</f>
        <v>114.255169097061</v>
      </c>
      <c r="DU73" s="19" t="n">
        <f aca="false">DN73*C73</f>
        <v>6.06092289024435</v>
      </c>
      <c r="DV73" s="19" t="n">
        <f aca="false">DP73*C73</f>
        <v>54.9757361756045</v>
      </c>
      <c r="DW73" s="19" t="n">
        <f aca="false">DO73*C73</f>
        <v>53.2185100312122</v>
      </c>
      <c r="DX73" s="57" t="n">
        <f aca="false">DR73*C73</f>
        <v>0.0235027187590465</v>
      </c>
      <c r="DY73" s="57" t="n">
        <f aca="false">DS73*C73</f>
        <v>0.0300842737251976</v>
      </c>
      <c r="DZ73" s="57" t="n">
        <f aca="false">T73+AS73+BR73+CQ73</f>
        <v>0.00149861768823681</v>
      </c>
      <c r="EA73" s="57" t="n">
        <f aca="false">U73+AT73+BS73+CR73</f>
        <v>0.00013298868438727</v>
      </c>
      <c r="EB73" s="57" t="n">
        <f aca="false">V73+AU73+BT73+CS73</f>
        <v>0.00113072907594564</v>
      </c>
      <c r="EC73" s="57" t="n">
        <f aca="false">G73*dt*C73</f>
        <v>0.0188449844001286</v>
      </c>
    </row>
    <row r="74" customFormat="false" ht="15" hidden="false" customHeight="false" outlineLevel="0" collapsed="false">
      <c r="A74" s="8" t="n">
        <v>68</v>
      </c>
      <c r="B74" s="54" t="n">
        <f aca="false">start_age+A74*dt</f>
        <v>87</v>
      </c>
      <c r="C74" s="16" t="n">
        <f aca="false">(1+disc_rate)^-(A74*dt)</f>
        <v>0.776385260413805</v>
      </c>
      <c r="D74" s="55" t="n">
        <f aca="false">IF(A74*dt&gt;=wane_start,(1-wane_decay)^(A74*dt-wane_start),1)</f>
        <v>1</v>
      </c>
      <c r="E74" s="25" t="n">
        <f aca="false">MIN(p_nonvasc_death*MIN(EXP(gomp_int+gomp_slope*INT(B74)),1)/qx_ref,0.999)</f>
        <v>0.195444778724258</v>
      </c>
      <c r="F74" s="55" t="n">
        <f aca="false">rr_stroke_per_decade^((B74-ref_age)/10)</f>
        <v>1.992301859915</v>
      </c>
      <c r="G74" s="57" t="n">
        <f aca="false">DH73</f>
        <v>0.0908723747546633</v>
      </c>
      <c r="H74" s="57" t="n">
        <f aca="false">DI73</f>
        <v>0.0104288982230594</v>
      </c>
      <c r="I74" s="57" t="n">
        <f aca="false">DJ73</f>
        <v>0.00550984273932077</v>
      </c>
      <c r="J74" s="57" t="n">
        <f aca="false">DK73</f>
        <v>0.0387792747800839</v>
      </c>
      <c r="K74" s="57" t="n">
        <f aca="false">DL73</f>
        <v>0.854409609502872</v>
      </c>
      <c r="L74" s="57" t="n">
        <f aca="false">1-EXP(LN(1-E74)*dt)</f>
        <v>0.0529149866528664</v>
      </c>
      <c r="M74" s="57" t="n">
        <f aca="false">G74*(1-L74)</f>
        <v>0.086063864257406</v>
      </c>
      <c r="N74" s="57" t="n">
        <f aca="false">IF(Apixaban!$B$2=1,EXP(LN(or_apx_stroke)*D74)*(1-EXP(-r_stroke*F74*dt))/(1-(1-EXP(-r_stroke*F74*dt))+EXP(LN(or_apx_stroke)*D74)*(1-EXP(-r_stroke*F74*dt))),(1-EXP(-r_stroke*F74*dt)))</f>
        <v>0.00633179741760267</v>
      </c>
      <c r="O74" s="57" t="n">
        <f aca="false">IF(Apixaban!$B$2=1,EXP(LN(or_apx_ich)*D74)*(1-EXP(-r_ich*dt))/(1-(1-EXP(-r_ich*dt))+EXP(LN(or_apx_ich)*D74)*(1-EXP(-r_ich*dt))),(1-EXP(-r_ich*dt)))</f>
        <v>0.000843513249640701</v>
      </c>
      <c r="P74" s="57" t="n">
        <f aca="false">IF(Apixaban!$B$2=1,EXP(LN(or_apx_mb)*D74)*(1-EXP(-r_mb*dt))/(1-(1-EXP(-r_mb*dt))+EXP(LN(or_apx_mb)*D74)*(1-EXP(-r_mb*dt))),(1-EXP(-r_mb*dt)))</f>
        <v>0.00669446907979895</v>
      </c>
      <c r="Q74" s="57" t="n">
        <f aca="false">IF(Apixaban!$B$2=1,EXP(LN(or_apx_mi)*D74)*(1-EXP(-r_mi*dt))/(1-(1-EXP(-r_mi*dt))+EXP(LN(or_apx_mi)*D74)*(1-EXP(-r_mi*dt))),(1-EXP(-r_mi*dt)))</f>
        <v>0.00132321915530843</v>
      </c>
      <c r="R74" s="57" t="n">
        <f aca="false">(1-EXP(-r_tia*dt))</f>
        <v>0.0020060281549299</v>
      </c>
      <c r="S74" s="57" t="n">
        <f aca="false">(1-EXP(-r_minor*dt))</f>
        <v>0.0437937690785545</v>
      </c>
      <c r="T74" s="57" t="n">
        <f aca="false">M74*N74</f>
        <v>0.00054493895345395</v>
      </c>
      <c r="U74" s="57" t="n">
        <f aca="false">M74*O74</f>
        <v>7.25960098164007E-005</v>
      </c>
      <c r="V74" s="57" t="n">
        <f aca="false">M74*P74</f>
        <v>0.000576151878159219</v>
      </c>
      <c r="W74" s="57" t="n">
        <f aca="false">M74*Q74</f>
        <v>0.000113881353765264</v>
      </c>
      <c r="X74" s="57" t="n">
        <f aca="false">M74*R74</f>
        <v>0.000172646534822421</v>
      </c>
      <c r="Y74" s="57" t="n">
        <f aca="false">M74*S74</f>
        <v>0.0037690609972969</v>
      </c>
      <c r="Z74" s="57" t="n">
        <f aca="false">T74*f_stroke_fatal</f>
        <v>0.000129150531968586</v>
      </c>
      <c r="AA74" s="57" t="n">
        <f aca="false">T74*(1-f_stroke_fatal)*f_stroke_major</f>
        <v>0.000138457544354626</v>
      </c>
      <c r="AB74" s="57" t="n">
        <f aca="false">T74*(1-f_stroke_fatal)*(1-f_stroke_major)</f>
        <v>0.000277330877130738</v>
      </c>
      <c r="AC74" s="57" t="n">
        <f aca="false">U74*(1-f_bleed_fatal)</f>
        <v>6.6497944991823E-005</v>
      </c>
      <c r="AD74" s="57" t="n">
        <f aca="false">V74*(1-f_bleed_fatal)</f>
        <v>0.000527755120393844</v>
      </c>
      <c r="AE74" s="57" t="n">
        <f aca="false">W74*f_mi_fatal</f>
        <v>1.37796438055969E-005</v>
      </c>
      <c r="AF74" s="57" t="n">
        <f aca="false">W74-AE74</f>
        <v>0.000100101709959667</v>
      </c>
      <c r="AG74" s="57" t="n">
        <f aca="false">M74-T74-U74-V74-AE74</f>
        <v>0.0848563977721708</v>
      </c>
      <c r="AH74" s="19" t="n">
        <f aca="false">Z74*c_stroke_fatal+AA74*c_stroke_major+AB74*c_stroke_minor+U74*c_ich+V74*c_major_bleed+AE74*c_mi_fatal+AF74*c_mi_nonfatal+X74*c_tia+Y74*c_minor_bleed</f>
        <v>28.4971733893267</v>
      </c>
      <c r="AI74" s="57" t="n">
        <f aca="false">dt*(AF74*dec_mi+AD74*dec_major_bleed+Y74*dec_minor_bleed+X74*dec_tia)</f>
        <v>3.19616427181903E-005</v>
      </c>
      <c r="AJ74" s="57" t="n">
        <f aca="false">G74*L74+Z74+U74-AC74+V74-AD74+AE74</f>
        <v>0.00500593549562142</v>
      </c>
      <c r="AK74" s="57" t="n">
        <f aca="false">1-EXP(LN(1-E74)*hr_death_prior_stroke*dt)</f>
        <v>0.11754083463624</v>
      </c>
      <c r="AL74" s="57" t="n">
        <f aca="false">H74*(1-AK74)</f>
        <v>0.00920307682158464</v>
      </c>
      <c r="AM74" s="57" t="n">
        <f aca="false">(1-EXP(-r_stroke*F74*rr_stroke_prior*rr_asa_stroke*dt))</f>
        <v>0.0282259170428888</v>
      </c>
      <c r="AN74" s="57" t="n">
        <f aca="false">(1-EXP(-r_ich*rr_asa_ich*dt))</f>
        <v>0.00102357767802375</v>
      </c>
      <c r="AO74" s="57" t="n">
        <f aca="false">(1-EXP(-r_mb*rr_asa_mb*dt))</f>
        <v>0.00951809672747972</v>
      </c>
      <c r="AP74" s="57" t="n">
        <f aca="false">(1-EXP(-r_mi*rr_asa_mi*dt))</f>
        <v>0.00213413516393479</v>
      </c>
      <c r="AQ74" s="57" t="n">
        <f aca="false">(1-EXP(-r_tia*rr_asa_tia*dt))</f>
        <v>0.00312764565589152</v>
      </c>
      <c r="AR74" s="57" t="n">
        <f aca="false">(1-EXP(-r_minor*rr_asa_minor*dt))</f>
        <v>0.0278181950466747</v>
      </c>
      <c r="AS74" s="57" t="n">
        <f aca="false">AL74*AM74</f>
        <v>0.000259765282905381</v>
      </c>
      <c r="AT74" s="57" t="n">
        <f aca="false">AL74*AN74</f>
        <v>9.42006400371176E-006</v>
      </c>
      <c r="AU74" s="57" t="n">
        <f aca="false">AL74*AO74</f>
        <v>8.75957753782692E-005</v>
      </c>
      <c r="AV74" s="57" t="n">
        <f aca="false">AL74*AP74</f>
        <v>1.9640609861337E-005</v>
      </c>
      <c r="AW74" s="57" t="n">
        <f aca="false">AL74*AQ74</f>
        <v>2.87839632418651E-005</v>
      </c>
      <c r="AX74" s="57" t="n">
        <f aca="false">AL74*AR74</f>
        <v>0.000256012986052373</v>
      </c>
      <c r="AY74" s="57" t="n">
        <f aca="false">AS74*f_stroke_fatal_recur</f>
        <v>9.66560641162631E-005</v>
      </c>
      <c r="AZ74" s="57" t="n">
        <f aca="false">AS74*(1-f_stroke_fatal_recur)*f_stroke_major</f>
        <v>5.43153698567761E-005</v>
      </c>
      <c r="BA74" s="57" t="n">
        <f aca="false">AS74*(1-f_stroke_fatal_recur)*(1-f_stroke_major)</f>
        <v>0.000108793848932341</v>
      </c>
      <c r="BB74" s="57" t="n">
        <f aca="false">AT74*(1-f_bleed_fatal)</f>
        <v>8.62877862739997E-006</v>
      </c>
      <c r="BC74" s="57" t="n">
        <f aca="false">AU74*(1-f_bleed_fatal)</f>
        <v>8.02377302464946E-005</v>
      </c>
      <c r="BD74" s="57" t="n">
        <f aca="false">AV74*f_mi_fatal</f>
        <v>2.37651379322178E-006</v>
      </c>
      <c r="BE74" s="57" t="n">
        <f aca="false">AV74-BD74</f>
        <v>1.72640960681152E-005</v>
      </c>
      <c r="BF74" s="57" t="n">
        <f aca="false">AL74-AS74-AT74-AU74-BD74</f>
        <v>0.00884391918550405</v>
      </c>
      <c r="BG74" s="19" t="n">
        <f aca="false">AY74*c_stroke_fatal+AZ74*c_stroke_major+BA74*c_stroke_minor+AT74*c_ich+AU74*c_major_bleed+BD74*c_mi_fatal+BE74*c_mi_nonfatal+AW74*c_tia+AX74*c_minor_bleed</f>
        <v>10.1958362226605</v>
      </c>
      <c r="BH74" s="57" t="n">
        <f aca="false">dt*(BE74*dec_mi+BC74*dec_major_bleed+AX74*dec_minor_bleed+AW74*dec_tia)</f>
        <v>3.95820005594621E-006</v>
      </c>
      <c r="BI74" s="57" t="n">
        <f aca="false">H74*AK74+AY74+AT74-BB74+AU74-BC74+BD74</f>
        <v>0.00133300330989238</v>
      </c>
      <c r="BJ74" s="57" t="n">
        <f aca="false">1-EXP(LN(1-E74)*hr_death_prior_stroke*dt)</f>
        <v>0.11754083463624</v>
      </c>
      <c r="BK74" s="57" t="n">
        <f aca="false">I74*(1-BJ74)</f>
        <v>0.00486221122502658</v>
      </c>
      <c r="BL74" s="57" t="n">
        <f aca="false">(1-EXP(-r_stroke*F74*rr_stroke_prior*rr_asa_stroke*dt))</f>
        <v>0.0282259170428888</v>
      </c>
      <c r="BM74" s="57" t="n">
        <f aca="false">(1-EXP(-r_ich*rr_asa_ich*dt))</f>
        <v>0.00102357767802375</v>
      </c>
      <c r="BN74" s="57" t="n">
        <f aca="false">(1-EXP(-r_mb*rr_asa_mb*dt))</f>
        <v>0.00951809672747972</v>
      </c>
      <c r="BO74" s="57" t="n">
        <f aca="false">(1-EXP(-r_mi*rr_asa_mi*dt))</f>
        <v>0.00213413516393479</v>
      </c>
      <c r="BP74" s="57" t="n">
        <f aca="false">(1-EXP(-r_tia*rr_asa_tia*dt))</f>
        <v>0.00312764565589152</v>
      </c>
      <c r="BQ74" s="57" t="n">
        <f aca="false">(1-EXP(-r_minor*rr_asa_minor*dt))</f>
        <v>0.0278181950466747</v>
      </c>
      <c r="BR74" s="57" t="n">
        <f aca="false">BK74*BL74</f>
        <v>0.000137240370682603</v>
      </c>
      <c r="BS74" s="57" t="n">
        <f aca="false">BK74*BM74</f>
        <v>4.9768508757737E-006</v>
      </c>
      <c r="BT74" s="57" t="n">
        <f aca="false">BK74*BN74</f>
        <v>4.62789967492407E-005</v>
      </c>
      <c r="BU74" s="57" t="n">
        <f aca="false">BK74*BO74</f>
        <v>1.03766159498077E-005</v>
      </c>
      <c r="BV74" s="57" t="n">
        <f aca="false">BK74*BP74</f>
        <v>1.52072738159814E-005</v>
      </c>
      <c r="BW74" s="57" t="n">
        <f aca="false">BK74*BQ74</f>
        <v>0.000135257940215921</v>
      </c>
      <c r="BX74" s="57" t="n">
        <f aca="false">BR74*f_stroke_fatal_recur</f>
        <v>5.10657695272898E-005</v>
      </c>
      <c r="BY74" s="57" t="n">
        <f aca="false">BR74*(1-f_stroke_fatal_recur)*f_stroke_major</f>
        <v>2.86961421847193E-005</v>
      </c>
      <c r="BZ74" s="57" t="n">
        <f aca="false">BR74*(1-f_stroke_fatal_recur)*(1-f_stroke_major)</f>
        <v>5.74784589705939E-005</v>
      </c>
      <c r="CA74" s="57" t="n">
        <f aca="false">BS74*(1-f_bleed_fatal)</f>
        <v>4.55879540220871E-006</v>
      </c>
      <c r="CB74" s="57" t="n">
        <f aca="false">BT74*(1-f_bleed_fatal)</f>
        <v>4.23915610223045E-005</v>
      </c>
      <c r="CC74" s="57" t="n">
        <f aca="false">BU74*f_mi_fatal</f>
        <v>1.25557052992673E-006</v>
      </c>
      <c r="CD74" s="57" t="n">
        <f aca="false">BU74-CC74</f>
        <v>9.12104541988096E-006</v>
      </c>
      <c r="CE74" s="57" t="n">
        <f aca="false">BK74-BR74-BS74-BT74-CC74</f>
        <v>0.00467245943618904</v>
      </c>
      <c r="CF74" s="19" t="n">
        <f aca="false">BX74*c_stroke_fatal+BY74*c_stroke_major+BZ74*c_stroke_minor+BS74*c_ich+BT74*c_major_bleed+CC74*c_mi_fatal+CD74*c_mi_nonfatal+BV74*c_tia+BW74*c_minor_bleed</f>
        <v>5.38671036778506</v>
      </c>
      <c r="CG74" s="57" t="n">
        <f aca="false">dt*(CD74*dec_mi+CB74*dec_major_bleed+BW74*dec_minor_bleed+BV74*dec_tia)</f>
        <v>2.09121417934754E-006</v>
      </c>
      <c r="CH74" s="57" t="n">
        <f aca="false">I74*BJ74+BX74+BS74-CA74+BT74-CB74+CC74</f>
        <v>0.000704258345551909</v>
      </c>
      <c r="CI74" s="57" t="n">
        <f aca="false">1-EXP(LN(1-E74)*dt)</f>
        <v>0.0529149866528664</v>
      </c>
      <c r="CJ74" s="57" t="n">
        <f aca="false">J74*(1-CI74)</f>
        <v>0.0367272699726879</v>
      </c>
      <c r="CK74" s="57" t="n">
        <f aca="false">(1-EXP(-r_stroke*F74*rr_asa_stroke*dt))</f>
        <v>0.0129301894756496</v>
      </c>
      <c r="CL74" s="57" t="n">
        <f aca="false">(1-EXP(-r_ich*rr_asa_ich*dt))</f>
        <v>0.00102357767802375</v>
      </c>
      <c r="CM74" s="57" t="n">
        <f aca="false">(1-EXP(-r_mb*rr_asa_mb*dt))</f>
        <v>0.00951809672747972</v>
      </c>
      <c r="CN74" s="57" t="n">
        <f aca="false">(1-EXP(-r_mi*rr_asa_mi*dt))</f>
        <v>0.00213413516393479</v>
      </c>
      <c r="CO74" s="57" t="n">
        <f aca="false">(1-EXP(-r_tia*rr_asa_tia*dt))</f>
        <v>0.00312764565589152</v>
      </c>
      <c r="CP74" s="57" t="n">
        <f aca="false">(1-EXP(-r_minor*rr_asa_minor*dt))</f>
        <v>0.0278181950466747</v>
      </c>
      <c r="CQ74" s="57" t="n">
        <f aca="false">CJ74*CK74</f>
        <v>0.000474890559670192</v>
      </c>
      <c r="CR74" s="57" t="n">
        <f aca="false">CJ74*CL74</f>
        <v>3.75932137187952E-005</v>
      </c>
      <c r="CS74" s="57" t="n">
        <f aca="false">CJ74*CM74</f>
        <v>0.000349573708136305</v>
      </c>
      <c r="CT74" s="57" t="n">
        <f aca="false">CJ74*CN74</f>
        <v>7.83809583240397E-005</v>
      </c>
      <c r="CU74" s="57" t="n">
        <f aca="false">CJ74*CO74</f>
        <v>0.000114869886382833</v>
      </c>
      <c r="CV74" s="57" t="n">
        <f aca="false">CJ74*CP74</f>
        <v>0.00102168635963211</v>
      </c>
      <c r="CW74" s="57" t="n">
        <f aca="false">CQ74*f_stroke_fatal</f>
        <v>0.000112549062641835</v>
      </c>
      <c r="CX74" s="57" t="n">
        <f aca="false">CQ74*(1-f_stroke_fatal)*f_stroke_major</f>
        <v>0.000120659718510443</v>
      </c>
      <c r="CY74" s="57" t="n">
        <f aca="false">CQ74*(1-f_stroke_fatal)*(1-f_stroke_major)</f>
        <v>0.000241681778517914</v>
      </c>
      <c r="CZ74" s="57" t="n">
        <f aca="false">CR74*(1-f_bleed_fatal)</f>
        <v>3.44353837664164E-005</v>
      </c>
      <c r="DA74" s="57" t="n">
        <f aca="false">CS74*(1-f_bleed_fatal)</f>
        <v>0.000320209516652856</v>
      </c>
      <c r="DB74" s="57" t="n">
        <f aca="false">CT74*f_mi_fatal</f>
        <v>9.48409595720881E-006</v>
      </c>
      <c r="DC74" s="57" t="n">
        <f aca="false">CT74-DB74</f>
        <v>6.88968623668309E-005</v>
      </c>
      <c r="DD74" s="57" t="n">
        <f aca="false">CJ74-CQ74-CR74-CS74-DB74</f>
        <v>0.0358557283952054</v>
      </c>
      <c r="DE74" s="19" t="n">
        <f aca="false">CW74*c_stroke_fatal+CX74*c_stroke_major+CY74*c_stroke_minor+CR74*c_ich+CS74*c_major_bleed+DB74*c_mi_fatal+DC74*c_mi_nonfatal+CU74*c_tia+CV74*c_minor_bleed</f>
        <v>22.4917112016487</v>
      </c>
      <c r="DF74" s="57" t="n">
        <f aca="false">dt*(DC74*dec_mi+DA74*dec_major_bleed+CV74*dec_minor_bleed+CU74*dec_tia)</f>
        <v>1.57962260751415E-005</v>
      </c>
      <c r="DG74" s="57" t="n">
        <f aca="false">J74*CI74+CW74+CR74-CZ74+CS74-DA74+DB74</f>
        <v>0.00220655998743085</v>
      </c>
      <c r="DH74" s="57" t="n">
        <f aca="false">AG74</f>
        <v>0.0848563977721708</v>
      </c>
      <c r="DI74" s="57" t="n">
        <f aca="false">AB74+AC74+BF74+BA74+BB74+BC74+CY74+CZ74</f>
        <v>0.00966152552771718</v>
      </c>
      <c r="DJ74" s="57" t="n">
        <f aca="false">AA74+AZ74+BY74+CX74+CE74+BZ74+CA74+CB74</f>
        <v>0.00511901702649071</v>
      </c>
      <c r="DK74" s="57" t="n">
        <f aca="false">AD74+DD74+DA74</f>
        <v>0.0367036930322521</v>
      </c>
      <c r="DL74" s="57" t="n">
        <f aca="false">K74+AJ74+BI74+CH74+DG74</f>
        <v>0.863659366641369</v>
      </c>
      <c r="DM74" s="58" t="n">
        <f aca="false">SUM(DH74:DL74)</f>
        <v>1</v>
      </c>
      <c r="DN74" s="19" t="n">
        <f aca="false">dt*(G74*Apixaban!$H$2+(H74+I74+J74)*c_aspirin)</f>
        <v>7.31167757596699</v>
      </c>
      <c r="DO74" s="19" t="n">
        <f aca="false">dt*(H74*c_lt_minor_stroke+I74*c_lt_major_stroke)</f>
        <v>64.164598188149</v>
      </c>
      <c r="DP74" s="19" t="n">
        <f aca="false">AH74+BG74+CF74+DE74</f>
        <v>66.5714311814209</v>
      </c>
      <c r="DQ74" s="19" t="n">
        <f aca="false">DN74+DO74+DP74</f>
        <v>138.047706945537</v>
      </c>
      <c r="DR74" s="57" t="n">
        <f aca="false">dt*(G74*(u_af-dec_per_year_over_70*MAX(B74-ref_age,0))+H74*(u_minor_stroke-dec_per_year_over_70*MAX(B74-ref_age,0))+I74*(u_major_stroke-dec_per_year_over_70*MAX(B74-ref_age,0))+J74*(u_af-dec_per_year_over_70*MAX(B74-ref_age,0)))-AI74-BH74-CG74-DF74</f>
        <v>0.0284347734320681</v>
      </c>
      <c r="DS74" s="57" t="n">
        <f aca="false">dt*(G74+H74+I74+J74)</f>
        <v>0.0363975976242819</v>
      </c>
      <c r="DT74" s="19" t="n">
        <f aca="false">DQ74*C74</f>
        <v>107.178204906439</v>
      </c>
      <c r="DU74" s="19" t="n">
        <f aca="false">DN74*C74</f>
        <v>5.67667869887891</v>
      </c>
      <c r="DV74" s="19" t="n">
        <f aca="false">DP74*C74</f>
        <v>51.6850779339072</v>
      </c>
      <c r="DW74" s="19" t="n">
        <f aca="false">DO74*C74</f>
        <v>49.8164482736532</v>
      </c>
      <c r="DX74" s="57" t="n">
        <f aca="false">DR74*C74</f>
        <v>0.0220763389758638</v>
      </c>
      <c r="DY74" s="57" t="n">
        <f aca="false">DS74*C74</f>
        <v>0.0282585583099649</v>
      </c>
      <c r="DZ74" s="57" t="n">
        <f aca="false">T74+AS74+BR74+CQ74</f>
        <v>0.00141683516671213</v>
      </c>
      <c r="EA74" s="57" t="n">
        <f aca="false">U74+AT74+BS74+CR74</f>
        <v>0.000124586138414681</v>
      </c>
      <c r="EB74" s="57" t="n">
        <f aca="false">V74+AU74+BT74+CS74</f>
        <v>0.00105960035842303</v>
      </c>
      <c r="EC74" s="57" t="n">
        <f aca="false">G74*dt*C74</f>
        <v>0.01763799308458</v>
      </c>
    </row>
    <row r="75" customFormat="false" ht="15" hidden="false" customHeight="false" outlineLevel="0" collapsed="false">
      <c r="A75" s="8" t="n">
        <v>69</v>
      </c>
      <c r="B75" s="54" t="n">
        <f aca="false">start_age+A75*dt</f>
        <v>87.25</v>
      </c>
      <c r="C75" s="16" t="n">
        <f aca="false">(1+disc_rate)^-(A75*dt)</f>
        <v>0.773500807110403</v>
      </c>
      <c r="D75" s="55" t="n">
        <f aca="false">IF(A75*dt&gt;=wane_start,(1-wane_decay)^(A75*dt-wane_start),1)</f>
        <v>1</v>
      </c>
      <c r="E75" s="25" t="n">
        <f aca="false">MIN(p_nonvasc_death*MIN(EXP(gomp_int+gomp_slope*INT(B75)),1)/qx_ref,0.999)</f>
        <v>0.195444778724258</v>
      </c>
      <c r="F75" s="55" t="n">
        <f aca="false">rr_stroke_per_decade^((B75-ref_age)/10)</f>
        <v>2.0125997845904</v>
      </c>
      <c r="G75" s="57" t="n">
        <f aca="false">DH74</f>
        <v>0.0848563977721708</v>
      </c>
      <c r="H75" s="57" t="n">
        <f aca="false">DI74</f>
        <v>0.00966152552771718</v>
      </c>
      <c r="I75" s="57" t="n">
        <f aca="false">DJ74</f>
        <v>0.00511901702649071</v>
      </c>
      <c r="J75" s="57" t="n">
        <f aca="false">DK74</f>
        <v>0.0367036930322521</v>
      </c>
      <c r="K75" s="57" t="n">
        <f aca="false">DL74</f>
        <v>0.863659366641369</v>
      </c>
      <c r="L75" s="57" t="n">
        <f aca="false">1-EXP(LN(1-E75)*dt)</f>
        <v>0.0529149866528664</v>
      </c>
      <c r="M75" s="57" t="n">
        <f aca="false">G75*(1-L75)</f>
        <v>0.0803662226166461</v>
      </c>
      <c r="N75" s="57" t="n">
        <f aca="false">IF(Apixaban!$B$2=1,EXP(LN(or_apx_stroke)*D75)*(1-EXP(-r_stroke*F75*dt))/(1-(1-EXP(-r_stroke*F75*dt))+EXP(LN(or_apx_stroke)*D75)*(1-EXP(-r_stroke*F75*dt))),(1-EXP(-r_stroke*F75*dt)))</f>
        <v>0.00639615472435028</v>
      </c>
      <c r="O75" s="57" t="n">
        <f aca="false">IF(Apixaban!$B$2=1,EXP(LN(or_apx_ich)*D75)*(1-EXP(-r_ich*dt))/(1-(1-EXP(-r_ich*dt))+EXP(LN(or_apx_ich)*D75)*(1-EXP(-r_ich*dt))),(1-EXP(-r_ich*dt)))</f>
        <v>0.000843513249640701</v>
      </c>
      <c r="P75" s="57" t="n">
        <f aca="false">IF(Apixaban!$B$2=1,EXP(LN(or_apx_mb)*D75)*(1-EXP(-r_mb*dt))/(1-(1-EXP(-r_mb*dt))+EXP(LN(or_apx_mb)*D75)*(1-EXP(-r_mb*dt))),(1-EXP(-r_mb*dt)))</f>
        <v>0.00669446907979895</v>
      </c>
      <c r="Q75" s="57" t="n">
        <f aca="false">IF(Apixaban!$B$2=1,EXP(LN(or_apx_mi)*D75)*(1-EXP(-r_mi*dt))/(1-(1-EXP(-r_mi*dt))+EXP(LN(or_apx_mi)*D75)*(1-EXP(-r_mi*dt))),(1-EXP(-r_mi*dt)))</f>
        <v>0.00132321915530843</v>
      </c>
      <c r="R75" s="57" t="n">
        <f aca="false">(1-EXP(-r_tia*dt))</f>
        <v>0.0020060281549299</v>
      </c>
      <c r="S75" s="57" t="n">
        <f aca="false">(1-EXP(-r_minor*dt))</f>
        <v>0.0437937690785545</v>
      </c>
      <c r="T75" s="57" t="n">
        <f aca="false">M75*N75</f>
        <v>0.000514034794467647</v>
      </c>
      <c r="U75" s="57" t="n">
        <f aca="false">M75*O75</f>
        <v>6.77899736007151E-005</v>
      </c>
      <c r="V75" s="57" t="n">
        <f aca="false">M75*P75</f>
        <v>0.000538009192367377</v>
      </c>
      <c r="W75" s="57" t="n">
        <f aca="false">M75*Q75</f>
        <v>0.000106342125206128</v>
      </c>
      <c r="X75" s="57" t="n">
        <f aca="false">M75*R75</f>
        <v>0.000161216905274356</v>
      </c>
      <c r="Y75" s="57" t="n">
        <f aca="false">M75*S75</f>
        <v>0.0035195397949891</v>
      </c>
      <c r="Z75" s="57" t="n">
        <f aca="false">T75*f_stroke_fatal</f>
        <v>0.000121826246288832</v>
      </c>
      <c r="AA75" s="57" t="n">
        <f aca="false">T75*(1-f_stroke_fatal)*f_stroke_major</f>
        <v>0.000130605446543545</v>
      </c>
      <c r="AB75" s="57" t="n">
        <f aca="false">T75*(1-f_stroke_fatal)*(1-f_stroke_major)</f>
        <v>0.00026160310163527</v>
      </c>
      <c r="AC75" s="57" t="n">
        <f aca="false">U75*(1-f_bleed_fatal)</f>
        <v>6.20956158182551E-005</v>
      </c>
      <c r="AD75" s="57" t="n">
        <f aca="false">V75*(1-f_bleed_fatal)</f>
        <v>0.000492816420208517</v>
      </c>
      <c r="AE75" s="57" t="n">
        <f aca="false">W75*f_mi_fatal</f>
        <v>1.28673971499414E-005</v>
      </c>
      <c r="AF75" s="57" t="n">
        <f aca="false">W75-AE75</f>
        <v>9.34747280561861E-005</v>
      </c>
      <c r="AG75" s="57" t="n">
        <f aca="false">M75-T75-U75-V75-AE75</f>
        <v>0.0792335212590604</v>
      </c>
      <c r="AH75" s="19" t="n">
        <f aca="false">Z75*c_stroke_fatal+AA75*c_stroke_major+AB75*c_stroke_minor+U75*c_ich+V75*c_major_bleed+AE75*c_mi_fatal+AF75*c_mi_nonfatal+X75*c_tia+Y75*c_minor_bleed</f>
        <v>26.8016885326773</v>
      </c>
      <c r="AI75" s="57" t="n">
        <f aca="false">dt*(AF75*dec_mi+AD75*dec_major_bleed+Y75*dec_minor_bleed+X75*dec_tia)</f>
        <v>2.98457025610809E-005</v>
      </c>
      <c r="AJ75" s="57" t="n">
        <f aca="false">G75*L75+Z75+U75-AC75+V75-AD75+AE75</f>
        <v>0.00467575592890484</v>
      </c>
      <c r="AK75" s="57" t="n">
        <f aca="false">1-EXP(LN(1-E75)*hr_death_prior_stroke*dt)</f>
        <v>0.11754083463624</v>
      </c>
      <c r="AL75" s="57" t="n">
        <f aca="false">H75*(1-AK75)</f>
        <v>0.00852590175332996</v>
      </c>
      <c r="AM75" s="57" t="n">
        <f aca="false">(1-EXP(-r_stroke*F75*rr_stroke_prior*rr_asa_stroke*dt))</f>
        <v>0.0285093491443379</v>
      </c>
      <c r="AN75" s="57" t="n">
        <f aca="false">(1-EXP(-r_ich*rr_asa_ich*dt))</f>
        <v>0.00102357767802375</v>
      </c>
      <c r="AO75" s="57" t="n">
        <f aca="false">(1-EXP(-r_mb*rr_asa_mb*dt))</f>
        <v>0.00951809672747972</v>
      </c>
      <c r="AP75" s="57" t="n">
        <f aca="false">(1-EXP(-r_mi*rr_asa_mi*dt))</f>
        <v>0.00213413516393479</v>
      </c>
      <c r="AQ75" s="57" t="n">
        <f aca="false">(1-EXP(-r_tia*rr_asa_tia*dt))</f>
        <v>0.00312764565589152</v>
      </c>
      <c r="AR75" s="57" t="n">
        <f aca="false">(1-EXP(-r_minor*rr_asa_minor*dt))</f>
        <v>0.0278181950466747</v>
      </c>
      <c r="AS75" s="57" t="n">
        <f aca="false">AL75*AM75</f>
        <v>0.000243067909856006</v>
      </c>
      <c r="AT75" s="57" t="n">
        <f aca="false">AL75*AN75</f>
        <v>8.72692271973207E-006</v>
      </c>
      <c r="AU75" s="57" t="n">
        <f aca="false">AL75*AO75</f>
        <v>8.11503575771835E-005</v>
      </c>
      <c r="AV75" s="57" t="n">
        <f aca="false">AL75*AP75</f>
        <v>1.81954267360348E-005</v>
      </c>
      <c r="AW75" s="57" t="n">
        <f aca="false">AL75*AQ75</f>
        <v>2.66659995813603E-005</v>
      </c>
      <c r="AX75" s="57" t="n">
        <f aca="false">AL75*AR75</f>
        <v>0.000237175197922919</v>
      </c>
      <c r="AY75" s="57" t="n">
        <f aca="false">AS75*f_stroke_fatal_recur</f>
        <v>9.04431385783214E-005</v>
      </c>
      <c r="AZ75" s="57" t="n">
        <f aca="false">AS75*(1-f_stroke_fatal_recur)*f_stroke_major</f>
        <v>5.08240488354691E-005</v>
      </c>
      <c r="BA75" s="57" t="n">
        <f aca="false">AS75*(1-f_stroke_fatal_recur)*(1-f_stroke_major)</f>
        <v>0.000101800722442216</v>
      </c>
      <c r="BB75" s="57" t="n">
        <f aca="false">AT75*(1-f_bleed_fatal)</f>
        <v>7.99386121127457E-006</v>
      </c>
      <c r="BC75" s="57" t="n">
        <f aca="false">AU75*(1-f_bleed_fatal)</f>
        <v>7.43337275407001E-005</v>
      </c>
      <c r="BD75" s="57" t="n">
        <f aca="false">AV75*f_mi_fatal</f>
        <v>2.20164663506021E-006</v>
      </c>
      <c r="BE75" s="57" t="n">
        <f aca="false">AV75-BD75</f>
        <v>1.59937801009746E-005</v>
      </c>
      <c r="BF75" s="57" t="n">
        <f aca="false">AL75-AS75-AT75-AU75-BD75</f>
        <v>0.00819075491654198</v>
      </c>
      <c r="BG75" s="19" t="n">
        <f aca="false">AY75*c_stroke_fatal+AZ75*c_stroke_major+BA75*c_stroke_minor+AT75*c_ich+AU75*c_major_bleed+BD75*c_mi_fatal+BE75*c_mi_nonfatal+AW75*c_tia+AX75*c_minor_bleed</f>
        <v>9.52893264995385</v>
      </c>
      <c r="BH75" s="57" t="n">
        <f aca="false">dt*(BE75*dec_mi+BC75*dec_major_bleed+AX75*dec_minor_bleed+AW75*dec_tia)</f>
        <v>3.66695024406107E-006</v>
      </c>
      <c r="BI75" s="57" t="n">
        <f aca="false">H75*AK75+AY75+AT75-BB75+AU75-BC75+BD75</f>
        <v>0.00123581825114554</v>
      </c>
      <c r="BJ75" s="57" t="n">
        <f aca="false">1-EXP(LN(1-E75)*hr_death_prior_stroke*dt)</f>
        <v>0.11754083463624</v>
      </c>
      <c r="BK75" s="57" t="n">
        <f aca="false">I75*(1-BJ75)</f>
        <v>0.00451732349267987</v>
      </c>
      <c r="BL75" s="57" t="n">
        <f aca="false">(1-EXP(-r_stroke*F75*rr_stroke_prior*rr_asa_stroke*dt))</f>
        <v>0.0285093491443379</v>
      </c>
      <c r="BM75" s="57" t="n">
        <f aca="false">(1-EXP(-r_ich*rr_asa_ich*dt))</f>
        <v>0.00102357767802375</v>
      </c>
      <c r="BN75" s="57" t="n">
        <f aca="false">(1-EXP(-r_mb*rr_asa_mb*dt))</f>
        <v>0.00951809672747972</v>
      </c>
      <c r="BO75" s="57" t="n">
        <f aca="false">(1-EXP(-r_mi*rr_asa_mi*dt))</f>
        <v>0.00213413516393479</v>
      </c>
      <c r="BP75" s="57" t="n">
        <f aca="false">(1-EXP(-r_tia*rr_asa_tia*dt))</f>
        <v>0.00312764565589152</v>
      </c>
      <c r="BQ75" s="57" t="n">
        <f aca="false">(1-EXP(-r_minor*rr_asa_minor*dt))</f>
        <v>0.0278181950466747</v>
      </c>
      <c r="BR75" s="57" t="n">
        <f aca="false">BK75*BL75</f>
        <v>0.00012878595265073</v>
      </c>
      <c r="BS75" s="57" t="n">
        <f aca="false">BK75*BM75</f>
        <v>4.62383149151938E-006</v>
      </c>
      <c r="BT75" s="57" t="n">
        <f aca="false">BK75*BN75</f>
        <v>4.29963219526435E-005</v>
      </c>
      <c r="BU75" s="57" t="n">
        <f aca="false">BK75*BO75</f>
        <v>9.64057891259683E-006</v>
      </c>
      <c r="BV75" s="57" t="n">
        <f aca="false">BK75*BP75</f>
        <v>1.41285871981369E-005</v>
      </c>
      <c r="BW75" s="57" t="n">
        <f aca="false">BK75*BQ75</f>
        <v>0.000125663786008294</v>
      </c>
      <c r="BX75" s="57" t="n">
        <f aca="false">BR75*f_stroke_fatal_recur</f>
        <v>4.79199651218102E-005</v>
      </c>
      <c r="BY75" s="57" t="n">
        <f aca="false">BR75*(1-f_stroke_fatal_recur)*f_stroke_major</f>
        <v>2.69283738471304E-005</v>
      </c>
      <c r="BZ75" s="57" t="n">
        <f aca="false">BR75*(1-f_stroke_fatal_recur)*(1-f_stroke_major)</f>
        <v>5.39376136817896E-005</v>
      </c>
      <c r="CA75" s="57" t="n">
        <f aca="false">BS75*(1-f_bleed_fatal)</f>
        <v>4.23542964623175E-006</v>
      </c>
      <c r="CB75" s="57" t="n">
        <f aca="false">BT75*(1-f_bleed_fatal)</f>
        <v>3.93846309086214E-005</v>
      </c>
      <c r="CC75" s="57" t="n">
        <f aca="false">BU75*f_mi_fatal</f>
        <v>1.16651004842422E-006</v>
      </c>
      <c r="CD75" s="57" t="n">
        <f aca="false">BU75-CC75</f>
        <v>8.47406886417262E-006</v>
      </c>
      <c r="CE75" s="57" t="n">
        <f aca="false">BK75-BR75-BS75-BT75-CC75</f>
        <v>0.00433975087653655</v>
      </c>
      <c r="CF75" s="19" t="n">
        <f aca="false">BX75*c_stroke_fatal+BY75*c_stroke_major+BZ75*c_stroke_minor+BS75*c_ich+BT75*c_major_bleed+CC75*c_mi_fatal+CD75*c_mi_nonfatal+BV75*c_tia+BW75*c_minor_bleed</f>
        <v>5.04876464275331</v>
      </c>
      <c r="CG75" s="57" t="n">
        <f aca="false">dt*(CD75*dec_mi+CB75*dec_major_bleed+BW75*dec_minor_bleed+BV75*dec_tia)</f>
        <v>1.94287958778267E-006</v>
      </c>
      <c r="CH75" s="57" t="n">
        <f aca="false">I75*BJ75+BX75+BS75-CA75+BT75-CB75+CC75</f>
        <v>0.000654780101870386</v>
      </c>
      <c r="CI75" s="57" t="n">
        <f aca="false">1-EXP(LN(1-E75)*dt)</f>
        <v>0.0529149866528664</v>
      </c>
      <c r="CJ75" s="57" t="n">
        <f aca="false">J75*(1-CI75)</f>
        <v>0.0347615176053396</v>
      </c>
      <c r="CK75" s="57" t="n">
        <f aca="false">(1-EXP(-r_stroke*F75*rr_asa_stroke*dt))</f>
        <v>0.0130610604882095</v>
      </c>
      <c r="CL75" s="57" t="n">
        <f aca="false">(1-EXP(-r_ich*rr_asa_ich*dt))</f>
        <v>0.00102357767802375</v>
      </c>
      <c r="CM75" s="57" t="n">
        <f aca="false">(1-EXP(-r_mb*rr_asa_mb*dt))</f>
        <v>0.00951809672747972</v>
      </c>
      <c r="CN75" s="57" t="n">
        <f aca="false">(1-EXP(-r_mi*rr_asa_mi*dt))</f>
        <v>0.00213413516393479</v>
      </c>
      <c r="CO75" s="57" t="n">
        <f aca="false">(1-EXP(-r_tia*rr_asa_tia*dt))</f>
        <v>0.00312764565589152</v>
      </c>
      <c r="CP75" s="57" t="n">
        <f aca="false">(1-EXP(-r_minor*rr_asa_minor*dt))</f>
        <v>0.0278181950466747</v>
      </c>
      <c r="CQ75" s="57" t="n">
        <f aca="false">CJ75*CK75</f>
        <v>0.000454022284105302</v>
      </c>
      <c r="CR75" s="57" t="n">
        <f aca="false">CJ75*CL75</f>
        <v>3.55811134750551E-005</v>
      </c>
      <c r="CS75" s="57" t="n">
        <f aca="false">CJ75*CM75</f>
        <v>0.000330863486961612</v>
      </c>
      <c r="CT75" s="57" t="n">
        <f aca="false">CJ75*CN75</f>
        <v>7.41857770732936E-005</v>
      </c>
      <c r="CU75" s="57" t="n">
        <f aca="false">CJ75*CO75</f>
        <v>0.000108721709530537</v>
      </c>
      <c r="CV75" s="57" t="n">
        <f aca="false">CJ75*CP75</f>
        <v>0.000967002676863754</v>
      </c>
      <c r="CW75" s="57" t="n">
        <f aca="false">CQ75*f_stroke_fatal</f>
        <v>0.000107603281332956</v>
      </c>
      <c r="CX75" s="57" t="n">
        <f aca="false">CQ75*(1-f_stroke_fatal)*f_stroke_major</f>
        <v>0.000115357527923191</v>
      </c>
      <c r="CY75" s="57" t="n">
        <f aca="false">CQ75*(1-f_stroke_fatal)*(1-f_stroke_major)</f>
        <v>0.000231061474849154</v>
      </c>
      <c r="CZ75" s="57" t="n">
        <f aca="false">CR75*(1-f_bleed_fatal)</f>
        <v>3.25922999431505E-005</v>
      </c>
      <c r="DA75" s="57" t="n">
        <f aca="false">CS75*(1-f_bleed_fatal)</f>
        <v>0.000303070954056836</v>
      </c>
      <c r="DB75" s="57" t="n">
        <f aca="false">CT75*f_mi_fatal</f>
        <v>8.97647902586852E-006</v>
      </c>
      <c r="DC75" s="57" t="n">
        <f aca="false">CT75-DB75</f>
        <v>6.52092980474251E-005</v>
      </c>
      <c r="DD75" s="57" t="n">
        <f aca="false">CJ75-CQ75-CR75-CS75-DB75</f>
        <v>0.0339320742417718</v>
      </c>
      <c r="DE75" s="19" t="n">
        <f aca="false">CW75*c_stroke_fatal+CX75*c_stroke_major+CY75*c_stroke_minor+CR75*c_ich+CS75*c_major_bleed+DB75*c_mi_fatal+DC75*c_mi_nonfatal+CU75*c_tia+CV75*c_minor_bleed</f>
        <v>21.4559730747434</v>
      </c>
      <c r="DF75" s="57" t="n">
        <f aca="false">dt*(DC75*dec_mi+DA75*dec_major_bleed+CV75*dec_minor_bleed+CU75*dec_tia)</f>
        <v>1.49507652275078E-005</v>
      </c>
      <c r="DG75" s="57" t="n">
        <f aca="false">J75*CI75+CW75+CR75-CZ75+CS75-DA75+DB75</f>
        <v>0.00208953653370803</v>
      </c>
      <c r="DH75" s="57" t="n">
        <f aca="false">AG75</f>
        <v>0.0792335212590604</v>
      </c>
      <c r="DI75" s="57" t="n">
        <f aca="false">AB75+AC75+BF75+BA75+BB75+BC75+CY75+CZ75</f>
        <v>0.008962235719982</v>
      </c>
      <c r="DJ75" s="57" t="n">
        <f aca="false">AA75+AZ75+BY75+CX75+CE75+BZ75+CA75+CB75</f>
        <v>0.00476102394792253</v>
      </c>
      <c r="DK75" s="57" t="n">
        <f aca="false">AD75+DD75+DA75</f>
        <v>0.0347279616160371</v>
      </c>
      <c r="DL75" s="57" t="n">
        <f aca="false">K75+AJ75+BI75+CH75+DG75</f>
        <v>0.872315257456998</v>
      </c>
      <c r="DM75" s="58" t="n">
        <f aca="false">SUM(DH75:DL75)</f>
        <v>1</v>
      </c>
      <c r="DN75" s="19" t="n">
        <f aca="false">dt*(G75*Apixaban!$H$2+(H75+I75+J75)*c_aspirin)</f>
        <v>6.83141995358333</v>
      </c>
      <c r="DO75" s="19" t="n">
        <f aca="false">dt*(H75*c_lt_minor_stroke+I75*c_lt_major_stroke)</f>
        <v>59.5385712102377</v>
      </c>
      <c r="DP75" s="19" t="n">
        <f aca="false">AH75+BG75+CF75+DE75</f>
        <v>62.8353589001278</v>
      </c>
      <c r="DQ75" s="19" t="n">
        <f aca="false">DN75+DO75+DP75</f>
        <v>129.205350063949</v>
      </c>
      <c r="DR75" s="57" t="n">
        <f aca="false">dt*(G75*(u_af-dec_per_year_over_70*MAX(B75-ref_age,0))+H75*(u_minor_stroke-dec_per_year_over_70*MAX(B75-ref_age,0))+I75*(u_major_stroke-dec_per_year_over_70*MAX(B75-ref_age,0))+J75*(u_af-dec_per_year_over_70*MAX(B75-ref_age,0)))-AI75-BH75-CG75-DF75</f>
        <v>0.0266321833878808</v>
      </c>
      <c r="DS75" s="57" t="n">
        <f aca="false">dt*(G75+H75+I75+J75)</f>
        <v>0.0340851583396577</v>
      </c>
      <c r="DT75" s="19" t="n">
        <f aca="false">DQ75*C75</f>
        <v>99.9404425574466</v>
      </c>
      <c r="DU75" s="19" t="n">
        <f aca="false">DN75*C75</f>
        <v>5.28410884780682</v>
      </c>
      <c r="DV75" s="19" t="n">
        <f aca="false">DP75*C75</f>
        <v>48.6032008243207</v>
      </c>
      <c r="DW75" s="19" t="n">
        <f aca="false">DO75*C75</f>
        <v>46.0531328853191</v>
      </c>
      <c r="DX75" s="57" t="n">
        <f aca="false">DR75*C75</f>
        <v>0.020600015345638</v>
      </c>
      <c r="DY75" s="57" t="n">
        <f aca="false">DS75*C75</f>
        <v>0.0263648974862111</v>
      </c>
      <c r="DZ75" s="57" t="n">
        <f aca="false">T75+AS75+BR75+CQ75</f>
        <v>0.00133991094107969</v>
      </c>
      <c r="EA75" s="57" t="n">
        <f aca="false">U75+AT75+BS75+CR75</f>
        <v>0.000116721841287022</v>
      </c>
      <c r="EB75" s="57" t="n">
        <f aca="false">V75+AU75+BT75+CS75</f>
        <v>0.000993019358858815</v>
      </c>
      <c r="EC75" s="57" t="n">
        <f aca="false">G75*dt*C75</f>
        <v>0.0164091230413139</v>
      </c>
    </row>
    <row r="76" customFormat="false" ht="15" hidden="false" customHeight="false" outlineLevel="0" collapsed="false">
      <c r="A76" s="8" t="n">
        <v>70</v>
      </c>
      <c r="B76" s="54" t="n">
        <f aca="false">start_age+A76*dt</f>
        <v>87.5</v>
      </c>
      <c r="C76" s="16" t="n">
        <f aca="false">(1+disc_rate)^-(A76*dt)</f>
        <v>0.770627070227423</v>
      </c>
      <c r="D76" s="55" t="n">
        <f aca="false">IF(A76*dt&gt;=wane_start,(1-wane_decay)^(A76*dt-wane_start),1)</f>
        <v>1</v>
      </c>
      <c r="E76" s="25" t="n">
        <f aca="false">MIN(p_nonvasc_death*MIN(EXP(gomp_int+gomp_slope*INT(B76)),1)/qx_ref,0.999)</f>
        <v>0.195444778724258</v>
      </c>
      <c r="F76" s="55" t="n">
        <f aca="false">rr_stroke_per_decade^((B76-ref_age)/10)</f>
        <v>2.03310450812215</v>
      </c>
      <c r="G76" s="57" t="n">
        <f aca="false">DH75</f>
        <v>0.0792335212590604</v>
      </c>
      <c r="H76" s="57" t="n">
        <f aca="false">DI75</f>
        <v>0.008962235719982</v>
      </c>
      <c r="I76" s="57" t="n">
        <f aca="false">DJ75</f>
        <v>0.00476102394792253</v>
      </c>
      <c r="J76" s="57" t="n">
        <f aca="false">DK75</f>
        <v>0.0347279616160371</v>
      </c>
      <c r="K76" s="57" t="n">
        <f aca="false">DL75</f>
        <v>0.872315257456998</v>
      </c>
      <c r="L76" s="57" t="n">
        <f aca="false">1-EXP(LN(1-E76)*dt)</f>
        <v>0.0529149866528664</v>
      </c>
      <c r="M76" s="57" t="n">
        <f aca="false">G76*(1-L76)</f>
        <v>0.0750408805391776</v>
      </c>
      <c r="N76" s="57" t="n">
        <f aca="false">IF(Apixaban!$B$2=1,EXP(LN(or_apx_stroke)*D76)*(1-EXP(-r_stroke*F76*dt))/(1-(1-EXP(-r_stroke*F76*dt))+EXP(LN(or_apx_stroke)*D76)*(1-EXP(-r_stroke*F76*dt))),(1-EXP(-r_stroke*F76*dt)))</f>
        <v>0.00646116459844192</v>
      </c>
      <c r="O76" s="57" t="n">
        <f aca="false">IF(Apixaban!$B$2=1,EXP(LN(or_apx_ich)*D76)*(1-EXP(-r_ich*dt))/(1-(1-EXP(-r_ich*dt))+EXP(LN(or_apx_ich)*D76)*(1-EXP(-r_ich*dt))),(1-EXP(-r_ich*dt)))</f>
        <v>0.000843513249640701</v>
      </c>
      <c r="P76" s="57" t="n">
        <f aca="false">IF(Apixaban!$B$2=1,EXP(LN(or_apx_mb)*D76)*(1-EXP(-r_mb*dt))/(1-(1-EXP(-r_mb*dt))+EXP(LN(or_apx_mb)*D76)*(1-EXP(-r_mb*dt))),(1-EXP(-r_mb*dt)))</f>
        <v>0.00669446907979895</v>
      </c>
      <c r="Q76" s="57" t="n">
        <f aca="false">IF(Apixaban!$B$2=1,EXP(LN(or_apx_mi)*D76)*(1-EXP(-r_mi*dt))/(1-(1-EXP(-r_mi*dt))+EXP(LN(or_apx_mi)*D76)*(1-EXP(-r_mi*dt))),(1-EXP(-r_mi*dt)))</f>
        <v>0.00132321915530843</v>
      </c>
      <c r="R76" s="57" t="n">
        <f aca="false">(1-EXP(-r_tia*dt))</f>
        <v>0.0020060281549299</v>
      </c>
      <c r="S76" s="57" t="n">
        <f aca="false">(1-EXP(-r_minor*dt))</f>
        <v>0.0437937690785545</v>
      </c>
      <c r="T76" s="57" t="n">
        <f aca="false">M76*N76</f>
        <v>0.000484851480775644</v>
      </c>
      <c r="U76" s="57" t="n">
        <f aca="false">M76*O76</f>
        <v>6.32979769995013E-005</v>
      </c>
      <c r="V76" s="57" t="n">
        <f aca="false">M76*P76</f>
        <v>0.000502358854490412</v>
      </c>
      <c r="W76" s="57" t="n">
        <f aca="false">M76*Q76</f>
        <v>9.92955305606513E-005</v>
      </c>
      <c r="X76" s="57" t="n">
        <f aca="false">M76*R76</f>
        <v>0.000150534119132321</v>
      </c>
      <c r="Y76" s="57" t="n">
        <f aca="false">M76*S76</f>
        <v>0.00328632299378414</v>
      </c>
      <c r="Z76" s="57" t="n">
        <f aca="false">T76*f_stroke_fatal</f>
        <v>0.000114909800943828</v>
      </c>
      <c r="AA76" s="57" t="n">
        <f aca="false">T76*(1-f_stroke_fatal)*f_stroke_major</f>
        <v>0.000123190579383995</v>
      </c>
      <c r="AB76" s="57" t="n">
        <f aca="false">T76*(1-f_stroke_fatal)*(1-f_stroke_major)</f>
        <v>0.000246751100447821</v>
      </c>
      <c r="AC76" s="57" t="n">
        <f aca="false">U76*(1-f_bleed_fatal)</f>
        <v>5.79809469315432E-005</v>
      </c>
      <c r="AD76" s="57" t="n">
        <f aca="false">V76*(1-f_bleed_fatal)</f>
        <v>0.000460160710713217</v>
      </c>
      <c r="AE76" s="57" t="n">
        <f aca="false">W76*f_mi_fatal</f>
        <v>1.20147591978388E-005</v>
      </c>
      <c r="AF76" s="57" t="n">
        <f aca="false">W76-AE76</f>
        <v>8.72807713628125E-005</v>
      </c>
      <c r="AG76" s="57" t="n">
        <f aca="false">M76-T76-U76-V76-AE76</f>
        <v>0.0739783574677142</v>
      </c>
      <c r="AH76" s="19" t="n">
        <f aca="false">Z76*c_stroke_fatal+AA76*c_stroke_major+AB76*c_stroke_minor+U76*c_ich+V76*c_major_bleed+AE76*c_mi_fatal+AF76*c_mi_nonfatal+X76*c_tia+Y76*c_minor_bleed</f>
        <v>25.2059618059872</v>
      </c>
      <c r="AI76" s="57" t="n">
        <f aca="false">dt*(AF76*dec_mi+AD76*dec_major_bleed+Y76*dec_minor_bleed+X76*dec_tia)</f>
        <v>2.78680237489476E-005</v>
      </c>
      <c r="AJ76" s="57" t="n">
        <f aca="false">G76*L76+Z76+U76-AC76+V76-AD76+AE76</f>
        <v>0.00436708045386961</v>
      </c>
      <c r="AK76" s="57" t="n">
        <f aca="false">1-EXP(LN(1-E76)*hr_death_prior_stroke*dt)</f>
        <v>0.11754083463624</v>
      </c>
      <c r="AL76" s="57" t="n">
        <f aca="false">H76*(1-AK76)</f>
        <v>0.00790880705324859</v>
      </c>
      <c r="AM76" s="57" t="n">
        <f aca="false">(1-EXP(-r_stroke*F76*rr_stroke_prior*rr_asa_stroke*dt))</f>
        <v>0.028795584967643</v>
      </c>
      <c r="AN76" s="57" t="n">
        <f aca="false">(1-EXP(-r_ich*rr_asa_ich*dt))</f>
        <v>0.00102357767802375</v>
      </c>
      <c r="AO76" s="57" t="n">
        <f aca="false">(1-EXP(-r_mb*rr_asa_mb*dt))</f>
        <v>0.00951809672747972</v>
      </c>
      <c r="AP76" s="57" t="n">
        <f aca="false">(1-EXP(-r_mi*rr_asa_mi*dt))</f>
        <v>0.00213413516393479</v>
      </c>
      <c r="AQ76" s="57" t="n">
        <f aca="false">(1-EXP(-r_tia*rr_asa_tia*dt))</f>
        <v>0.00312764565589152</v>
      </c>
      <c r="AR76" s="57" t="n">
        <f aca="false">(1-EXP(-r_minor*rr_asa_minor*dt))</f>
        <v>0.0278181950466747</v>
      </c>
      <c r="AS76" s="57" t="n">
        <f aca="false">AL76*AM76</f>
        <v>0.000227738725494514</v>
      </c>
      <c r="AT76" s="57" t="n">
        <f aca="false">AL76*AN76</f>
        <v>8.09527835950202E-006</v>
      </c>
      <c r="AU76" s="57" t="n">
        <f aca="false">AL76*AO76</f>
        <v>7.52767905317939E-005</v>
      </c>
      <c r="AV76" s="57" t="n">
        <f aca="false">AL76*AP76</f>
        <v>1.68784632371133E-005</v>
      </c>
      <c r="AW76" s="57" t="n">
        <f aca="false">AL76*AQ76</f>
        <v>2.47359460233772E-005</v>
      </c>
      <c r="AX76" s="57" t="n">
        <f aca="false">AL76*AR76</f>
        <v>0.000220008737193786</v>
      </c>
      <c r="AY76" s="57" t="n">
        <f aca="false">AS76*f_stroke_fatal_recur</f>
        <v>8.47393023692537E-005</v>
      </c>
      <c r="AZ76" s="57" t="n">
        <f aca="false">AS76*(1-f_stroke_fatal_recur)*f_stroke_major</f>
        <v>4.76188079007117E-005</v>
      </c>
      <c r="BA76" s="57" t="n">
        <f aca="false">AS76*(1-f_stroke_fatal_recur)*(1-f_stroke_major)</f>
        <v>9.53806152245486E-005</v>
      </c>
      <c r="BB76" s="57" t="n">
        <f aca="false">AT76*(1-f_bleed_fatal)</f>
        <v>7.41527497730385E-006</v>
      </c>
      <c r="BC76" s="57" t="n">
        <f aca="false">AU76*(1-f_bleed_fatal)</f>
        <v>6.89535401271232E-005</v>
      </c>
      <c r="BD76" s="57" t="n">
        <f aca="false">AV76*f_mi_fatal</f>
        <v>2.04229405169071E-006</v>
      </c>
      <c r="BE76" s="57" t="n">
        <f aca="false">AV76-BD76</f>
        <v>1.48361691854226E-005</v>
      </c>
      <c r="BF76" s="57" t="n">
        <f aca="false">AL76-AS76-AT76-AU76-BD76</f>
        <v>0.00759565396481109</v>
      </c>
      <c r="BG76" s="19" t="n">
        <f aca="false">AY76*c_stroke_fatal+AZ76*c_stroke_major+BA76*c_stroke_minor+AT76*c_ich+AU76*c_major_bleed+BD76*c_mi_fatal+BE76*c_mi_nonfatal+AW76*c_tia+AX76*c_minor_bleed</f>
        <v>8.91729379811698</v>
      </c>
      <c r="BH76" s="57" t="n">
        <f aca="false">dt*(BE76*dec_mi+BC76*dec_major_bleed+AX76*dec_minor_bleed+AW76*dec_tia)</f>
        <v>3.40154071595006E-006</v>
      </c>
      <c r="BI76" s="57" t="n">
        <f aca="false">H76*AK76+AY76+AT76-BB76+AU76-BC76+BD76</f>
        <v>0.00114721351694122</v>
      </c>
      <c r="BJ76" s="57" t="n">
        <f aca="false">1-EXP(LN(1-E76)*hr_death_prior_stroke*dt)</f>
        <v>0.11754083463624</v>
      </c>
      <c r="BK76" s="57" t="n">
        <f aca="false">I76*(1-BJ76)</f>
        <v>0.00420140921936059</v>
      </c>
      <c r="BL76" s="57" t="n">
        <f aca="false">(1-EXP(-r_stroke*F76*rr_stroke_prior*rr_asa_stroke*dt))</f>
        <v>0.028795584967643</v>
      </c>
      <c r="BM76" s="57" t="n">
        <f aca="false">(1-EXP(-r_ich*rr_asa_ich*dt))</f>
        <v>0.00102357767802375</v>
      </c>
      <c r="BN76" s="57" t="n">
        <f aca="false">(1-EXP(-r_mb*rr_asa_mb*dt))</f>
        <v>0.00951809672747972</v>
      </c>
      <c r="BO76" s="57" t="n">
        <f aca="false">(1-EXP(-r_mi*rr_asa_mi*dt))</f>
        <v>0.00213413516393479</v>
      </c>
      <c r="BP76" s="57" t="n">
        <f aca="false">(1-EXP(-r_tia*rr_asa_tia*dt))</f>
        <v>0.00312764565589152</v>
      </c>
      <c r="BQ76" s="57" t="n">
        <f aca="false">(1-EXP(-r_minor*rr_asa_minor*dt))</f>
        <v>0.0278181950466747</v>
      </c>
      <c r="BR76" s="57" t="n">
        <f aca="false">BK76*BL76</f>
        <v>0.000120982036159936</v>
      </c>
      <c r="BS76" s="57" t="n">
        <f aca="false">BK76*BM76</f>
        <v>4.30046869318067E-006</v>
      </c>
      <c r="BT76" s="57" t="n">
        <f aca="false">BK76*BN76</f>
        <v>3.99894193415991E-005</v>
      </c>
      <c r="BU76" s="57" t="n">
        <f aca="false">BK76*BO76</f>
        <v>8.96637515311725E-006</v>
      </c>
      <c r="BV76" s="57" t="n">
        <f aca="false">BK76*BP76</f>
        <v>1.31405192935557E-005</v>
      </c>
      <c r="BW76" s="57" t="n">
        <f aca="false">BK76*BQ76</f>
        <v>0.00011687562113507</v>
      </c>
      <c r="BX76" s="57" t="n">
        <f aca="false">BR76*f_stroke_fatal_recur</f>
        <v>4.50162058347508E-005</v>
      </c>
      <c r="BY76" s="57" t="n">
        <f aca="false">BR76*(1-f_stroke_fatal_recur)*f_stroke_major</f>
        <v>2.52966214982868E-005</v>
      </c>
      <c r="BZ76" s="57" t="n">
        <f aca="false">BR76*(1-f_stroke_fatal_recur)*(1-f_stroke_major)</f>
        <v>5.06692088268989E-005</v>
      </c>
      <c r="CA76" s="57" t="n">
        <f aca="false">BS76*(1-f_bleed_fatal)</f>
        <v>3.93922932295349E-006</v>
      </c>
      <c r="CB76" s="57" t="n">
        <f aca="false">BT76*(1-f_bleed_fatal)</f>
        <v>3.66303081169048E-005</v>
      </c>
      <c r="CC76" s="57" t="n">
        <f aca="false">BU76*f_mi_fatal</f>
        <v>1.08493139352719E-006</v>
      </c>
      <c r="CD76" s="57" t="n">
        <f aca="false">BU76-CC76</f>
        <v>7.88144375959007E-006</v>
      </c>
      <c r="CE76" s="57" t="n">
        <f aca="false">BK76-BR76-BS76-BT76-CC76</f>
        <v>0.00403505236377234</v>
      </c>
      <c r="CF76" s="19" t="n">
        <f aca="false">BX76*c_stroke_fatal+BY76*c_stroke_major+BZ76*c_stroke_minor+BS76*c_ich+BT76*c_major_bleed+CC76*c_mi_fatal+CD76*c_mi_nonfatal+BV76*c_tia+BW76*c_minor_bleed</f>
        <v>4.73714937321256</v>
      </c>
      <c r="CG76" s="57" t="n">
        <f aca="false">dt*(CD76*dec_mi+CB76*dec_major_bleed+BW76*dec_minor_bleed+BV76*dec_tia)</f>
        <v>1.80700634467404E-006</v>
      </c>
      <c r="CH76" s="57" t="n">
        <f aca="false">I76*BJ76+BX76+BS76-CA76+BT76-CB76+CC76</f>
        <v>0.00060943621638514</v>
      </c>
      <c r="CI76" s="57" t="n">
        <f aca="false">1-EXP(LN(1-E76)*dt)</f>
        <v>0.0529149866528664</v>
      </c>
      <c r="CJ76" s="57" t="n">
        <f aca="false">J76*(1-CI76)</f>
        <v>0.0328903319906433</v>
      </c>
      <c r="CK76" s="57" t="n">
        <f aca="false">(1-EXP(-r_stroke*F76*rr_asa_stroke*dt))</f>
        <v>0.0131932472202096</v>
      </c>
      <c r="CL76" s="57" t="n">
        <f aca="false">(1-EXP(-r_ich*rr_asa_ich*dt))</f>
        <v>0.00102357767802375</v>
      </c>
      <c r="CM76" s="57" t="n">
        <f aca="false">(1-EXP(-r_mb*rr_asa_mb*dt))</f>
        <v>0.00951809672747972</v>
      </c>
      <c r="CN76" s="57" t="n">
        <f aca="false">(1-EXP(-r_mi*rr_asa_mi*dt))</f>
        <v>0.00213413516393479</v>
      </c>
      <c r="CO76" s="57" t="n">
        <f aca="false">(1-EXP(-r_tia*rr_asa_tia*dt))</f>
        <v>0.00312764565589152</v>
      </c>
      <c r="CP76" s="57" t="n">
        <f aca="false">(1-EXP(-r_minor*rr_asa_minor*dt))</f>
        <v>0.0278181950466747</v>
      </c>
      <c r="CQ76" s="57" t="n">
        <f aca="false">CJ76*CK76</f>
        <v>0.000433930281107327</v>
      </c>
      <c r="CR76" s="57" t="n">
        <f aca="false">CJ76*CL76</f>
        <v>3.36658096484128E-005</v>
      </c>
      <c r="CS76" s="57" t="n">
        <f aca="false">CJ76*CM76</f>
        <v>0.000313053361285863</v>
      </c>
      <c r="CT76" s="57" t="n">
        <f aca="false">CJ76*CN76</f>
        <v>7.01924140547212E-005</v>
      </c>
      <c r="CU76" s="57" t="n">
        <f aca="false">CJ76*CO76</f>
        <v>0.000102869303971365</v>
      </c>
      <c r="CV76" s="57" t="n">
        <f aca="false">CJ76*CP76</f>
        <v>0.000914949670465599</v>
      </c>
      <c r="CW76" s="57" t="n">
        <f aca="false">CQ76*f_stroke_fatal</f>
        <v>0.000102841476622436</v>
      </c>
      <c r="CX76" s="57" t="n">
        <f aca="false">CQ76*(1-f_stroke_fatal)*f_stroke_major</f>
        <v>0.000110252571893468</v>
      </c>
      <c r="CY76" s="57" t="n">
        <f aca="false">CQ76*(1-f_stroke_fatal)*(1-f_stroke_major)</f>
        <v>0.000220836232591422</v>
      </c>
      <c r="CZ76" s="57" t="n">
        <f aca="false">CR76*(1-f_bleed_fatal)</f>
        <v>3.08378816379461E-005</v>
      </c>
      <c r="DA76" s="57" t="n">
        <f aca="false">CS76*(1-f_bleed_fatal)</f>
        <v>0.000286756878937851</v>
      </c>
      <c r="DB76" s="57" t="n">
        <f aca="false">CT76*f_mi_fatal</f>
        <v>8.49328210062126E-006</v>
      </c>
      <c r="DC76" s="57" t="n">
        <f aca="false">CT76-DB76</f>
        <v>6.16991319540999E-005</v>
      </c>
      <c r="DD76" s="57" t="n">
        <f aca="false">CJ76-CQ76-CR76-CS76-DB76</f>
        <v>0.032101189256501</v>
      </c>
      <c r="DE76" s="19" t="n">
        <f aca="false">CW76*c_stroke_fatal+CX76*c_stroke_major+CY76*c_stroke_minor+CR76*c_ich+CS76*c_major_bleed+DB76*c_mi_fatal+DC76*c_mi_nonfatal+CU76*c_tia+CV76*c_minor_bleed</f>
        <v>20.4616505740384</v>
      </c>
      <c r="DF76" s="57" t="n">
        <f aca="false">dt*(DC76*dec_mi+DA76*dec_major_bleed+CV76*dec_minor_bleed+CU76*dec_tia)</f>
        <v>1.4145977095412E-005</v>
      </c>
      <c r="DG76" s="57" t="n">
        <f aca="false">J76*CI76+CW76+CR76-CZ76+CS76-DA76+DB76</f>
        <v>0.0019780887944754</v>
      </c>
      <c r="DH76" s="57" t="n">
        <f aca="false">AG76</f>
        <v>0.0739783574677142</v>
      </c>
      <c r="DI76" s="57" t="n">
        <f aca="false">AB76+AC76+BF76+BA76+BB76+BC76+CY76+CZ76</f>
        <v>0.0083238095567488</v>
      </c>
      <c r="DJ76" s="57" t="n">
        <f aca="false">AA76+AZ76+BY76+CX76+CE76+BZ76+CA76+CB76</f>
        <v>0.00443264969071556</v>
      </c>
      <c r="DK76" s="57" t="n">
        <f aca="false">AD76+DD76+DA76</f>
        <v>0.0328481068461521</v>
      </c>
      <c r="DL76" s="57" t="n">
        <f aca="false">K76+AJ76+BI76+CH76+DG76</f>
        <v>0.880417076438669</v>
      </c>
      <c r="DM76" s="58" t="n">
        <f aca="false">SUM(DH76:DL76)</f>
        <v>1</v>
      </c>
      <c r="DN76" s="19" t="n">
        <f aca="false">dt*(G76*Apixaban!$H$2+(H76+I76+J76)*c_aspirin)</f>
        <v>6.3824408309931</v>
      </c>
      <c r="DO76" s="19" t="n">
        <f aca="false">dt*(H76*c_lt_minor_stroke+I76*c_lt_major_stroke)</f>
        <v>55.3109476577966</v>
      </c>
      <c r="DP76" s="19" t="n">
        <f aca="false">AH76+BG76+CF76+DE76</f>
        <v>59.3220555513551</v>
      </c>
      <c r="DQ76" s="19" t="n">
        <f aca="false">DN76+DO76+DP76</f>
        <v>121.015444040145</v>
      </c>
      <c r="DR76" s="57" t="n">
        <f aca="false">dt*(G76*(u_af-dec_per_year_over_70*MAX(B76-ref_age,0))+H76*(u_minor_stroke-dec_per_year_over_70*MAX(B76-ref_age,0))+I76*(u_major_stroke-dec_per_year_over_70*MAX(B76-ref_age,0))+J76*(u_af-dec_per_year_over_70*MAX(B76-ref_age,0)))-AI76-BH76-CG76-DF76</f>
        <v>0.0249442760559672</v>
      </c>
      <c r="DS76" s="57" t="n">
        <f aca="false">dt*(G76+H76+I76+J76)</f>
        <v>0.0319211856357505</v>
      </c>
      <c r="DT76" s="19" t="n">
        <f aca="false">DQ76*C76</f>
        <v>93.2577770929275</v>
      </c>
      <c r="DU76" s="19" t="n">
        <f aca="false">DN76*C76</f>
        <v>4.91848167848809</v>
      </c>
      <c r="DV76" s="19" t="n">
        <f aca="false">DP76*C76</f>
        <v>45.7151818694092</v>
      </c>
      <c r="DW76" s="19" t="n">
        <f aca="false">DO76*C76</f>
        <v>42.6241135450301</v>
      </c>
      <c r="DX76" s="57" t="n">
        <f aca="false">DR76*C76</f>
        <v>0.0192227343759541</v>
      </c>
      <c r="DY76" s="57" t="n">
        <f aca="false">DS76*C76</f>
        <v>0.0245993297646641</v>
      </c>
      <c r="DZ76" s="57" t="n">
        <f aca="false">T76+AS76+BR76+CQ76</f>
        <v>0.00126750252353742</v>
      </c>
      <c r="EA76" s="57" t="n">
        <f aca="false">U76+AT76+BS76+CR76</f>
        <v>0.000109359533700597</v>
      </c>
      <c r="EB76" s="57" t="n">
        <f aca="false">V76+AU76+BT76+CS76</f>
        <v>0.000930678425649668</v>
      </c>
      <c r="EC76" s="57" t="n">
        <f aca="false">G76*dt*C76</f>
        <v>0.015264874087918</v>
      </c>
    </row>
    <row r="77" customFormat="false" ht="15" hidden="false" customHeight="false" outlineLevel="0" collapsed="false">
      <c r="A77" s="8" t="n">
        <v>71</v>
      </c>
      <c r="B77" s="54" t="n">
        <f aca="false">start_age+A77*dt</f>
        <v>87.75</v>
      </c>
      <c r="C77" s="16" t="n">
        <f aca="false">(1+disc_rate)^-(A77*dt)</f>
        <v>0.76776400995085</v>
      </c>
      <c r="D77" s="55" t="n">
        <f aca="false">IF(A77*dt&gt;=wane_start,(1-wane_decay)^(A77*dt-wane_start),1)</f>
        <v>1</v>
      </c>
      <c r="E77" s="25" t="n">
        <f aca="false">MIN(p_nonvasc_death*MIN(EXP(gomp_int+gomp_slope*INT(B77)),1)/qx_ref,0.999)</f>
        <v>0.195444778724258</v>
      </c>
      <c r="F77" s="55" t="n">
        <f aca="false">rr_stroke_per_decade^((B77-ref_age)/10)</f>
        <v>2.05381813741367</v>
      </c>
      <c r="G77" s="57" t="n">
        <f aca="false">DH76</f>
        <v>0.0739783574677142</v>
      </c>
      <c r="H77" s="57" t="n">
        <f aca="false">DI76</f>
        <v>0.0083238095567488</v>
      </c>
      <c r="I77" s="57" t="n">
        <f aca="false">DJ76</f>
        <v>0.00443264969071556</v>
      </c>
      <c r="J77" s="57" t="n">
        <f aca="false">DK76</f>
        <v>0.0328481068461521</v>
      </c>
      <c r="K77" s="57" t="n">
        <f aca="false">DL76</f>
        <v>0.880417076438669</v>
      </c>
      <c r="L77" s="57" t="n">
        <f aca="false">1-EXP(LN(1-E77)*dt)</f>
        <v>0.0529149866528664</v>
      </c>
      <c r="M77" s="57" t="n">
        <f aca="false">G77*(1-L77)</f>
        <v>0.0700637936697092</v>
      </c>
      <c r="N77" s="57" t="n">
        <f aca="false">IF(Apixaban!$B$2=1,EXP(LN(or_apx_stroke)*D77)*(1-EXP(-r_stroke*F77*dt))/(1-(1-EXP(-r_stroke*F77*dt))+EXP(LN(or_apx_stroke)*D77)*(1-EXP(-r_stroke*F77*dt))),(1-EXP(-r_stroke*F77*dt)))</f>
        <v>0.00652683362453107</v>
      </c>
      <c r="O77" s="57" t="n">
        <f aca="false">IF(Apixaban!$B$2=1,EXP(LN(or_apx_ich)*D77)*(1-EXP(-r_ich*dt))/(1-(1-EXP(-r_ich*dt))+EXP(LN(or_apx_ich)*D77)*(1-EXP(-r_ich*dt))),(1-EXP(-r_ich*dt)))</f>
        <v>0.000843513249640701</v>
      </c>
      <c r="P77" s="57" t="n">
        <f aca="false">IF(Apixaban!$B$2=1,EXP(LN(or_apx_mb)*D77)*(1-EXP(-r_mb*dt))/(1-(1-EXP(-r_mb*dt))+EXP(LN(or_apx_mb)*D77)*(1-EXP(-r_mb*dt))),(1-EXP(-r_mb*dt)))</f>
        <v>0.00669446907979895</v>
      </c>
      <c r="Q77" s="57" t="n">
        <f aca="false">IF(Apixaban!$B$2=1,EXP(LN(or_apx_mi)*D77)*(1-EXP(-r_mi*dt))/(1-(1-EXP(-r_mi*dt))+EXP(LN(or_apx_mi)*D77)*(1-EXP(-r_mi*dt))),(1-EXP(-r_mi*dt)))</f>
        <v>0.00132321915530843</v>
      </c>
      <c r="R77" s="57" t="n">
        <f aca="false">(1-EXP(-r_tia*dt))</f>
        <v>0.0020060281549299</v>
      </c>
      <c r="S77" s="57" t="n">
        <f aca="false">(1-EXP(-r_minor*dt))</f>
        <v>0.0437937690785545</v>
      </c>
      <c r="T77" s="57" t="n">
        <f aca="false">M77*N77</f>
        <v>0.000457294724385665</v>
      </c>
      <c r="U77" s="57" t="n">
        <f aca="false">M77*O77</f>
        <v>5.90997382804919E-005</v>
      </c>
      <c r="V77" s="57" t="n">
        <f aca="false">M77*P77</f>
        <v>0.000469039900335281</v>
      </c>
      <c r="W77" s="57" t="n">
        <f aca="false">M77*Q77</f>
        <v>9.27097538773366E-005</v>
      </c>
      <c r="X77" s="57" t="n">
        <f aca="false">M77*R77</f>
        <v>0.000140549942742636</v>
      </c>
      <c r="Y77" s="57" t="n">
        <f aca="false">M77*S77</f>
        <v>0.00306835760073873</v>
      </c>
      <c r="Z77" s="57" t="n">
        <f aca="false">T77*f_stroke_fatal</f>
        <v>0.000108378849679403</v>
      </c>
      <c r="AA77" s="57" t="n">
        <f aca="false">T77*(1-f_stroke_fatal)*f_stroke_major</f>
        <v>0.000116188986277185</v>
      </c>
      <c r="AB77" s="57" t="n">
        <f aca="false">T77*(1-f_stroke_fatal)*(1-f_stroke_major)</f>
        <v>0.000232726888429077</v>
      </c>
      <c r="AC77" s="57" t="n">
        <f aca="false">U77*(1-f_bleed_fatal)</f>
        <v>5.41353602649306E-005</v>
      </c>
      <c r="AD77" s="57" t="n">
        <f aca="false">V77*(1-f_bleed_fatal)</f>
        <v>0.000429640548707118</v>
      </c>
      <c r="AE77" s="57" t="n">
        <f aca="false">W77*f_mi_fatal</f>
        <v>1.12178802191577E-005</v>
      </c>
      <c r="AF77" s="57" t="n">
        <f aca="false">W77-AE77</f>
        <v>8.14918736581788E-005</v>
      </c>
      <c r="AG77" s="57" t="n">
        <f aca="false">M77-T77-U77-V77-AE77</f>
        <v>0.0690671414264886</v>
      </c>
      <c r="AH77" s="19" t="n">
        <f aca="false">Z77*c_stroke_fatal+AA77*c_stroke_major+AB77*c_stroke_minor+U77*c_ich+V77*c_major_bleed+AE77*c_mi_fatal+AF77*c_mi_nonfatal+X77*c_tia+Y77*c_minor_bleed</f>
        <v>23.7041730609745</v>
      </c>
      <c r="AI77" s="57" t="n">
        <f aca="false">dt*(AF77*dec_mi+AD77*dec_major_bleed+Y77*dec_minor_bleed+X77*dec_tia)</f>
        <v>2.60196769001055E-005</v>
      </c>
      <c r="AJ77" s="57" t="n">
        <f aca="false">G77*L77+Z77+U77-AC77+V77-AD77+AE77</f>
        <v>0.00407852425754736</v>
      </c>
      <c r="AK77" s="57" t="n">
        <f aca="false">1-EXP(LN(1-E77)*hr_death_prior_stroke*dt)</f>
        <v>0.11754083463624</v>
      </c>
      <c r="AL77" s="57" t="n">
        <f aca="false">H77*(1-AK77)</f>
        <v>0.00734542203409543</v>
      </c>
      <c r="AM77" s="57" t="n">
        <f aca="false">(1-EXP(-r_stroke*F77*rr_stroke_prior*rr_asa_stroke*dt))</f>
        <v>0.0290846513838623</v>
      </c>
      <c r="AN77" s="57" t="n">
        <f aca="false">(1-EXP(-r_ich*rr_asa_ich*dt))</f>
        <v>0.00102357767802375</v>
      </c>
      <c r="AO77" s="57" t="n">
        <f aca="false">(1-EXP(-r_mb*rr_asa_mb*dt))</f>
        <v>0.00951809672747972</v>
      </c>
      <c r="AP77" s="57" t="n">
        <f aca="false">(1-EXP(-r_mi*rr_asa_mi*dt))</f>
        <v>0.00213413516393479</v>
      </c>
      <c r="AQ77" s="57" t="n">
        <f aca="false">(1-EXP(-r_tia*rr_asa_tia*dt))</f>
        <v>0.00312764565589152</v>
      </c>
      <c r="AR77" s="57" t="n">
        <f aca="false">(1-EXP(-r_minor*rr_asa_minor*dt))</f>
        <v>0.0278181950466747</v>
      </c>
      <c r="AS77" s="57" t="n">
        <f aca="false">AL77*AM77</f>
        <v>0.000213639039129006</v>
      </c>
      <c r="AT77" s="57" t="n">
        <f aca="false">AL77*AN77</f>
        <v>7.51861002976386E-006</v>
      </c>
      <c r="AU77" s="57" t="n">
        <f aca="false">AL77*AO77</f>
        <v>6.99144374246812E-005</v>
      </c>
      <c r="AV77" s="57" t="n">
        <f aca="false">AL77*AP77</f>
        <v>1.56761234569045E-005</v>
      </c>
      <c r="AW77" s="57" t="n">
        <f aca="false">AL77*AQ77</f>
        <v>2.29738773156284E-005</v>
      </c>
      <c r="AX77" s="57" t="n">
        <f aca="false">AL77*AR77</f>
        <v>0.000204336382844609</v>
      </c>
      <c r="AY77" s="57" t="n">
        <f aca="false">AS77*f_stroke_fatal_recur</f>
        <v>7.94929500695119E-005</v>
      </c>
      <c r="AZ77" s="57" t="n">
        <f aca="false">AS77*(1-f_stroke_fatal_recur)*f_stroke_major</f>
        <v>4.46706476568116E-005</v>
      </c>
      <c r="BA77" s="57" t="n">
        <f aca="false">AS77*(1-f_stroke_fatal_recur)*(1-f_stroke_major)</f>
        <v>8.94754414026827E-005</v>
      </c>
      <c r="BB77" s="57" t="n">
        <f aca="false">AT77*(1-f_bleed_fatal)</f>
        <v>6.8870467872637E-006</v>
      </c>
      <c r="BC77" s="57" t="n">
        <f aca="false">AU77*(1-f_bleed_fatal)</f>
        <v>6.40416246810079E-005</v>
      </c>
      <c r="BD77" s="57" t="n">
        <f aca="false">AV77*f_mi_fatal</f>
        <v>1.89681093828544E-006</v>
      </c>
      <c r="BE77" s="57" t="n">
        <f aca="false">AV77-BD77</f>
        <v>1.3779312518619E-005</v>
      </c>
      <c r="BF77" s="57" t="n">
        <f aca="false">AL77-AS77-AT77-AU77-BD77</f>
        <v>0.0070524531365737</v>
      </c>
      <c r="BG77" s="19" t="n">
        <f aca="false">AY77*c_stroke_fatal+AZ77*c_stroke_major+BA77*c_stroke_minor+AT77*c_ich+AU77*c_major_bleed+BD77*c_mi_fatal+BE77*c_mi_nonfatal+AW77*c_tia+AX77*c_minor_bleed</f>
        <v>8.35527982174406</v>
      </c>
      <c r="BH77" s="57" t="n">
        <f aca="false">dt*(BE77*dec_mi+BC77*dec_major_bleed+AX77*dec_minor_bleed+AW77*dec_tia)</f>
        <v>3.15923146899244E-006</v>
      </c>
      <c r="BI77" s="57" t="n">
        <f aca="false">H77*AK77+AY77+AT77-BB77+AU77-BC77+BD77</f>
        <v>0.00106628165964734</v>
      </c>
      <c r="BJ77" s="57" t="n">
        <f aca="false">1-EXP(LN(1-E77)*hr_death_prior_stroke*dt)</f>
        <v>0.11754083463624</v>
      </c>
      <c r="BK77" s="57" t="n">
        <f aca="false">I77*(1-BJ77)</f>
        <v>0.00391163234641878</v>
      </c>
      <c r="BL77" s="57" t="n">
        <f aca="false">(1-EXP(-r_stroke*F77*rr_stroke_prior*rr_asa_stroke*dt))</f>
        <v>0.0290846513838623</v>
      </c>
      <c r="BM77" s="57" t="n">
        <f aca="false">(1-EXP(-r_ich*rr_asa_ich*dt))</f>
        <v>0.00102357767802375</v>
      </c>
      <c r="BN77" s="57" t="n">
        <f aca="false">(1-EXP(-r_mb*rr_asa_mb*dt))</f>
        <v>0.00951809672747972</v>
      </c>
      <c r="BO77" s="57" t="n">
        <f aca="false">(1-EXP(-r_mi*rr_asa_mi*dt))</f>
        <v>0.00213413516393479</v>
      </c>
      <c r="BP77" s="57" t="n">
        <f aca="false">(1-EXP(-r_tia*rr_asa_tia*dt))</f>
        <v>0.00312764565589152</v>
      </c>
      <c r="BQ77" s="57" t="n">
        <f aca="false">(1-EXP(-r_minor*rr_asa_minor*dt))</f>
        <v>0.0278181950466747</v>
      </c>
      <c r="BR77" s="57" t="n">
        <f aca="false">BK77*BL77</f>
        <v>0.00011376846313743</v>
      </c>
      <c r="BS77" s="57" t="n">
        <f aca="false">BK77*BM77</f>
        <v>4.00385955442992E-006</v>
      </c>
      <c r="BT77" s="57" t="n">
        <f aca="false">BK77*BN77</f>
        <v>3.72312950355524E-005</v>
      </c>
      <c r="BU77" s="57" t="n">
        <f aca="false">BK77*BO77</f>
        <v>8.34795213887708E-006</v>
      </c>
      <c r="BV77" s="57" t="n">
        <f aca="false">BK77*BP77</f>
        <v>1.22341999157215E-005</v>
      </c>
      <c r="BW77" s="57" t="n">
        <f aca="false">BK77*BQ77</f>
        <v>0.00010881455156356</v>
      </c>
      <c r="BX77" s="57" t="n">
        <f aca="false">BR77*f_stroke_fatal_recur</f>
        <v>4.23321074488062E-005</v>
      </c>
      <c r="BY77" s="57" t="n">
        <f aca="false">BR77*(1-f_stroke_fatal_recur)*f_stroke_major</f>
        <v>2.37883064443116E-005</v>
      </c>
      <c r="BZ77" s="57" t="n">
        <f aca="false">BR77*(1-f_stroke_fatal_recur)*(1-f_stroke_major)</f>
        <v>4.76480492443118E-005</v>
      </c>
      <c r="CA77" s="57" t="n">
        <f aca="false">BS77*(1-f_bleed_fatal)</f>
        <v>3.6675353518578E-006</v>
      </c>
      <c r="CB77" s="57" t="n">
        <f aca="false">BT77*(1-f_bleed_fatal)</f>
        <v>3.4103866252566E-005</v>
      </c>
      <c r="CC77" s="57" t="n">
        <f aca="false">BU77*f_mi_fatal</f>
        <v>1.01010220880413E-006</v>
      </c>
      <c r="CD77" s="57" t="n">
        <f aca="false">BU77-CC77</f>
        <v>7.33784993007296E-006</v>
      </c>
      <c r="CE77" s="57" t="n">
        <f aca="false">BK77-BR77-BS77-BT77-CC77</f>
        <v>0.00375561862648257</v>
      </c>
      <c r="CF77" s="19" t="n">
        <f aca="false">BX77*c_stroke_fatal+BY77*c_stroke_major+BZ77*c_stroke_minor+BS77*c_ich+BT77*c_major_bleed+CC77*c_mi_fatal+CD77*c_mi_nonfatal+BV77*c_tia+BW77*c_minor_bleed</f>
        <v>4.44940844275655</v>
      </c>
      <c r="CG77" s="57" t="n">
        <f aca="false">dt*(CD77*dec_mi+CB77*dec_major_bleed+BW77*dec_minor_bleed+BV77*dec_tia)</f>
        <v>1.6823746745352E-006</v>
      </c>
      <c r="CH77" s="57" t="n">
        <f aca="false">I77*BJ77+BX77+BS77-CA77+BT77-CB77+CC77</f>
        <v>0.000567823306939948</v>
      </c>
      <c r="CI77" s="57" t="n">
        <f aca="false">1-EXP(LN(1-E77)*dt)</f>
        <v>0.0529149866528664</v>
      </c>
      <c r="CJ77" s="57" t="n">
        <f aca="false">J77*(1-CI77)</f>
        <v>0.031109949710816</v>
      </c>
      <c r="CK77" s="57" t="n">
        <f aca="false">(1-EXP(-r_stroke*F77*rr_asa_stroke*dt))</f>
        <v>0.0133267627180289</v>
      </c>
      <c r="CL77" s="57" t="n">
        <f aca="false">(1-EXP(-r_ich*rr_asa_ich*dt))</f>
        <v>0.00102357767802375</v>
      </c>
      <c r="CM77" s="57" t="n">
        <f aca="false">(1-EXP(-r_mb*rr_asa_mb*dt))</f>
        <v>0.00951809672747972</v>
      </c>
      <c r="CN77" s="57" t="n">
        <f aca="false">(1-EXP(-r_mi*rr_asa_mi*dt))</f>
        <v>0.00213413516393479</v>
      </c>
      <c r="CO77" s="57" t="n">
        <f aca="false">(1-EXP(-r_tia*rr_asa_tia*dt))</f>
        <v>0.00312764565589152</v>
      </c>
      <c r="CP77" s="57" t="n">
        <f aca="false">(1-EXP(-r_minor*rr_asa_minor*dt))</f>
        <v>0.0278181950466747</v>
      </c>
      <c r="CQ77" s="57" t="n">
        <f aca="false">CJ77*CK77</f>
        <v>0.000414594917965857</v>
      </c>
      <c r="CR77" s="57" t="n">
        <f aca="false">CJ77*CL77</f>
        <v>3.18434500884326E-005</v>
      </c>
      <c r="CS77" s="57" t="n">
        <f aca="false">CJ77*CM77</f>
        <v>0.000296107510534577</v>
      </c>
      <c r="CT77" s="57" t="n">
        <f aca="false">CJ77*CN77</f>
        <v>6.63928376260955E-005</v>
      </c>
      <c r="CU77" s="57" t="n">
        <f aca="false">CJ77*CO77</f>
        <v>9.73008990680375E-005</v>
      </c>
      <c r="CV77" s="57" t="n">
        <f aca="false">CJ77*CP77</f>
        <v>0.000865422648947722</v>
      </c>
      <c r="CW77" s="57" t="n">
        <f aca="false">CQ77*f_stroke_fatal</f>
        <v>9.82589955579082E-005</v>
      </c>
      <c r="CX77" s="57" t="n">
        <f aca="false">CQ77*(1-f_stroke_fatal)*f_stroke_major</f>
        <v>0.000105339862161847</v>
      </c>
      <c r="CY77" s="57" t="n">
        <f aca="false">CQ77*(1-f_stroke_fatal)*(1-f_stroke_major)</f>
        <v>0.000210996060246102</v>
      </c>
      <c r="CZ77" s="57" t="n">
        <f aca="false">CR77*(1-f_bleed_fatal)</f>
        <v>2.91686002810043E-005</v>
      </c>
      <c r="DA77" s="57" t="n">
        <f aca="false">CS77*(1-f_bleed_fatal)</f>
        <v>0.000271234479649672</v>
      </c>
      <c r="DB77" s="57" t="n">
        <f aca="false">CT77*f_mi_fatal</f>
        <v>8.03353335275756E-006</v>
      </c>
      <c r="DC77" s="57" t="n">
        <f aca="false">CT77-DB77</f>
        <v>5.8359304273338E-005</v>
      </c>
      <c r="DD77" s="57" t="n">
        <f aca="false">CJ77-CQ77-CR77-CS77-DB77</f>
        <v>0.0303593702988744</v>
      </c>
      <c r="DE77" s="19" t="n">
        <f aca="false">CW77*c_stroke_fatal+CX77*c_stroke_major+CY77*c_stroke_minor+CR77*c_ich+CS77*c_major_bleed+DB77*c_mi_fatal+DC77*c_mi_nonfatal+CU77*c_tia+CV77*c_minor_bleed</f>
        <v>19.5075115421227</v>
      </c>
      <c r="DF77" s="57" t="n">
        <f aca="false">dt*(DC77*dec_mi+DA77*dec_major_bleed+CV77*dec_minor_bleed+CU77*dec_tia)</f>
        <v>1.33802430505663E-005</v>
      </c>
      <c r="DG77" s="57" t="n">
        <f aca="false">J77*CI77+CW77+CR77-CZ77+CS77-DA77+DB77</f>
        <v>0.00187199754493907</v>
      </c>
      <c r="DH77" s="57" t="n">
        <f aca="false">AG77</f>
        <v>0.0690671414264886</v>
      </c>
      <c r="DI77" s="57" t="n">
        <f aca="false">AB77+AC77+BF77+BA77+BB77+BC77+CY77+CZ77</f>
        <v>0.00773988415866576</v>
      </c>
      <c r="DJ77" s="57" t="n">
        <f aca="false">AA77+AZ77+BY77+CX77+CE77+BZ77+CA77+CB77</f>
        <v>0.00413102587987146</v>
      </c>
      <c r="DK77" s="57" t="n">
        <f aca="false">AD77+DD77+DA77</f>
        <v>0.0310602453272312</v>
      </c>
      <c r="DL77" s="57" t="n">
        <f aca="false">K77+AJ77+BI77+CH77+DG77</f>
        <v>0.888001703207743</v>
      </c>
      <c r="DM77" s="58" t="n">
        <f aca="false">SUM(DH77:DL77)</f>
        <v>1</v>
      </c>
      <c r="DN77" s="19" t="n">
        <f aca="false">dt*(G77*Apixaban!$H$2+(H77+I77+J77)*c_aspirin)</f>
        <v>5.96270607736357</v>
      </c>
      <c r="DO77" s="19" t="n">
        <f aca="false">dt*(H77*c_lt_minor_stroke+I77*c_lt_major_stroke)</f>
        <v>51.4412296544346</v>
      </c>
      <c r="DP77" s="19" t="n">
        <f aca="false">AH77+BG77+CF77+DE77</f>
        <v>56.0163728675978</v>
      </c>
      <c r="DQ77" s="19" t="n">
        <f aca="false">DN77+DO77+DP77</f>
        <v>113.420308599396</v>
      </c>
      <c r="DR77" s="57" t="n">
        <f aca="false">dt*(G77*(u_af-dec_per_year_over_70*MAX(B77-ref_age,0))+H77*(u_minor_stroke-dec_per_year_over_70*MAX(B77-ref_age,0))+I77*(u_major_stroke-dec_per_year_over_70*MAX(B77-ref_age,0))+J77*(u_af-dec_per_year_over_70*MAX(B77-ref_age,0)))-AI77-BH77-CG77-DF77</f>
        <v>0.0233635183363792</v>
      </c>
      <c r="DS77" s="57" t="n">
        <f aca="false">dt*(G77+H77+I77+J77)</f>
        <v>0.0298957308903327</v>
      </c>
      <c r="DT77" s="19" t="n">
        <f aca="false">DQ77*C77</f>
        <v>87.0800309401351</v>
      </c>
      <c r="DU77" s="19" t="n">
        <f aca="false">DN77*C77</f>
        <v>4.57795112811495</v>
      </c>
      <c r="DV77" s="19" t="n">
        <f aca="false">DP77*C77</f>
        <v>43.0073550557289</v>
      </c>
      <c r="DW77" s="19" t="n">
        <f aca="false">DO77*C77</f>
        <v>39.4947247562912</v>
      </c>
      <c r="DX77" s="57" t="n">
        <f aca="false">DR77*C77</f>
        <v>0.0179376685244987</v>
      </c>
      <c r="DY77" s="57" t="n">
        <f aca="false">DS77*C77</f>
        <v>0.0229528662287733</v>
      </c>
      <c r="DZ77" s="57" t="n">
        <f aca="false">T77+AS77+BR77+CQ77</f>
        <v>0.00119929714461796</v>
      </c>
      <c r="EA77" s="57" t="n">
        <f aca="false">U77+AT77+BS77+CR77</f>
        <v>0.000102465657953118</v>
      </c>
      <c r="EB77" s="57" t="n">
        <f aca="false">V77+AU77+BT77+CS77</f>
        <v>0.000872293143330092</v>
      </c>
      <c r="EC77" s="57" t="n">
        <f aca="false">G77*dt*C77</f>
        <v>0.0141994800947474</v>
      </c>
    </row>
    <row r="78" customFormat="false" ht="15" hidden="false" customHeight="false" outlineLevel="0" collapsed="false">
      <c r="A78" s="8" t="n">
        <v>72</v>
      </c>
      <c r="B78" s="54" t="n">
        <f aca="false">start_age+A78*dt</f>
        <v>88</v>
      </c>
      <c r="C78" s="16" t="n">
        <f aca="false">(1+disc_rate)^-(A78*dt)</f>
        <v>0.764911586614586</v>
      </c>
      <c r="D78" s="55" t="n">
        <f aca="false">IF(A78*dt&gt;=wane_start,(1-wane_decay)^(A78*dt-wane_start),1)</f>
        <v>1</v>
      </c>
      <c r="E78" s="25" t="n">
        <f aca="false">MIN(p_nonvasc_death*MIN(EXP(gomp_int+gomp_slope*INT(B78)),1)/qx_ref,0.999)</f>
        <v>0.217003053696202</v>
      </c>
      <c r="F78" s="55" t="n">
        <f aca="false">rr_stroke_per_decade^((B78-ref_age)/10)</f>
        <v>2.07474280083389</v>
      </c>
      <c r="G78" s="57" t="n">
        <f aca="false">DH77</f>
        <v>0.0690671414264886</v>
      </c>
      <c r="H78" s="57" t="n">
        <f aca="false">DI77</f>
        <v>0.00773988415866576</v>
      </c>
      <c r="I78" s="57" t="n">
        <f aca="false">DJ77</f>
        <v>0.00413102587987146</v>
      </c>
      <c r="J78" s="57" t="n">
        <f aca="false">DK77</f>
        <v>0.0310602453272312</v>
      </c>
      <c r="K78" s="57" t="n">
        <f aca="false">DL77</f>
        <v>0.888001703207743</v>
      </c>
      <c r="L78" s="57" t="n">
        <f aca="false">1-EXP(LN(1-E78)*dt)</f>
        <v>0.0593241011254088</v>
      </c>
      <c r="M78" s="57" t="n">
        <f aca="false">G78*(1-L78)</f>
        <v>0.0649697953440607</v>
      </c>
      <c r="N78" s="57" t="n">
        <f aca="false">IF(Apixaban!$B$2=1,EXP(LN(or_apx_stroke)*D78)*(1-EXP(-r_stroke*F78*dt))/(1-(1-EXP(-r_stroke*F78*dt))+EXP(LN(or_apx_stroke)*D78)*(1-EXP(-r_stroke*F78*dt))),(1-EXP(-r_stroke*F78*dt)))</f>
        <v>0.00659316845304998</v>
      </c>
      <c r="O78" s="57" t="n">
        <f aca="false">IF(Apixaban!$B$2=1,EXP(LN(or_apx_ich)*D78)*(1-EXP(-r_ich*dt))/(1-(1-EXP(-r_ich*dt))+EXP(LN(or_apx_ich)*D78)*(1-EXP(-r_ich*dt))),(1-EXP(-r_ich*dt)))</f>
        <v>0.000843513249640701</v>
      </c>
      <c r="P78" s="57" t="n">
        <f aca="false">IF(Apixaban!$B$2=1,EXP(LN(or_apx_mb)*D78)*(1-EXP(-r_mb*dt))/(1-(1-EXP(-r_mb*dt))+EXP(LN(or_apx_mb)*D78)*(1-EXP(-r_mb*dt))),(1-EXP(-r_mb*dt)))</f>
        <v>0.00669446907979895</v>
      </c>
      <c r="Q78" s="57" t="n">
        <f aca="false">IF(Apixaban!$B$2=1,EXP(LN(or_apx_mi)*D78)*(1-EXP(-r_mi*dt))/(1-(1-EXP(-r_mi*dt))+EXP(LN(or_apx_mi)*D78)*(1-EXP(-r_mi*dt))),(1-EXP(-r_mi*dt)))</f>
        <v>0.00132321915530843</v>
      </c>
      <c r="R78" s="57" t="n">
        <f aca="false">(1-EXP(-r_tia*dt))</f>
        <v>0.0020060281549299</v>
      </c>
      <c r="S78" s="57" t="n">
        <f aca="false">(1-EXP(-r_minor*dt))</f>
        <v>0.0437937690785545</v>
      </c>
      <c r="T78" s="57" t="n">
        <f aca="false">M78*N78</f>
        <v>0.000428356805063574</v>
      </c>
      <c r="U78" s="57" t="n">
        <f aca="false">M78*O78</f>
        <v>5.48028831991599E-005</v>
      </c>
      <c r="V78" s="57" t="n">
        <f aca="false">M78*P78</f>
        <v>0.00043493828605168</v>
      </c>
      <c r="W78" s="57" t="n">
        <f aca="false">M78*Q78</f>
        <v>8.59692777157294E-005</v>
      </c>
      <c r="X78" s="57" t="n">
        <f aca="false">M78*R78</f>
        <v>0.000130331238680219</v>
      </c>
      <c r="Y78" s="57" t="n">
        <f aca="false">M78*S78</f>
        <v>0.00284527221437874</v>
      </c>
      <c r="Z78" s="57" t="n">
        <f aca="false">T78*f_stroke_fatal</f>
        <v>0.000101520562800067</v>
      </c>
      <c r="AA78" s="57" t="n">
        <f aca="false">T78*(1-f_stroke_fatal)*f_stroke_major</f>
        <v>0.000108836468673748</v>
      </c>
      <c r="AB78" s="57" t="n">
        <f aca="false">T78*(1-f_stroke_fatal)*(1-f_stroke_major)</f>
        <v>0.000217999773589759</v>
      </c>
      <c r="AC78" s="57" t="n">
        <f aca="false">U78*(1-f_bleed_fatal)</f>
        <v>5.01994410104304E-005</v>
      </c>
      <c r="AD78" s="57" t="n">
        <f aca="false">V78*(1-f_bleed_fatal)</f>
        <v>0.000398403470023339</v>
      </c>
      <c r="AE78" s="57" t="n">
        <f aca="false">W78*f_mi_fatal</f>
        <v>1.04022826036033E-005</v>
      </c>
      <c r="AF78" s="57" t="n">
        <f aca="false">W78-AE78</f>
        <v>7.55669951121262E-005</v>
      </c>
      <c r="AG78" s="57" t="n">
        <f aca="false">M78-T78-U78-V78-AE78</f>
        <v>0.0640412950871426</v>
      </c>
      <c r="AH78" s="19" t="n">
        <f aca="false">Z78*c_stroke_fatal+AA78*c_stroke_major+AB78*c_stroke_minor+U78*c_ich+V78*c_major_bleed+AE78*c_mi_fatal+AF78*c_mi_nonfatal+X78*c_tia+Y78*c_minor_bleed</f>
        <v>22.1399931354412</v>
      </c>
      <c r="AI78" s="57" t="n">
        <f aca="false">dt*(AF78*dec_mi+AD78*dec_major_bleed+Y78*dec_minor_bleed+X78*dec_tia)</f>
        <v>2.41279125005373E-005</v>
      </c>
      <c r="AJ78" s="57" t="n">
        <f aca="false">G78*L78+Z78+U78-AC78+V78-AD78+AE78</f>
        <v>0.00425040718604866</v>
      </c>
      <c r="AK78" s="57" t="n">
        <f aca="false">1-EXP(LN(1-E78)*hr_death_prior_stroke*dt)</f>
        <v>0.131215549572992</v>
      </c>
      <c r="AL78" s="57" t="n">
        <f aca="false">H78*(1-AK78)</f>
        <v>0.00672429100515514</v>
      </c>
      <c r="AM78" s="57" t="n">
        <f aca="false">(1-EXP(-r_stroke*F78*rr_stroke_prior*rr_asa_stroke*dt))</f>
        <v>0.0293765755039042</v>
      </c>
      <c r="AN78" s="57" t="n">
        <f aca="false">(1-EXP(-r_ich*rr_asa_ich*dt))</f>
        <v>0.00102357767802375</v>
      </c>
      <c r="AO78" s="57" t="n">
        <f aca="false">(1-EXP(-r_mb*rr_asa_mb*dt))</f>
        <v>0.00951809672747972</v>
      </c>
      <c r="AP78" s="57" t="n">
        <f aca="false">(1-EXP(-r_mi*rr_asa_mi*dt))</f>
        <v>0.00213413516393479</v>
      </c>
      <c r="AQ78" s="57" t="n">
        <f aca="false">(1-EXP(-r_tia*rr_asa_tia*dt))</f>
        <v>0.00312764565589152</v>
      </c>
      <c r="AR78" s="57" t="n">
        <f aca="false">(1-EXP(-r_minor*rr_asa_minor*dt))</f>
        <v>0.0278181950466747</v>
      </c>
      <c r="AS78" s="57" t="n">
        <f aca="false">AL78*AM78</f>
        <v>0.000197536642423164</v>
      </c>
      <c r="AT78" s="57" t="n">
        <f aca="false">AL78*AN78</f>
        <v>6.88283417341266E-006</v>
      </c>
      <c r="AU78" s="57" t="n">
        <f aca="false">AL78*AO78</f>
        <v>6.40024522107885E-005</v>
      </c>
      <c r="AV78" s="57" t="n">
        <f aca="false">AL78*AP78</f>
        <v>1.4350545886632E-005</v>
      </c>
      <c r="AW78" s="57" t="n">
        <f aca="false">AL78*AQ78</f>
        <v>2.10311995512239E-005</v>
      </c>
      <c r="AX78" s="57" t="n">
        <f aca="false">AL78*AR78</f>
        <v>0.000187057638732006</v>
      </c>
      <c r="AY78" s="57" t="n">
        <f aca="false">AS78*f_stroke_fatal_recur</f>
        <v>7.3501409279235E-005</v>
      </c>
      <c r="AZ78" s="57" t="n">
        <f aca="false">AS78*(1-f_stroke_fatal_recur)*f_stroke_major</f>
        <v>4.13037326369283E-005</v>
      </c>
      <c r="BA78" s="57" t="n">
        <f aca="false">AS78*(1-f_stroke_fatal_recur)*(1-f_stroke_major)</f>
        <v>8.27315005070004E-005</v>
      </c>
      <c r="BB78" s="57" t="n">
        <f aca="false">AT78*(1-f_bleed_fatal)</f>
        <v>6.304676102846E-006</v>
      </c>
      <c r="BC78" s="57" t="n">
        <f aca="false">AU78*(1-f_bleed_fatal)</f>
        <v>5.86262462250823E-005</v>
      </c>
      <c r="BD78" s="57" t="n">
        <f aca="false">AV78*f_mi_fatal</f>
        <v>1.73641605228247E-006</v>
      </c>
      <c r="BE78" s="57" t="n">
        <f aca="false">AV78-BD78</f>
        <v>1.26141298343495E-005</v>
      </c>
      <c r="BF78" s="57" t="n">
        <f aca="false">AL78-AS78-AT78-AU78-BD78</f>
        <v>0.0064541326602955</v>
      </c>
      <c r="BG78" s="19" t="n">
        <f aca="false">AY78*c_stroke_fatal+AZ78*c_stroke_major+BA78*c_stroke_minor+AT78*c_ich+AU78*c_major_bleed+BD78*c_mi_fatal+BE78*c_mi_nonfatal+AW78*c_tia+AX78*c_minor_bleed</f>
        <v>7.71643750298191</v>
      </c>
      <c r="BH78" s="57" t="n">
        <f aca="false">dt*(BE78*dec_mi+BC78*dec_major_bleed+AX78*dec_minor_bleed+AW78*dec_tia)</f>
        <v>2.89208593482335E-006</v>
      </c>
      <c r="BI78" s="57" t="n">
        <f aca="false">H78*AK78+AY78+AT78-BB78+AU78-BC78+BD78</f>
        <v>0.00109678534289841</v>
      </c>
      <c r="BJ78" s="57" t="n">
        <f aca="false">1-EXP(LN(1-E78)*hr_death_prior_stroke*dt)</f>
        <v>0.131215549572992</v>
      </c>
      <c r="BK78" s="57" t="n">
        <f aca="false">I78*(1-BJ78)</f>
        <v>0.00358897104874387</v>
      </c>
      <c r="BL78" s="57" t="n">
        <f aca="false">(1-EXP(-r_stroke*F78*rr_stroke_prior*rr_asa_stroke*dt))</f>
        <v>0.0293765755039042</v>
      </c>
      <c r="BM78" s="57" t="n">
        <f aca="false">(1-EXP(-r_ich*rr_asa_ich*dt))</f>
        <v>0.00102357767802375</v>
      </c>
      <c r="BN78" s="57" t="n">
        <f aca="false">(1-EXP(-r_mb*rr_asa_mb*dt))</f>
        <v>0.00951809672747972</v>
      </c>
      <c r="BO78" s="57" t="n">
        <f aca="false">(1-EXP(-r_mi*rr_asa_mi*dt))</f>
        <v>0.00213413516393479</v>
      </c>
      <c r="BP78" s="57" t="n">
        <f aca="false">(1-EXP(-r_tia*rr_asa_tia*dt))</f>
        <v>0.00312764565589152</v>
      </c>
      <c r="BQ78" s="57" t="n">
        <f aca="false">(1-EXP(-r_minor*rr_asa_minor*dt))</f>
        <v>0.0278181950466747</v>
      </c>
      <c r="BR78" s="57" t="n">
        <f aca="false">BK78*BL78</f>
        <v>0.000105431678994751</v>
      </c>
      <c r="BS78" s="57" t="n">
        <f aca="false">BK78*BM78</f>
        <v>3.6735906525677E-006</v>
      </c>
      <c r="BT78" s="57" t="n">
        <f aca="false">BK78*BN78</f>
        <v>3.41601735940685E-005</v>
      </c>
      <c r="BU78" s="57" t="n">
        <f aca="false">BK78*BO78</f>
        <v>7.65934931746823E-006</v>
      </c>
      <c r="BV78" s="57" t="n">
        <f aca="false">BK78*BP78</f>
        <v>1.12250297097242E-005</v>
      </c>
      <c r="BW78" s="57" t="n">
        <f aca="false">BK78*BQ78</f>
        <v>9.98386966508258E-005</v>
      </c>
      <c r="BX78" s="57" t="n">
        <f aca="false">BR78*f_stroke_fatal_recur</f>
        <v>3.92300734371567E-005</v>
      </c>
      <c r="BY78" s="57" t="n">
        <f aca="false">BR78*(1-f_stroke_fatal_recur)*f_stroke_major</f>
        <v>2.20451346506787E-005</v>
      </c>
      <c r="BZ78" s="57" t="n">
        <f aca="false">BR78*(1-f_stroke_fatal_recur)*(1-f_stroke_major)</f>
        <v>4.41564709069151E-005</v>
      </c>
      <c r="CA78" s="57" t="n">
        <f aca="false">BS78*(1-f_bleed_fatal)</f>
        <v>3.36500903775202E-006</v>
      </c>
      <c r="CB78" s="57" t="n">
        <f aca="false">BT78*(1-f_bleed_fatal)</f>
        <v>3.12907190121668E-005</v>
      </c>
      <c r="CC78" s="57" t="n">
        <f aca="false">BU78*f_mi_fatal</f>
        <v>9.26781267413656E-007</v>
      </c>
      <c r="CD78" s="57" t="n">
        <f aca="false">BU78-CC78</f>
        <v>6.73256805005457E-006</v>
      </c>
      <c r="CE78" s="57" t="n">
        <f aca="false">BK78-BR78-BS78-BT78-CC78</f>
        <v>0.00344477882423507</v>
      </c>
      <c r="CF78" s="19" t="n">
        <f aca="false">BX78*c_stroke_fatal+BY78*c_stroke_major+BZ78*c_stroke_minor+BS78*c_ich+BT78*c_major_bleed+CC78*c_mi_fatal+CD78*c_mi_nonfatal+BV78*c_tia+BW78*c_minor_bleed</f>
        <v>4.11851164329623</v>
      </c>
      <c r="CG78" s="57" t="n">
        <f aca="false">dt*(CD78*dec_mi+CB78*dec_major_bleed+BW78*dec_minor_bleed+BV78*dec_tia)</f>
        <v>1.54359956798462E-006</v>
      </c>
      <c r="CH78" s="57" t="n">
        <f aca="false">I78*BJ78+BX78+BS78-CA78+BT78-CB78+CC78</f>
        <v>0.000585389722028873</v>
      </c>
      <c r="CI78" s="57" t="n">
        <f aca="false">1-EXP(LN(1-E78)*dt)</f>
        <v>0.0593241011254088</v>
      </c>
      <c r="CJ78" s="57" t="n">
        <f aca="false">J78*(1-CI78)</f>
        <v>0.0292176241924585</v>
      </c>
      <c r="CK78" s="57" t="n">
        <f aca="false">(1-EXP(-r_stroke*F78*rr_asa_stroke*dt))</f>
        <v>0.0134616201536988</v>
      </c>
      <c r="CL78" s="57" t="n">
        <f aca="false">(1-EXP(-r_ich*rr_asa_ich*dt))</f>
        <v>0.00102357767802375</v>
      </c>
      <c r="CM78" s="57" t="n">
        <f aca="false">(1-EXP(-r_mb*rr_asa_mb*dt))</f>
        <v>0.00951809672747972</v>
      </c>
      <c r="CN78" s="57" t="n">
        <f aca="false">(1-EXP(-r_mi*rr_asa_mi*dt))</f>
        <v>0.00213413516393479</v>
      </c>
      <c r="CO78" s="57" t="n">
        <f aca="false">(1-EXP(-r_tia*rr_asa_tia*dt))</f>
        <v>0.00312764565589152</v>
      </c>
      <c r="CP78" s="57" t="n">
        <f aca="false">(1-EXP(-r_minor*rr_asa_minor*dt))</f>
        <v>0.0278181950466747</v>
      </c>
      <c r="CQ78" s="57" t="n">
        <f aca="false">CJ78*CK78</f>
        <v>0.000393316558672397</v>
      </c>
      <c r="CR78" s="57" t="n">
        <f aca="false">CJ78*CL78</f>
        <v>2.99065079282871E-005</v>
      </c>
      <c r="CS78" s="57" t="n">
        <f aca="false">CJ78*CM78</f>
        <v>0.000278096173210972</v>
      </c>
      <c r="CT78" s="57" t="n">
        <f aca="false">CJ78*CN78</f>
        <v>6.23543591957576E-005</v>
      </c>
      <c r="CU78" s="57" t="n">
        <f aca="false">CJ78*CO78</f>
        <v>9.13823753810139E-005</v>
      </c>
      <c r="CV78" s="57" t="n">
        <f aca="false">CJ78*CP78</f>
        <v>0.000812781568586253</v>
      </c>
      <c r="CW78" s="57" t="n">
        <f aca="false">CQ78*f_stroke_fatal</f>
        <v>9.32160244053581E-005</v>
      </c>
      <c r="CX78" s="57" t="n">
        <f aca="false">CQ78*(1-f_stroke_fatal)*f_stroke_major</f>
        <v>9.9933477910924E-005</v>
      </c>
      <c r="CY78" s="57" t="n">
        <f aca="false">CQ78*(1-f_stroke_fatal)*(1-f_stroke_major)</f>
        <v>0.000200167056356115</v>
      </c>
      <c r="CZ78" s="57" t="n">
        <f aca="false">CR78*(1-f_bleed_fatal)</f>
        <v>2.7394361262311E-005</v>
      </c>
      <c r="DA78" s="57" t="n">
        <f aca="false">CS78*(1-f_bleed_fatal)</f>
        <v>0.00025473609466125</v>
      </c>
      <c r="DB78" s="57" t="n">
        <f aca="false">CT78*f_mi_fatal</f>
        <v>7.54487746268667E-006</v>
      </c>
      <c r="DC78" s="57" t="n">
        <f aca="false">CT78-DB78</f>
        <v>5.4809481733071E-005</v>
      </c>
      <c r="DD78" s="57" t="n">
        <f aca="false">CJ78-CQ78-CR78-CS78-DB78</f>
        <v>0.0285087600751842</v>
      </c>
      <c r="DE78" s="19" t="n">
        <f aca="false">CW78*c_stroke_fatal+CX78*c_stroke_major+CY78*c_stroke_minor+CR78*c_ich+CS78*c_major_bleed+DB78*c_mi_fatal+DC78*c_mi_nonfatal+CU78*c_tia+CV78*c_minor_bleed</f>
        <v>18.4665093244158</v>
      </c>
      <c r="DF78" s="57" t="n">
        <f aca="false">dt*(DC78*dec_mi+DA78*dec_major_bleed+CV78*dec_minor_bleed+CU78*dec_tia)</f>
        <v>1.25663627453337E-005</v>
      </c>
      <c r="DG78" s="57" t="n">
        <f aca="false">J78*CI78+CW78+CR78-CZ78+CS78-DA78+DB78</f>
        <v>0.00196925426185641</v>
      </c>
      <c r="DH78" s="57" t="n">
        <f aca="false">AG78</f>
        <v>0.0640412950871426</v>
      </c>
      <c r="DI78" s="57" t="n">
        <f aca="false">AB78+AC78+BF78+BA78+BB78+BC78+CY78+CZ78</f>
        <v>0.00709755571534904</v>
      </c>
      <c r="DJ78" s="57" t="n">
        <f aca="false">AA78+AZ78+BY78+CX78+CE78+BZ78+CA78+CB78</f>
        <v>0.00379570983706419</v>
      </c>
      <c r="DK78" s="57" t="n">
        <f aca="false">AD78+DD78+DA78</f>
        <v>0.0291618996398688</v>
      </c>
      <c r="DL78" s="57" t="n">
        <f aca="false">K78+AJ78+BI78+CH78+DG78</f>
        <v>0.895903539720575</v>
      </c>
      <c r="DM78" s="58" t="n">
        <f aca="false">SUM(DH78:DL78)</f>
        <v>0.999999999999999</v>
      </c>
      <c r="DN78" s="19" t="n">
        <f aca="false">dt*(G78*Apixaban!$H$2+(H78+I78+J78)*c_aspirin)</f>
        <v>5.57031520588019</v>
      </c>
      <c r="DO78" s="19" t="n">
        <f aca="false">dt*(H78*c_lt_minor_stroke+I78*c_lt_major_stroke)</f>
        <v>47.8934896039604</v>
      </c>
      <c r="DP78" s="19" t="n">
        <f aca="false">AH78+BG78+CF78+DE78</f>
        <v>52.4414516061351</v>
      </c>
      <c r="DQ78" s="19" t="n">
        <f aca="false">DN78+DO78+DP78</f>
        <v>105.905256415976</v>
      </c>
      <c r="DR78" s="57" t="n">
        <f aca="false">dt*(G78*(u_af-dec_per_year_over_70*MAX(B78-ref_age,0))+H78*(u_minor_stroke-dec_per_year_over_70*MAX(B78-ref_age,0))+I78*(u_major_stroke-dec_per_year_over_70*MAX(B78-ref_age,0))+J78*(u_af-dec_per_year_over_70*MAX(B78-ref_age,0)))-AI78-BH78-CG78-DF78</f>
        <v>0.0218832311612268</v>
      </c>
      <c r="DS78" s="57" t="n">
        <f aca="false">dt*(G78+H78+I78+J78)</f>
        <v>0.0279995741980643</v>
      </c>
      <c r="DT78" s="19" t="n">
        <f aca="false">DQ78*C78</f>
        <v>81.0081577159685</v>
      </c>
      <c r="DU78" s="19" t="n">
        <f aca="false">DN78*C78</f>
        <v>4.26079864207317</v>
      </c>
      <c r="DV78" s="19" t="n">
        <f aca="false">DP78*C78</f>
        <v>40.1130739524208</v>
      </c>
      <c r="DW78" s="19" t="n">
        <f aca="false">DO78*C78</f>
        <v>36.6342851214745</v>
      </c>
      <c r="DX78" s="57" t="n">
        <f aca="false">DR78*C78</f>
        <v>0.0167387370677878</v>
      </c>
      <c r="DY78" s="57" t="n">
        <f aca="false">DS78*C78</f>
        <v>0.0214171987243741</v>
      </c>
      <c r="DZ78" s="57" t="n">
        <f aca="false">T78+AS78+BR78+CQ78</f>
        <v>0.00112464168515389</v>
      </c>
      <c r="EA78" s="57" t="n">
        <f aca="false">U78+AT78+BS78+CR78</f>
        <v>9.52658159534274E-005</v>
      </c>
      <c r="EB78" s="57" t="n">
        <f aca="false">V78+AU78+BT78+CS78</f>
        <v>0.000811197085067509</v>
      </c>
      <c r="EC78" s="57" t="n">
        <f aca="false">G78*dt*C78</f>
        <v>0.0132075641828673</v>
      </c>
    </row>
    <row r="79" customFormat="false" ht="15" hidden="false" customHeight="false" outlineLevel="0" collapsed="false">
      <c r="A79" s="8" t="n">
        <v>73</v>
      </c>
      <c r="B79" s="54" t="n">
        <f aca="false">start_age+A79*dt</f>
        <v>88.25</v>
      </c>
      <c r="C79" s="16" t="n">
        <f aca="false">(1+disc_rate)^-(A79*dt)</f>
        <v>0.762069760699905</v>
      </c>
      <c r="D79" s="55" t="n">
        <f aca="false">IF(A79*dt&gt;=wane_start,(1-wane_decay)^(A79*dt-wane_start),1)</f>
        <v>1</v>
      </c>
      <c r="E79" s="25" t="n">
        <f aca="false">MIN(p_nonvasc_death*MIN(EXP(gomp_int+gomp_slope*INT(B79)),1)/qx_ref,0.999)</f>
        <v>0.217003053696202</v>
      </c>
      <c r="F79" s="55" t="n">
        <f aca="false">rr_stroke_per_decade^((B79-ref_age)/10)</f>
        <v>2.09588064843593</v>
      </c>
      <c r="G79" s="57" t="n">
        <f aca="false">DH78</f>
        <v>0.0640412950871426</v>
      </c>
      <c r="H79" s="57" t="n">
        <f aca="false">DI78</f>
        <v>0.00709755571534904</v>
      </c>
      <c r="I79" s="57" t="n">
        <f aca="false">DJ78</f>
        <v>0.00379570983706419</v>
      </c>
      <c r="J79" s="57" t="n">
        <f aca="false">DK78</f>
        <v>0.0291618996398688</v>
      </c>
      <c r="K79" s="57" t="n">
        <f aca="false">DL78</f>
        <v>0.895903539720575</v>
      </c>
      <c r="L79" s="57" t="n">
        <f aca="false">1-EXP(LN(1-E79)*dt)</f>
        <v>0.0593241011254088</v>
      </c>
      <c r="M79" s="57" t="n">
        <f aca="false">G79*(1-L79)</f>
        <v>0.0602421028211908</v>
      </c>
      <c r="N79" s="57" t="n">
        <f aca="false">IF(Apixaban!$B$2=1,EXP(LN(or_apx_stroke)*D79)*(1-EXP(-r_stroke*F79*dt))/(1-(1-EXP(-r_stroke*F79*dt))+EXP(LN(or_apx_stroke)*D79)*(1-EXP(-r_stroke*F79*dt))),(1-EXP(-r_stroke*F79*dt)))</f>
        <v>0.00666017580085311</v>
      </c>
      <c r="O79" s="57" t="n">
        <f aca="false">IF(Apixaban!$B$2=1,EXP(LN(or_apx_ich)*D79)*(1-EXP(-r_ich*dt))/(1-(1-EXP(-r_ich*dt))+EXP(LN(or_apx_ich)*D79)*(1-EXP(-r_ich*dt))),(1-EXP(-r_ich*dt)))</f>
        <v>0.000843513249640701</v>
      </c>
      <c r="P79" s="57" t="n">
        <f aca="false">IF(Apixaban!$B$2=1,EXP(LN(or_apx_mb)*D79)*(1-EXP(-r_mb*dt))/(1-(1-EXP(-r_mb*dt))+EXP(LN(or_apx_mb)*D79)*(1-EXP(-r_mb*dt))),(1-EXP(-r_mb*dt)))</f>
        <v>0.00669446907979895</v>
      </c>
      <c r="Q79" s="57" t="n">
        <f aca="false">IF(Apixaban!$B$2=1,EXP(LN(or_apx_mi)*D79)*(1-EXP(-r_mi*dt))/(1-(1-EXP(-r_mi*dt))+EXP(LN(or_apx_mi)*D79)*(1-EXP(-r_mi*dt))),(1-EXP(-r_mi*dt)))</f>
        <v>0.00132321915530843</v>
      </c>
      <c r="R79" s="57" t="n">
        <f aca="false">(1-EXP(-r_tia*dt))</f>
        <v>0.0020060281549299</v>
      </c>
      <c r="S79" s="57" t="n">
        <f aca="false">(1-EXP(-r_minor*dt))</f>
        <v>0.0437937690785545</v>
      </c>
      <c r="T79" s="57" t="n">
        <f aca="false">M79*N79</f>
        <v>0.0004012229954022</v>
      </c>
      <c r="U79" s="57" t="n">
        <f aca="false">M79*O79</f>
        <v>5.08150119158919E-005</v>
      </c>
      <c r="V79" s="57" t="n">
        <f aca="false">M79*P79</f>
        <v>0.000403288894638531</v>
      </c>
      <c r="W79" s="57" t="n">
        <f aca="false">M79*Q79</f>
        <v>7.97135044090597E-005</v>
      </c>
      <c r="X79" s="57" t="n">
        <f aca="false">M79*R79</f>
        <v>0.000120847354371491</v>
      </c>
      <c r="Y79" s="57" t="n">
        <f aca="false">M79*S79</f>
        <v>0.00263822873975777</v>
      </c>
      <c r="Z79" s="57" t="n">
        <f aca="false">T79*f_stroke_fatal</f>
        <v>9.50898499103215E-005</v>
      </c>
      <c r="AA79" s="57" t="n">
        <f aca="false">T79*(1-f_stroke_fatal)*f_stroke_major</f>
        <v>0.000101942337448796</v>
      </c>
      <c r="AB79" s="57" t="n">
        <f aca="false">T79*(1-f_stroke_fatal)*(1-f_stroke_major)</f>
        <v>0.000204190808043083</v>
      </c>
      <c r="AC79" s="57" t="n">
        <f aca="false">U79*(1-f_bleed_fatal)</f>
        <v>4.6546550914957E-005</v>
      </c>
      <c r="AD79" s="57" t="n">
        <f aca="false">V79*(1-f_bleed_fatal)</f>
        <v>0.000369412627488895</v>
      </c>
      <c r="AE79" s="57" t="n">
        <f aca="false">W79*f_mi_fatal</f>
        <v>9.64533403349622E-006</v>
      </c>
      <c r="AF79" s="57" t="n">
        <f aca="false">W79-AE79</f>
        <v>7.00681703755634E-005</v>
      </c>
      <c r="AG79" s="57" t="n">
        <f aca="false">M79-T79-U79-V79-AE79</f>
        <v>0.0593771305852007</v>
      </c>
      <c r="AH79" s="19" t="n">
        <f aca="false">Z79*c_stroke_fatal+AA79*c_stroke_major+AB79*c_stroke_minor+U79*c_ich+V79*c_major_bleed+AE79*c_mi_fatal+AF79*c_mi_nonfatal+X79*c_tia+Y79*c_minor_bleed</f>
        <v>20.6780653371727</v>
      </c>
      <c r="AI79" s="57" t="n">
        <f aca="false">dt*(AF79*dec_mi+AD79*dec_major_bleed+Y79*dec_minor_bleed+X79*dec_tia)</f>
        <v>2.23721835357596E-005</v>
      </c>
      <c r="AJ79" s="57" t="n">
        <f aca="false">G79*L79+Z79+U79-AC79+V79-AD79+AE79</f>
        <v>0.00394207217804618</v>
      </c>
      <c r="AK79" s="57" t="n">
        <f aca="false">1-EXP(LN(1-E79)*hr_death_prior_stroke*dt)</f>
        <v>0.131215549572992</v>
      </c>
      <c r="AL79" s="57" t="n">
        <f aca="false">H79*(1-AK79)</f>
        <v>0.00616624604153459</v>
      </c>
      <c r="AM79" s="57" t="n">
        <f aca="false">(1-EXP(-r_stroke*F79*rr_stroke_prior*rr_asa_stroke*dt))</f>
        <v>0.0296713846803001</v>
      </c>
      <c r="AN79" s="57" t="n">
        <f aca="false">(1-EXP(-r_ich*rr_asa_ich*dt))</f>
        <v>0.00102357767802375</v>
      </c>
      <c r="AO79" s="57" t="n">
        <f aca="false">(1-EXP(-r_mb*rr_asa_mb*dt))</f>
        <v>0.00951809672747972</v>
      </c>
      <c r="AP79" s="57" t="n">
        <f aca="false">(1-EXP(-r_mi*rr_asa_mi*dt))</f>
        <v>0.00213413516393479</v>
      </c>
      <c r="AQ79" s="57" t="n">
        <f aca="false">(1-EXP(-r_tia*rr_asa_tia*dt))</f>
        <v>0.00312764565589152</v>
      </c>
      <c r="AR79" s="57" t="n">
        <f aca="false">(1-EXP(-r_minor*rr_asa_minor*dt))</f>
        <v>0.0278181950466747</v>
      </c>
      <c r="AS79" s="57" t="n">
        <f aca="false">AL79*AM79</f>
        <v>0.00018296105833175</v>
      </c>
      <c r="AT79" s="57" t="n">
        <f aca="false">AL79*AN79</f>
        <v>6.31163180531709E-006</v>
      </c>
      <c r="AU79" s="57" t="n">
        <f aca="false">AL79*AO79</f>
        <v>5.86909262687651E-005</v>
      </c>
      <c r="AV79" s="57" t="n">
        <f aca="false">AL79*AP79</f>
        <v>1.31596025067127E-005</v>
      </c>
      <c r="AW79" s="57" t="n">
        <f aca="false">AL79*AQ79</f>
        <v>1.92858326449639E-005</v>
      </c>
      <c r="AX79" s="57" t="n">
        <f aca="false">AL79*AR79</f>
        <v>0.000171533835089195</v>
      </c>
      <c r="AY79" s="57" t="n">
        <f aca="false">AS79*f_stroke_fatal_recur</f>
        <v>6.8077980194661E-005</v>
      </c>
      <c r="AZ79" s="57" t="n">
        <f aca="false">AS79*(1-f_stroke_fatal_recur)*f_stroke_major</f>
        <v>3.82560650196507E-005</v>
      </c>
      <c r="BA79" s="57" t="n">
        <f aca="false">AS79*(1-f_stroke_fatal_recur)*(1-f_stroke_major)</f>
        <v>7.66270131174386E-005</v>
      </c>
      <c r="BB79" s="57" t="n">
        <f aca="false">AT79*(1-f_bleed_fatal)</f>
        <v>5.78145473367045E-006</v>
      </c>
      <c r="BC79" s="57" t="n">
        <f aca="false">AU79*(1-f_bleed_fatal)</f>
        <v>5.37608884621889E-005</v>
      </c>
      <c r="BD79" s="57" t="n">
        <f aca="false">AV79*f_mi_fatal</f>
        <v>1.59231190331223E-006</v>
      </c>
      <c r="BE79" s="57" t="n">
        <f aca="false">AV79-BD79</f>
        <v>1.15672906034004E-005</v>
      </c>
      <c r="BF79" s="57" t="n">
        <f aca="false">AL79-AS79-AT79-AU79-BD79</f>
        <v>0.00591669011322544</v>
      </c>
      <c r="BG79" s="19" t="n">
        <f aca="false">AY79*c_stroke_fatal+AZ79*c_stroke_major+BA79*c_stroke_minor+AT79*c_ich+AU79*c_major_bleed+BD79*c_mi_fatal+BE79*c_mi_nonfatal+AW79*c_tia+AX79*c_minor_bleed</f>
        <v>7.13873391390849</v>
      </c>
      <c r="BH79" s="57" t="n">
        <f aca="false">dt*(BE79*dec_mi+BC79*dec_major_bleed+AX79*dec_minor_bleed+AW79*dec_tia)</f>
        <v>2.65207342063431E-006</v>
      </c>
      <c r="BI79" s="57" t="n">
        <f aca="false">H79*AK79+AY79+AT79-BB79+AU79-BC79+BD79</f>
        <v>0.00100644018079065</v>
      </c>
      <c r="BJ79" s="57" t="n">
        <f aca="false">1-EXP(LN(1-E79)*hr_death_prior_stroke*dt)</f>
        <v>0.131215549572992</v>
      </c>
      <c r="BK79" s="57" t="n">
        <f aca="false">I79*(1-BJ79)</f>
        <v>0.0032976536847742</v>
      </c>
      <c r="BL79" s="57" t="n">
        <f aca="false">(1-EXP(-r_stroke*F79*rr_stroke_prior*rr_asa_stroke*dt))</f>
        <v>0.0296713846803001</v>
      </c>
      <c r="BM79" s="57" t="n">
        <f aca="false">(1-EXP(-r_ich*rr_asa_ich*dt))</f>
        <v>0.00102357767802375</v>
      </c>
      <c r="BN79" s="57" t="n">
        <f aca="false">(1-EXP(-r_mb*rr_asa_mb*dt))</f>
        <v>0.00951809672747972</v>
      </c>
      <c r="BO79" s="57" t="n">
        <f aca="false">(1-EXP(-r_mi*rr_asa_mi*dt))</f>
        <v>0.00213413516393479</v>
      </c>
      <c r="BP79" s="57" t="n">
        <f aca="false">(1-EXP(-r_tia*rr_asa_tia*dt))</f>
        <v>0.00312764565589152</v>
      </c>
      <c r="BQ79" s="57" t="n">
        <f aca="false">(1-EXP(-r_minor*rr_asa_minor*dt))</f>
        <v>0.0278181950466747</v>
      </c>
      <c r="BR79" s="57" t="n">
        <f aca="false">BK79*BL79</f>
        <v>9.78459510233442E-005</v>
      </c>
      <c r="BS79" s="57" t="n">
        <f aca="false">BK79*BM79</f>
        <v>3.37540470158762E-006</v>
      </c>
      <c r="BT79" s="57" t="n">
        <f aca="false">BK79*BN79</f>
        <v>3.13873867454107E-005</v>
      </c>
      <c r="BU79" s="57" t="n">
        <f aca="false">BK79*BO79</f>
        <v>7.03763868715575E-006</v>
      </c>
      <c r="BV79" s="57" t="n">
        <f aca="false">BK79*BP79</f>
        <v>1.03138922218187E-005</v>
      </c>
      <c r="BW79" s="57" t="n">
        <f aca="false">BK79*BQ79</f>
        <v>9.17347733994342E-005</v>
      </c>
      <c r="BX79" s="57" t="n">
        <f aca="false">BR79*f_stroke_fatal_recur</f>
        <v>3.64074999162761E-005</v>
      </c>
      <c r="BY79" s="57" t="n">
        <f aca="false">BR79*(1-f_stroke_fatal_recur)*f_stroke_major</f>
        <v>2.04590042186537E-005</v>
      </c>
      <c r="BZ79" s="57" t="n">
        <f aca="false">BR79*(1-f_stroke_fatal_recur)*(1-f_stroke_major)</f>
        <v>4.09794468884144E-005</v>
      </c>
      <c r="CA79" s="57" t="n">
        <f aca="false">BS79*(1-f_bleed_fatal)</f>
        <v>3.09187070665426E-006</v>
      </c>
      <c r="CB79" s="57" t="n">
        <f aca="false">BT79*(1-f_bleed_fatal)</f>
        <v>2.87508462587962E-005</v>
      </c>
      <c r="CC79" s="57" t="n">
        <f aca="false">BU79*f_mi_fatal</f>
        <v>8.51554281145846E-007</v>
      </c>
      <c r="CD79" s="57" t="n">
        <f aca="false">BU79-CC79</f>
        <v>6.18608440600991E-006</v>
      </c>
      <c r="CE79" s="57" t="n">
        <f aca="false">BK79-BR79-BS79-BT79-CC79</f>
        <v>0.00316419338802271</v>
      </c>
      <c r="CF79" s="19" t="n">
        <f aca="false">BX79*c_stroke_fatal+BY79*c_stroke_major+BZ79*c_stroke_minor+BS79*c_ich+BT79*c_major_bleed+CC79*c_mi_fatal+CD79*c_mi_nonfatal+BV79*c_tia+BW79*c_minor_bleed</f>
        <v>3.81773157237887</v>
      </c>
      <c r="CG79" s="57" t="n">
        <f aca="false">dt*(CD79*dec_mi+CB79*dec_major_bleed+BW79*dec_minor_bleed+BV79*dec_tia)</f>
        <v>1.41830533990012E-006</v>
      </c>
      <c r="CH79" s="57" t="n">
        <f aca="false">I79*BJ79+BX79+BS79-CA79+BT79-CB79+CC79</f>
        <v>0.000538235280968958</v>
      </c>
      <c r="CI79" s="57" t="n">
        <f aca="false">1-EXP(LN(1-E79)*dt)</f>
        <v>0.0593241011254088</v>
      </c>
      <c r="CJ79" s="57" t="n">
        <f aca="false">J79*(1-CI79)</f>
        <v>0.0274318961566242</v>
      </c>
      <c r="CK79" s="57" t="n">
        <f aca="false">(1-EXP(-r_stroke*F79*rr_asa_stroke*dt))</f>
        <v>0.0135978328260374</v>
      </c>
      <c r="CL79" s="57" t="n">
        <f aca="false">(1-EXP(-r_ich*rr_asa_ich*dt))</f>
        <v>0.00102357767802375</v>
      </c>
      <c r="CM79" s="57" t="n">
        <f aca="false">(1-EXP(-r_mb*rr_asa_mb*dt))</f>
        <v>0.00951809672747972</v>
      </c>
      <c r="CN79" s="57" t="n">
        <f aca="false">(1-EXP(-r_mi*rr_asa_mi*dt))</f>
        <v>0.00213413516393479</v>
      </c>
      <c r="CO79" s="57" t="n">
        <f aca="false">(1-EXP(-r_tia*rr_asa_tia*dt))</f>
        <v>0.00312764565589152</v>
      </c>
      <c r="CP79" s="57" t="n">
        <f aca="false">(1-EXP(-r_minor*rr_asa_minor*dt))</f>
        <v>0.0278181950466747</v>
      </c>
      <c r="CQ79" s="57" t="n">
        <f aca="false">CJ79*CK79</f>
        <v>0.000373014338038995</v>
      </c>
      <c r="CR79" s="57" t="n">
        <f aca="false">CJ79*CL79</f>
        <v>2.80786765717859E-005</v>
      </c>
      <c r="CS79" s="57" t="n">
        <f aca="false">CJ79*CM79</f>
        <v>0.000261099441036928</v>
      </c>
      <c r="CT79" s="57" t="n">
        <f aca="false">CJ79*CN79</f>
        <v>5.85433742012593E-005</v>
      </c>
      <c r="CU79" s="57" t="n">
        <f aca="false">CJ79*CO79</f>
        <v>8.57972508471329E-005</v>
      </c>
      <c r="CV79" s="57" t="n">
        <f aca="false">CJ79*CP79</f>
        <v>0.000763105837785098</v>
      </c>
      <c r="CW79" s="57" t="n">
        <f aca="false">CQ79*f_stroke_fatal</f>
        <v>8.84043981152417E-005</v>
      </c>
      <c r="CX79" s="57" t="n">
        <f aca="false">CQ79*(1-f_stroke_fatal)*f_stroke_major</f>
        <v>9.47751099946097E-005</v>
      </c>
      <c r="CY79" s="57" t="n">
        <f aca="false">CQ79*(1-f_stroke_fatal)*(1-f_stroke_major)</f>
        <v>0.000189834829929143</v>
      </c>
      <c r="CZ79" s="57" t="n">
        <f aca="false">CR79*(1-f_bleed_fatal)</f>
        <v>2.57200677397559E-005</v>
      </c>
      <c r="DA79" s="57" t="n">
        <f aca="false">CS79*(1-f_bleed_fatal)</f>
        <v>0.000239167087989826</v>
      </c>
      <c r="DB79" s="57" t="n">
        <f aca="false">CT79*f_mi_fatal</f>
        <v>7.08374827835238E-006</v>
      </c>
      <c r="DC79" s="57" t="n">
        <f aca="false">CT79-DB79</f>
        <v>5.1459625922907E-005</v>
      </c>
      <c r="DD79" s="57" t="n">
        <f aca="false">CJ79-CQ79-CR79-CS79-DB79</f>
        <v>0.0267626199526981</v>
      </c>
      <c r="DE79" s="19" t="n">
        <f aca="false">CW79*c_stroke_fatal+CX79*c_stroke_major+CY79*c_stroke_minor+CR79*c_ich+CS79*c_major_bleed+DB79*c_mi_fatal+DC79*c_mi_nonfatal+CU79*c_tia+CV79*c_minor_bleed</f>
        <v>17.4759273486361</v>
      </c>
      <c r="DF79" s="57" t="n">
        <f aca="false">dt*(DC79*dec_mi+DA79*dec_major_bleed+CV79*dec_minor_bleed+CU79*dec_tia)</f>
        <v>1.17983295159721E-005</v>
      </c>
      <c r="DG79" s="57" t="n">
        <f aca="false">J79*CI79+CW79+CR79-CZ79+CS79-DA79+DB79</f>
        <v>0.00184978259151732</v>
      </c>
      <c r="DH79" s="57" t="n">
        <f aca="false">AG79</f>
        <v>0.0593771305852007</v>
      </c>
      <c r="DI79" s="57" t="n">
        <f aca="false">AB79+AC79+BF79+BA79+BB79+BC79+CY79+CZ79</f>
        <v>0.00651915172616568</v>
      </c>
      <c r="DJ79" s="57" t="n">
        <f aca="false">AA79+AZ79+BY79+CX79+CE79+BZ79+CA79+CB79</f>
        <v>0.00349244806855828</v>
      </c>
      <c r="DK79" s="57" t="n">
        <f aca="false">AD79+DD79+DA79</f>
        <v>0.0273711996681769</v>
      </c>
      <c r="DL79" s="57" t="n">
        <f aca="false">K79+AJ79+BI79+CH79+DG79</f>
        <v>0.903240069951898</v>
      </c>
      <c r="DM79" s="58" t="n">
        <f aca="false">SUM(DH79:DL79)</f>
        <v>1</v>
      </c>
      <c r="DN79" s="19" t="n">
        <f aca="false">dt*(G79*Apixaban!$H$2+(H79+I79+J79)*c_aspirin)</f>
        <v>5.16739756712087</v>
      </c>
      <c r="DO79" s="19" t="n">
        <f aca="false">dt*(H79*c_lt_minor_stroke+I79*c_lt_major_stroke)</f>
        <v>43.9679020667795</v>
      </c>
      <c r="DP79" s="19" t="n">
        <f aca="false">AH79+BG79+CF79+DE79</f>
        <v>49.1104581720961</v>
      </c>
      <c r="DQ79" s="19" t="n">
        <f aca="false">DN79+DO79+DP79</f>
        <v>98.2457578059965</v>
      </c>
      <c r="DR79" s="57" t="n">
        <f aca="false">dt*(G79*(u_af-dec_per_year_over_70*MAX(B79-ref_age,0))+H79*(u_minor_stroke-dec_per_year_over_70*MAX(B79-ref_age,0))+I79*(u_major_stroke-dec_per_year_over_70*MAX(B79-ref_age,0))+J79*(u_af-dec_per_year_over_70*MAX(B79-ref_age,0)))-AI79-BH79-CG79-DF79</f>
        <v>0.0203440783809802</v>
      </c>
      <c r="DS79" s="57" t="n">
        <f aca="false">dt*(G79+H79+I79+J79)</f>
        <v>0.0260241150698562</v>
      </c>
      <c r="DT79" s="19" t="n">
        <f aca="false">DQ79*C79</f>
        <v>74.8701211409965</v>
      </c>
      <c r="DU79" s="19" t="n">
        <f aca="false">DN79*C79</f>
        <v>3.93791742741707</v>
      </c>
      <c r="DV79" s="19" t="n">
        <f aca="false">DP79*C79</f>
        <v>37.425595107072</v>
      </c>
      <c r="DW79" s="19" t="n">
        <f aca="false">DO79*C79</f>
        <v>33.5066086065075</v>
      </c>
      <c r="DX79" s="57" t="n">
        <f aca="false">DR79*C79</f>
        <v>0.0155036069434537</v>
      </c>
      <c r="DY79" s="57" t="n">
        <f aca="false">DS79*C79</f>
        <v>0.0198321911437121</v>
      </c>
      <c r="DZ79" s="57" t="n">
        <f aca="false">T79+AS79+BR79+CQ79</f>
        <v>0.00105504434279629</v>
      </c>
      <c r="EA79" s="57" t="n">
        <f aca="false">U79+AT79+BS79+CR79</f>
        <v>8.85807249945825E-005</v>
      </c>
      <c r="EB79" s="57" t="n">
        <f aca="false">V79+AU79+BT79+CS79</f>
        <v>0.000754466648689635</v>
      </c>
      <c r="EC79" s="57" t="n">
        <f aca="false">G79*dt*C79</f>
        <v>0.0122009836054927</v>
      </c>
    </row>
    <row r="80" customFormat="false" ht="15" hidden="false" customHeight="false" outlineLevel="0" collapsed="false">
      <c r="A80" s="8" t="n">
        <v>74</v>
      </c>
      <c r="B80" s="54" t="n">
        <f aca="false">start_age+A80*dt</f>
        <v>88.5</v>
      </c>
      <c r="C80" s="16" t="n">
        <f aca="false">(1+disc_rate)^-(A80*dt)</f>
        <v>0.7592384928349</v>
      </c>
      <c r="D80" s="55" t="n">
        <f aca="false">IF(A80*dt&gt;=wane_start,(1-wane_decay)^(A80*dt-wane_start),1)</f>
        <v>1</v>
      </c>
      <c r="E80" s="25" t="n">
        <f aca="false">MIN(p_nonvasc_death*MIN(EXP(gomp_int+gomp_slope*INT(B80)),1)/qx_ref,0.999)</f>
        <v>0.217003053696202</v>
      </c>
      <c r="F80" s="55" t="n">
        <f aca="false">rr_stroke_per_decade^((B80-ref_age)/10)</f>
        <v>2.11723385217806</v>
      </c>
      <c r="G80" s="57" t="n">
        <f aca="false">DH79</f>
        <v>0.0593771305852007</v>
      </c>
      <c r="H80" s="57" t="n">
        <f aca="false">DI79</f>
        <v>0.00651915172616568</v>
      </c>
      <c r="I80" s="57" t="n">
        <f aca="false">DJ79</f>
        <v>0.00349244806855828</v>
      </c>
      <c r="J80" s="57" t="n">
        <f aca="false">DK79</f>
        <v>0.0273711996681769</v>
      </c>
      <c r="K80" s="57" t="n">
        <f aca="false">DL79</f>
        <v>0.903240069951898</v>
      </c>
      <c r="L80" s="57" t="n">
        <f aca="false">1-EXP(LN(1-E80)*dt)</f>
        <v>0.0593241011254088</v>
      </c>
      <c r="M80" s="57" t="n">
        <f aca="false">G80*(1-L80)</f>
        <v>0.0558546356858277</v>
      </c>
      <c r="N80" s="57" t="n">
        <f aca="false">IF(Apixaban!$B$2=1,EXP(LN(or_apx_stroke)*D80)*(1-EXP(-r_stroke*F80*dt))/(1-(1-EXP(-r_stroke*F80*dt))+EXP(LN(or_apx_stroke)*D80)*(1-EXP(-r_stroke*F80*dt))),(1-EXP(-r_stroke*F80*dt)))</f>
        <v>0.0067278624518665</v>
      </c>
      <c r="O80" s="57" t="n">
        <f aca="false">IF(Apixaban!$B$2=1,EXP(LN(or_apx_ich)*D80)*(1-EXP(-r_ich*dt))/(1-(1-EXP(-r_ich*dt))+EXP(LN(or_apx_ich)*D80)*(1-EXP(-r_ich*dt))),(1-EXP(-r_ich*dt)))</f>
        <v>0.000843513249640701</v>
      </c>
      <c r="P80" s="57" t="n">
        <f aca="false">IF(Apixaban!$B$2=1,EXP(LN(or_apx_mb)*D80)*(1-EXP(-r_mb*dt))/(1-(1-EXP(-r_mb*dt))+EXP(LN(or_apx_mb)*D80)*(1-EXP(-r_mb*dt))),(1-EXP(-r_mb*dt)))</f>
        <v>0.00669446907979895</v>
      </c>
      <c r="Q80" s="57" t="n">
        <f aca="false">IF(Apixaban!$B$2=1,EXP(LN(or_apx_mi)*D80)*(1-EXP(-r_mi*dt))/(1-(1-EXP(-r_mi*dt))+EXP(LN(or_apx_mi)*D80)*(1-EXP(-r_mi*dt))),(1-EXP(-r_mi*dt)))</f>
        <v>0.00132321915530843</v>
      </c>
      <c r="R80" s="57" t="n">
        <f aca="false">(1-EXP(-r_tia*dt))</f>
        <v>0.0020060281549299</v>
      </c>
      <c r="S80" s="57" t="n">
        <f aca="false">(1-EXP(-r_minor*dt))</f>
        <v>0.0437937690785545</v>
      </c>
      <c r="T80" s="57" t="n">
        <f aca="false">M80*N80</f>
        <v>0.000375782306193363</v>
      </c>
      <c r="U80" s="57" t="n">
        <f aca="false">M80*O80</f>
        <v>4.711412525485E-005</v>
      </c>
      <c r="V80" s="57" t="n">
        <f aca="false">M80*P80</f>
        <v>0.000373917131562209</v>
      </c>
      <c r="W80" s="57" t="n">
        <f aca="false">M80*Q80</f>
        <v>7.39079238522609E-005</v>
      </c>
      <c r="X80" s="57" t="n">
        <f aca="false">M80*R80</f>
        <v>0.000112045971769122</v>
      </c>
      <c r="Y80" s="57" t="n">
        <f aca="false">M80*S80</f>
        <v>0.00244608501719193</v>
      </c>
      <c r="Z80" s="57" t="n">
        <f aca="false">T80*f_stroke_fatal</f>
        <v>8.9060406567827E-005</v>
      </c>
      <c r="AA80" s="57" t="n">
        <f aca="false">T80*(1-f_stroke_fatal)*f_stroke_major</f>
        <v>9.54783925753034E-005</v>
      </c>
      <c r="AB80" s="57" t="n">
        <f aca="false">T80*(1-f_stroke_fatal)*(1-f_stroke_major)</f>
        <v>0.000191243507050232</v>
      </c>
      <c r="AC80" s="57" t="n">
        <f aca="false">U80*(1-f_bleed_fatal)</f>
        <v>4.31565387334426E-005</v>
      </c>
      <c r="AD80" s="57" t="n">
        <f aca="false">V80*(1-f_bleed_fatal)</f>
        <v>0.000342508092510983</v>
      </c>
      <c r="AE80" s="57" t="n">
        <f aca="false">W80*f_mi_fatal</f>
        <v>8.94285878612357E-006</v>
      </c>
      <c r="AF80" s="57" t="n">
        <f aca="false">W80-AE80</f>
        <v>6.49650650661374E-005</v>
      </c>
      <c r="AG80" s="57" t="n">
        <f aca="false">M80-T80-U80-V80-AE80</f>
        <v>0.0550488792640311</v>
      </c>
      <c r="AH80" s="19" t="n">
        <f aca="false">Z80*c_stroke_fatal+AA80*c_stroke_major+AB80*c_stroke_minor+U80*c_ich+V80*c_major_bleed+AE80*c_mi_fatal+AF80*c_mi_nonfatal+X80*c_tia+Y80*c_minor_bleed</f>
        <v>19.3117546001625</v>
      </c>
      <c r="AI80" s="57" t="n">
        <f aca="false">dt*(AF80*dec_mi+AD80*dec_major_bleed+Y80*dec_minor_bleed+X80*dec_tia)</f>
        <v>2.07428044899981E-005</v>
      </c>
      <c r="AJ80" s="57" t="n">
        <f aca="false">G80*L80+Z80+U80-AC80+V80-AD80+AE80</f>
        <v>0.00365586479029963</v>
      </c>
      <c r="AK80" s="57" t="n">
        <f aca="false">1-EXP(LN(1-E80)*hr_death_prior_stroke*dt)</f>
        <v>0.131215549572992</v>
      </c>
      <c r="AL80" s="57" t="n">
        <f aca="false">H80*(1-AK80)</f>
        <v>0.00566373764966714</v>
      </c>
      <c r="AM80" s="57" t="n">
        <f aca="false">(1-EXP(-r_stroke*F80*rr_stroke_prior*rr_asa_stroke*dt))</f>
        <v>0.0299691065089814</v>
      </c>
      <c r="AN80" s="57" t="n">
        <f aca="false">(1-EXP(-r_ich*rr_asa_ich*dt))</f>
        <v>0.00102357767802375</v>
      </c>
      <c r="AO80" s="57" t="n">
        <f aca="false">(1-EXP(-r_mb*rr_asa_mb*dt))</f>
        <v>0.00951809672747972</v>
      </c>
      <c r="AP80" s="57" t="n">
        <f aca="false">(1-EXP(-r_mi*rr_asa_mi*dt))</f>
        <v>0.00213413516393479</v>
      </c>
      <c r="AQ80" s="57" t="n">
        <f aca="false">(1-EXP(-r_tia*rr_asa_tia*dt))</f>
        <v>0.00312764565589152</v>
      </c>
      <c r="AR80" s="57" t="n">
        <f aca="false">(1-EXP(-r_minor*rr_asa_minor*dt))</f>
        <v>0.0278181950466747</v>
      </c>
      <c r="AS80" s="57" t="n">
        <f aca="false">AL80*AM80</f>
        <v>0.000169737156861803</v>
      </c>
      <c r="AT80" s="57" t="n">
        <f aca="false">AL80*AN80</f>
        <v>5.79727543238195E-006</v>
      </c>
      <c r="AU80" s="57" t="n">
        <f aca="false">AL80*AO80</f>
        <v>5.39080027886004E-005</v>
      </c>
      <c r="AV80" s="57" t="n">
        <f aca="false">AL80*AP80</f>
        <v>1.2087181677456E-005</v>
      </c>
      <c r="AW80" s="57" t="n">
        <f aca="false">AL80*AQ80</f>
        <v>1.77141644560907E-005</v>
      </c>
      <c r="AX80" s="57" t="n">
        <f aca="false">AL80*AR80</f>
        <v>0.000157554958631635</v>
      </c>
      <c r="AY80" s="57" t="n">
        <f aca="false">AS80*f_stroke_fatal_recur</f>
        <v>6.31574986967081E-005</v>
      </c>
      <c r="AZ80" s="57" t="n">
        <f aca="false">AS80*(1-f_stroke_fatal_recur)*f_stroke_major</f>
        <v>3.54910261689764E-005</v>
      </c>
      <c r="BA80" s="57" t="n">
        <f aca="false">AS80*(1-f_stroke_fatal_recur)*(1-f_stroke_major)</f>
        <v>7.1088631996118E-005</v>
      </c>
      <c r="BB80" s="57" t="n">
        <f aca="false">AT80*(1-f_bleed_fatal)</f>
        <v>5.31030429606187E-006</v>
      </c>
      <c r="BC80" s="57" t="n">
        <f aca="false">AU80*(1-f_bleed_fatal)</f>
        <v>4.9379730554358E-005</v>
      </c>
      <c r="BD80" s="57" t="n">
        <f aca="false">AV80*f_mi_fatal</f>
        <v>1.46254898297218E-006</v>
      </c>
      <c r="BE80" s="57" t="n">
        <f aca="false">AV80-BD80</f>
        <v>1.06246326944838E-005</v>
      </c>
      <c r="BF80" s="57" t="n">
        <f aca="false">AL80-AS80-AT80-AU80-BD80</f>
        <v>0.00543283266560138</v>
      </c>
      <c r="BG80" s="19" t="n">
        <f aca="false">AY80*c_stroke_fatal+AZ80*c_stroke_major+BA80*c_stroke_minor+AT80*c_ich+AU80*c_major_bleed+BD80*c_mi_fatal+BE80*c_mi_nonfatal+AW80*c_tia+AX80*c_minor_bleed</f>
        <v>6.61511406579387</v>
      </c>
      <c r="BH80" s="57" t="n">
        <f aca="false">dt*(BE80*dec_mi+BC80*dec_major_bleed+AX80*dec_minor_bleed+AW80*dec_tia)</f>
        <v>2.43594692475E-006</v>
      </c>
      <c r="BI80" s="57" t="n">
        <f aca="false">H80*AK80+AY80+AT80-BB80+AU80-BC80+BD80</f>
        <v>0.00092504936754879</v>
      </c>
      <c r="BJ80" s="57" t="n">
        <f aca="false">1-EXP(LN(1-E80)*hr_death_prior_stroke*dt)</f>
        <v>0.131215549572992</v>
      </c>
      <c r="BK80" s="57" t="n">
        <f aca="false">I80*(1-BJ80)</f>
        <v>0.00303418457588728</v>
      </c>
      <c r="BL80" s="57" t="n">
        <f aca="false">(1-EXP(-r_stroke*F80*rr_stroke_prior*rr_asa_stroke*dt))</f>
        <v>0.0299691065089814</v>
      </c>
      <c r="BM80" s="57" t="n">
        <f aca="false">(1-EXP(-r_ich*rr_asa_ich*dt))</f>
        <v>0.00102357767802375</v>
      </c>
      <c r="BN80" s="57" t="n">
        <f aca="false">(1-EXP(-r_mb*rr_asa_mb*dt))</f>
        <v>0.00951809672747972</v>
      </c>
      <c r="BO80" s="57" t="n">
        <f aca="false">(1-EXP(-r_mi*rr_asa_mi*dt))</f>
        <v>0.00213413516393479</v>
      </c>
      <c r="BP80" s="57" t="n">
        <f aca="false">(1-EXP(-r_tia*rr_asa_tia*dt))</f>
        <v>0.00312764565589152</v>
      </c>
      <c r="BQ80" s="57" t="n">
        <f aca="false">(1-EXP(-r_minor*rr_asa_minor*dt))</f>
        <v>0.0278181950466747</v>
      </c>
      <c r="BR80" s="57" t="n">
        <f aca="false">BK80*BL80</f>
        <v>9.09318007226744E-005</v>
      </c>
      <c r="BS80" s="57" t="n">
        <f aca="false">BK80*BM80</f>
        <v>3.10572360288216E-006</v>
      </c>
      <c r="BT80" s="57" t="n">
        <f aca="false">BK80*BN80</f>
        <v>2.88796622823221E-005</v>
      </c>
      <c r="BU80" s="57" t="n">
        <f aca="false">BK80*BO80</f>
        <v>6.47535999726961E-006</v>
      </c>
      <c r="BV80" s="57" t="n">
        <f aca="false">BK80*BP80</f>
        <v>9.48985420794689E-006</v>
      </c>
      <c r="BW80" s="57" t="n">
        <f aca="false">BK80*BQ80</f>
        <v>8.44055383396442E-005</v>
      </c>
      <c r="BX80" s="57" t="n">
        <f aca="false">BR80*f_stroke_fatal_recur</f>
        <v>3.38348137308999E-005</v>
      </c>
      <c r="BY80" s="57" t="n">
        <f aca="false">BR80*(1-f_stroke_fatal_recur)*f_stroke_major</f>
        <v>1.90132966682609E-005</v>
      </c>
      <c r="BZ80" s="57" t="n">
        <f aca="false">BR80*(1-f_stroke_fatal_recur)*(1-f_stroke_major)</f>
        <v>3.80836903235136E-005</v>
      </c>
      <c r="CA80" s="57" t="n">
        <f aca="false">BS80*(1-f_bleed_fatal)</f>
        <v>2.84484282024006E-006</v>
      </c>
      <c r="CB80" s="57" t="n">
        <f aca="false">BT80*(1-f_bleed_fatal)</f>
        <v>2.64537706506071E-005</v>
      </c>
      <c r="CC80" s="57" t="n">
        <f aca="false">BU80*f_mi_fatal</f>
        <v>7.83518559669622E-007</v>
      </c>
      <c r="CD80" s="57" t="n">
        <f aca="false">BU80-CC80</f>
        <v>5.69184143759998E-006</v>
      </c>
      <c r="CE80" s="57" t="n">
        <f aca="false">BK80-BR80-BS80-BT80-CC80</f>
        <v>0.00291048387071973</v>
      </c>
      <c r="CF80" s="19" t="n">
        <f aca="false">BX80*c_stroke_fatal+BY80*c_stroke_major+BZ80*c_stroke_minor+BS80*c_ich+BT80*c_major_bleed+CC80*c_mi_fatal+CD80*c_mi_nonfatal+BV80*c_tia+BW80*c_minor_bleed</f>
        <v>3.54385713246205</v>
      </c>
      <c r="CG80" s="57" t="n">
        <f aca="false">dt*(CD80*dec_mi+CB80*dec_major_bleed+BW80*dec_minor_bleed+BV80*dec_tia)</f>
        <v>1.30498851534744E-006</v>
      </c>
      <c r="CH80" s="57" t="n">
        <f aca="false">I80*BJ80+BX80+BS80-CA80+BT80-CB80+CC80</f>
        <v>0.000495568597375935</v>
      </c>
      <c r="CI80" s="57" t="n">
        <f aca="false">1-EXP(LN(1-E80)*dt)</f>
        <v>0.0593241011254088</v>
      </c>
      <c r="CJ80" s="57" t="n">
        <f aca="false">J80*(1-CI80)</f>
        <v>0.0257474278511382</v>
      </c>
      <c r="CK80" s="57" t="n">
        <f aca="false">(1-EXP(-r_stroke*F80*rr_asa_stroke*dt))</f>
        <v>0.0137354141617912</v>
      </c>
      <c r="CL80" s="57" t="n">
        <f aca="false">(1-EXP(-r_ich*rr_asa_ich*dt))</f>
        <v>0.00102357767802375</v>
      </c>
      <c r="CM80" s="57" t="n">
        <f aca="false">(1-EXP(-r_mb*rr_asa_mb*dt))</f>
        <v>0.00951809672747972</v>
      </c>
      <c r="CN80" s="57" t="n">
        <f aca="false">(1-EXP(-r_mi*rr_asa_mi*dt))</f>
        <v>0.00213413516393479</v>
      </c>
      <c r="CO80" s="57" t="n">
        <f aca="false">(1-EXP(-r_tia*rr_asa_tia*dt))</f>
        <v>0.00312764565589152</v>
      </c>
      <c r="CP80" s="57" t="n">
        <f aca="false">(1-EXP(-r_minor*rr_asa_minor*dt))</f>
        <v>0.0278181950466747</v>
      </c>
      <c r="CQ80" s="57" t="n">
        <f aca="false">CJ80*CK80</f>
        <v>0.000353651585136222</v>
      </c>
      <c r="CR80" s="57" t="n">
        <f aca="false">CJ80*CL80</f>
        <v>2.63544924149519E-005</v>
      </c>
      <c r="CS80" s="57" t="n">
        <f aca="false">CJ80*CM80</f>
        <v>0.000245066508770938</v>
      </c>
      <c r="CT80" s="57" t="n">
        <f aca="false">CJ80*CN80</f>
        <v>5.4948491157988E-005</v>
      </c>
      <c r="CU80" s="57" t="n">
        <f aca="false">CJ80*CO80</f>
        <v>8.05288308689926E-005</v>
      </c>
      <c r="CV80" s="57" t="n">
        <f aca="false">CJ80*CP80</f>
        <v>0.000716246969913146</v>
      </c>
      <c r="CW80" s="57" t="n">
        <f aca="false">CQ80*f_stroke_fatal</f>
        <v>8.38154256772845E-005</v>
      </c>
      <c r="CX80" s="57" t="n">
        <f aca="false">CQ80*(1-f_stroke_fatal)*f_stroke_major</f>
        <v>8.9855441099826E-005</v>
      </c>
      <c r="CY80" s="57" t="n">
        <f aca="false">CQ80*(1-f_stroke_fatal)*(1-f_stroke_major)</f>
        <v>0.000179980718359111</v>
      </c>
      <c r="CZ80" s="57" t="n">
        <f aca="false">CR80*(1-f_bleed_fatal)</f>
        <v>2.4140715052096E-005</v>
      </c>
      <c r="DA80" s="57" t="n">
        <f aca="false">CS80*(1-f_bleed_fatal)</f>
        <v>0.00022448092203418</v>
      </c>
      <c r="DB80" s="57" t="n">
        <f aca="false">CT80*f_mi_fatal</f>
        <v>6.64876743011655E-006</v>
      </c>
      <c r="DC80" s="57" t="n">
        <f aca="false">CT80-DB80</f>
        <v>4.82997237278714E-005</v>
      </c>
      <c r="DD80" s="57" t="n">
        <f aca="false">CJ80-CQ80-CR80-CS80-DB80</f>
        <v>0.0251157064973859</v>
      </c>
      <c r="DE80" s="19" t="n">
        <f aca="false">CW80*c_stroke_fatal+CX80*c_stroke_major+CY80*c_stroke_minor+CR80*c_ich+CS80*c_major_bleed+DB80*c_mi_fatal+DC80*c_mi_nonfatal+CU80*c_tia+CV80*c_minor_bleed</f>
        <v>16.5336919384227</v>
      </c>
      <c r="DF80" s="57" t="n">
        <f aca="false">dt*(DC80*dec_mi+DA80*dec_major_bleed+CV80*dec_minor_bleed+CU80*dec_tia)</f>
        <v>1.10738476203764E-005</v>
      </c>
      <c r="DG80" s="57" t="n">
        <f aca="false">J80*CI80+CW80+CR80-CZ80+CS80-DA80+DB80</f>
        <v>0.00173703537424569</v>
      </c>
      <c r="DH80" s="57" t="n">
        <f aca="false">AG80</f>
        <v>0.0550488792640311</v>
      </c>
      <c r="DI80" s="57" t="n">
        <f aca="false">AB80+AC80+BF80+BA80+BB80+BC80+CY80+CZ80</f>
        <v>0.0059971328116428</v>
      </c>
      <c r="DJ80" s="57" t="n">
        <f aca="false">AA80+AZ80+BY80+CX80+CE80+BZ80+CA80+CB80</f>
        <v>0.00321770433102645</v>
      </c>
      <c r="DK80" s="57" t="n">
        <f aca="false">AD80+DD80+DA80</f>
        <v>0.0256826955119311</v>
      </c>
      <c r="DL80" s="57" t="n">
        <f aca="false">K80+AJ80+BI80+CH80+DG80</f>
        <v>0.910053588081368</v>
      </c>
      <c r="DM80" s="58" t="n">
        <f aca="false">SUM(DH80:DL80)</f>
        <v>1</v>
      </c>
      <c r="DN80" s="19" t="n">
        <f aca="false">dt*(G80*Apixaban!$H$2+(H80+I80+J80)*c_aspirin)</f>
        <v>4.79344299918105</v>
      </c>
      <c r="DO80" s="19" t="n">
        <f aca="false">dt*(H80*c_lt_minor_stroke+I80*c_lt_major_stroke)</f>
        <v>40.4243946616121</v>
      </c>
      <c r="DP80" s="19" t="n">
        <f aca="false">AH80+BG80+CF80+DE80</f>
        <v>46.0044177368411</v>
      </c>
      <c r="DQ80" s="19" t="n">
        <f aca="false">DN80+DO80+DP80</f>
        <v>91.2222553976342</v>
      </c>
      <c r="DR80" s="57" t="n">
        <f aca="false">dt*(G80*(u_af-dec_per_year_over_70*MAX(B80-ref_age,0))+H80*(u_minor_stroke-dec_per_year_over_70*MAX(B80-ref_age,0))+I80*(u_major_stroke-dec_per_year_over_70*MAX(B80-ref_age,0))+J80*(u_af-dec_per_year_over_70*MAX(B80-ref_age,0)))-AI80-BH80-CG80-DF80</f>
        <v>0.0189139380381382</v>
      </c>
      <c r="DS80" s="57" t="n">
        <f aca="false">dt*(G80+H80+I80+J80)</f>
        <v>0.0241899825120254</v>
      </c>
      <c r="DT80" s="19" t="n">
        <f aca="false">DQ80*C80</f>
        <v>69.2594477011001</v>
      </c>
      <c r="DU80" s="19" t="n">
        <f aca="false">DN80*C80</f>
        <v>3.63936643818822</v>
      </c>
      <c r="DV80" s="19" t="n">
        <f aca="false">DP80*C80</f>
        <v>34.9283247862663</v>
      </c>
      <c r="DW80" s="19" t="n">
        <f aca="false">DO80*C80</f>
        <v>30.6917564766455</v>
      </c>
      <c r="DX80" s="57" t="n">
        <f aca="false">DR80*C80</f>
        <v>0.0143601898096487</v>
      </c>
      <c r="DY80" s="57" t="n">
        <f aca="false">DS80*C80</f>
        <v>0.0183659658641327</v>
      </c>
      <c r="DZ80" s="57" t="n">
        <f aca="false">T80+AS80+BR80+CQ80</f>
        <v>0.000990102848914061</v>
      </c>
      <c r="EA80" s="57" t="n">
        <f aca="false">U80+AT80+BS80+CR80</f>
        <v>8.2371616705066E-005</v>
      </c>
      <c r="EB80" s="57" t="n">
        <f aca="false">V80+AU80+BT80+CS80</f>
        <v>0.00070177130540407</v>
      </c>
      <c r="EC80" s="57" t="n">
        <f aca="false">G80*dt*C80</f>
        <v>0.0112703507835922</v>
      </c>
    </row>
    <row r="81" customFormat="false" ht="15" hidden="false" customHeight="false" outlineLevel="0" collapsed="false">
      <c r="A81" s="8" t="n">
        <v>75</v>
      </c>
      <c r="B81" s="54" t="n">
        <f aca="false">start_age+A81*dt</f>
        <v>88.75</v>
      </c>
      <c r="C81" s="16" t="n">
        <f aca="false">(1+disc_rate)^-(A81*dt)</f>
        <v>0.75641774379394</v>
      </c>
      <c r="D81" s="55" t="n">
        <f aca="false">IF(A81*dt&gt;=wane_start,(1-wane_decay)^(A81*dt-wane_start),1)</f>
        <v>1</v>
      </c>
      <c r="E81" s="25" t="n">
        <f aca="false">MIN(p_nonvasc_death*MIN(EXP(gomp_int+gomp_slope*INT(B81)),1)/qx_ref,0.999)</f>
        <v>0.217003053696202</v>
      </c>
      <c r="F81" s="55" t="n">
        <f aca="false">rr_stroke_per_decade^((B81-ref_age)/10)</f>
        <v>2.13880460614682</v>
      </c>
      <c r="G81" s="57" t="n">
        <f aca="false">DH80</f>
        <v>0.0550488792640311</v>
      </c>
      <c r="H81" s="57" t="n">
        <f aca="false">DI80</f>
        <v>0.0059971328116428</v>
      </c>
      <c r="I81" s="57" t="n">
        <f aca="false">DJ80</f>
        <v>0.00321770433102645</v>
      </c>
      <c r="J81" s="57" t="n">
        <f aca="false">DK80</f>
        <v>0.0256826955119311</v>
      </c>
      <c r="K81" s="57" t="n">
        <f aca="false">DL80</f>
        <v>0.910053588081368</v>
      </c>
      <c r="L81" s="57" t="n">
        <f aca="false">1-EXP(LN(1-E81)*dt)</f>
        <v>0.0593241011254088</v>
      </c>
      <c r="M81" s="57" t="n">
        <f aca="false">G81*(1-L81)</f>
        <v>0.0517831539837313</v>
      </c>
      <c r="N81" s="57" t="n">
        <f aca="false">IF(Apixaban!$B$2=1,EXP(LN(or_apx_stroke)*D81)*(1-EXP(-r_stroke*F81*dt))/(1-(1-EXP(-r_stroke*F81*dt))+EXP(LN(or_apx_stroke)*D81)*(1-EXP(-r_stroke*F81*dt))),(1-EXP(-r_stroke*F81*dt)))</f>
        <v>0.00679623525774315</v>
      </c>
      <c r="O81" s="57" t="n">
        <f aca="false">IF(Apixaban!$B$2=1,EXP(LN(or_apx_ich)*D81)*(1-EXP(-r_ich*dt))/(1-(1-EXP(-r_ich*dt))+EXP(LN(or_apx_ich)*D81)*(1-EXP(-r_ich*dt))),(1-EXP(-r_ich*dt)))</f>
        <v>0.000843513249640701</v>
      </c>
      <c r="P81" s="57" t="n">
        <f aca="false">IF(Apixaban!$B$2=1,EXP(LN(or_apx_mb)*D81)*(1-EXP(-r_mb*dt))/(1-(1-EXP(-r_mb*dt))+EXP(LN(or_apx_mb)*D81)*(1-EXP(-r_mb*dt))),(1-EXP(-r_mb*dt)))</f>
        <v>0.00669446907979895</v>
      </c>
      <c r="Q81" s="57" t="n">
        <f aca="false">IF(Apixaban!$B$2=1,EXP(LN(or_apx_mi)*D81)*(1-EXP(-r_mi*dt))/(1-(1-EXP(-r_mi*dt))+EXP(LN(or_apx_mi)*D81)*(1-EXP(-r_mi*dt))),(1-EXP(-r_mi*dt)))</f>
        <v>0.00132321915530843</v>
      </c>
      <c r="R81" s="57" t="n">
        <f aca="false">(1-EXP(-r_tia*dt))</f>
        <v>0.0020060281549299</v>
      </c>
      <c r="S81" s="57" t="n">
        <f aca="false">(1-EXP(-r_minor*dt))</f>
        <v>0.0437937690785545</v>
      </c>
      <c r="T81" s="57" t="n">
        <f aca="false">M81*N81</f>
        <v>0.000351930496861377</v>
      </c>
      <c r="U81" s="57" t="n">
        <f aca="false">M81*O81</f>
        <v>4.3679776493462E-005</v>
      </c>
      <c r="V81" s="57" t="n">
        <f aca="false">M81*P81</f>
        <v>0.000346660723198557</v>
      </c>
      <c r="W81" s="57" t="n">
        <f aca="false">M81*Q81</f>
        <v>6.85204612735593E-005</v>
      </c>
      <c r="X81" s="57" t="n">
        <f aca="false">M81*R81</f>
        <v>0.000103878464842435</v>
      </c>
      <c r="Y81" s="57" t="n">
        <f aca="false">M81*S81</f>
        <v>0.00226777948772276</v>
      </c>
      <c r="Z81" s="57" t="n">
        <f aca="false">T81*f_stroke_fatal</f>
        <v>8.34075277561464E-005</v>
      </c>
      <c r="AA81" s="57" t="n">
        <f aca="false">T81*(1-f_stroke_fatal)*f_stroke_major</f>
        <v>8.94181487120419E-005</v>
      </c>
      <c r="AB81" s="57" t="n">
        <f aca="false">T81*(1-f_stroke_fatal)*(1-f_stroke_major)</f>
        <v>0.000179104820393189</v>
      </c>
      <c r="AC81" s="57" t="n">
        <f aca="false">U81*(1-f_bleed_fatal)</f>
        <v>4.00106752680112E-005</v>
      </c>
      <c r="AD81" s="57" t="n">
        <f aca="false">V81*(1-f_bleed_fatal)</f>
        <v>0.000317541222449878</v>
      </c>
      <c r="AE81" s="57" t="n">
        <f aca="false">W81*f_mi_fatal</f>
        <v>8.29097581410067E-006</v>
      </c>
      <c r="AF81" s="57" t="n">
        <f aca="false">W81-AE81</f>
        <v>6.02294854594586E-005</v>
      </c>
      <c r="AG81" s="57" t="n">
        <f aca="false">M81-T81-U81-V81-AE81</f>
        <v>0.0510325920113638</v>
      </c>
      <c r="AH81" s="19" t="n">
        <f aca="false">Z81*c_stroke_fatal+AA81*c_stroke_major+AB81*c_stroke_minor+U81*c_ich+V81*c_major_bleed+AE81*c_mi_fatal+AF81*c_mi_nonfatal+X81*c_tia+Y81*c_minor_bleed</f>
        <v>18.0348540450728</v>
      </c>
      <c r="AI81" s="57" t="n">
        <f aca="false">dt*(AF81*dec_mi+AD81*dec_major_bleed+Y81*dec_minor_bleed+X81*dec_tia)</f>
        <v>1.9230773341747E-005</v>
      </c>
      <c r="AJ81" s="57" t="n">
        <f aca="false">G81*L81+Z81+U81-AC81+V81-AD81+AE81</f>
        <v>0.00339021238584418</v>
      </c>
      <c r="AK81" s="57" t="n">
        <f aca="false">1-EXP(LN(1-E81)*hr_death_prior_stroke*dt)</f>
        <v>0.131215549572992</v>
      </c>
      <c r="AL81" s="57" t="n">
        <f aca="false">H81*(1-AK81)</f>
        <v>0.00521021573390087</v>
      </c>
      <c r="AM81" s="57" t="n">
        <f aca="false">(1-EXP(-r_stroke*F81*rr_stroke_prior*rr_asa_stroke*dt))</f>
        <v>0.0302697688310627</v>
      </c>
      <c r="AN81" s="57" t="n">
        <f aca="false">(1-EXP(-r_ich*rr_asa_ich*dt))</f>
        <v>0.00102357767802375</v>
      </c>
      <c r="AO81" s="57" t="n">
        <f aca="false">(1-EXP(-r_mb*rr_asa_mb*dt))</f>
        <v>0.00951809672747972</v>
      </c>
      <c r="AP81" s="57" t="n">
        <f aca="false">(1-EXP(-r_mi*rr_asa_mi*dt))</f>
        <v>0.00213413516393479</v>
      </c>
      <c r="AQ81" s="57" t="n">
        <f aca="false">(1-EXP(-r_tia*rr_asa_tia*dt))</f>
        <v>0.00312764565589152</v>
      </c>
      <c r="AR81" s="57" t="n">
        <f aca="false">(1-EXP(-r_minor*rr_asa_minor*dt))</f>
        <v>0.0278181950466747</v>
      </c>
      <c r="AS81" s="57" t="n">
        <f aca="false">AL81*AM81</f>
        <v>0.000157712025825145</v>
      </c>
      <c r="AT81" s="57" t="n">
        <f aca="false">AL81*AN81</f>
        <v>5.33306052290904E-006</v>
      </c>
      <c r="AU81" s="57" t="n">
        <f aca="false">AL81*AO81</f>
        <v>4.95913373263052E-005</v>
      </c>
      <c r="AV81" s="57" t="n">
        <f aca="false">AL81*AP81</f>
        <v>1.11193046094042E-005</v>
      </c>
      <c r="AW81" s="57" t="n">
        <f aca="false">AL81*AQ81</f>
        <v>1.62957086063927E-005</v>
      </c>
      <c r="AX81" s="57" t="n">
        <f aca="false">AL81*AR81</f>
        <v>0.000144938797520908</v>
      </c>
      <c r="AY81" s="57" t="n">
        <f aca="false">AS81*f_stroke_fatal_recur</f>
        <v>5.86830676892782E-005</v>
      </c>
      <c r="AZ81" s="57" t="n">
        <f aca="false">AS81*(1-f_stroke_fatal_recur)*f_stroke_major</f>
        <v>3.29766430592436E-005</v>
      </c>
      <c r="BA81" s="57" t="n">
        <f aca="false">AS81*(1-f_stroke_fatal_recur)*(1-f_stroke_major)</f>
        <v>6.60523150766231E-005</v>
      </c>
      <c r="BB81" s="57" t="n">
        <f aca="false">AT81*(1-f_bleed_fatal)</f>
        <v>4.88508343898468E-006</v>
      </c>
      <c r="BC81" s="57" t="n">
        <f aca="false">AU81*(1-f_bleed_fatal)</f>
        <v>4.54256649908956E-005</v>
      </c>
      <c r="BD81" s="57" t="n">
        <f aca="false">AV81*f_mi_fatal</f>
        <v>1.3454358577379E-006</v>
      </c>
      <c r="BE81" s="57" t="n">
        <f aca="false">AV81-BD81</f>
        <v>9.77386875166626E-006</v>
      </c>
      <c r="BF81" s="57" t="n">
        <f aca="false">AL81-AS81-AT81-AU81-BD81</f>
        <v>0.00499623387436877</v>
      </c>
      <c r="BG81" s="19" t="n">
        <f aca="false">AY81*c_stroke_fatal+AZ81*c_stroke_major+BA81*c_stroke_minor+AT81*c_ich+AU81*c_major_bleed+BD81*c_mi_fatal+BE81*c_mi_nonfatal+AW81*c_tia+AX81*c_minor_bleed</f>
        <v>6.13942360493711</v>
      </c>
      <c r="BH81" s="57" t="n">
        <f aca="false">dt*(BE81*dec_mi+BC81*dec_major_bleed+AX81*dec_minor_bleed+AW81*dec_tia)</f>
        <v>2.24088928183773E-006</v>
      </c>
      <c r="BI81" s="57" t="n">
        <f aca="false">H81*AK81+AY81+AT81-BB81+AU81-BC81+BD81</f>
        <v>0.00085155923070828</v>
      </c>
      <c r="BJ81" s="57" t="n">
        <f aca="false">1-EXP(LN(1-E81)*hr_death_prior_stroke*dt)</f>
        <v>0.131215549572992</v>
      </c>
      <c r="BK81" s="57" t="n">
        <f aca="false">I81*(1-BJ81)</f>
        <v>0.00279549148886742</v>
      </c>
      <c r="BL81" s="57" t="n">
        <f aca="false">(1-EXP(-r_stroke*F81*rr_stroke_prior*rr_asa_stroke*dt))</f>
        <v>0.0302697688310627</v>
      </c>
      <c r="BM81" s="57" t="n">
        <f aca="false">(1-EXP(-r_ich*rr_asa_ich*dt))</f>
        <v>0.00102357767802375</v>
      </c>
      <c r="BN81" s="57" t="n">
        <f aca="false">(1-EXP(-r_mb*rr_asa_mb*dt))</f>
        <v>0.00951809672747972</v>
      </c>
      <c r="BO81" s="57" t="n">
        <f aca="false">(1-EXP(-r_mi*rr_asa_mi*dt))</f>
        <v>0.00213413516393479</v>
      </c>
      <c r="BP81" s="57" t="n">
        <f aca="false">(1-EXP(-r_tia*rr_asa_tia*dt))</f>
        <v>0.00312764565589152</v>
      </c>
      <c r="BQ81" s="57" t="n">
        <f aca="false">(1-EXP(-r_minor*rr_asa_minor*dt))</f>
        <v>0.0278181950466747</v>
      </c>
      <c r="BR81" s="57" t="n">
        <f aca="false">BK81*BL81</f>
        <v>8.46188811372202E-005</v>
      </c>
      <c r="BS81" s="57" t="n">
        <f aca="false">BK81*BM81</f>
        <v>2.86140268711006E-006</v>
      </c>
      <c r="BT81" s="57" t="n">
        <f aca="false">BK81*BN81</f>
        <v>2.66077583918864E-005</v>
      </c>
      <c r="BU81" s="57" t="n">
        <f aca="false">BK81*BO81</f>
        <v>5.96595668687239E-006</v>
      </c>
      <c r="BV81" s="57" t="n">
        <f aca="false">BK81*BP81</f>
        <v>8.74330681123791E-006</v>
      </c>
      <c r="BW81" s="57" t="n">
        <f aca="false">BK81*BQ81</f>
        <v>7.77655274886331E-005</v>
      </c>
      <c r="BX81" s="57" t="n">
        <f aca="false">BR81*f_stroke_fatal_recur</f>
        <v>3.14858394823483E-005</v>
      </c>
      <c r="BY81" s="57" t="n">
        <f aca="false">BR81*(1-f_stroke_fatal_recur)*f_stroke_major</f>
        <v>1.76933028710723E-005</v>
      </c>
      <c r="BZ81" s="57" t="n">
        <f aca="false">BR81*(1-f_stroke_fatal_recur)*(1-f_stroke_major)</f>
        <v>3.54397387837996E-005</v>
      </c>
      <c r="CA81" s="57" t="n">
        <f aca="false">BS81*(1-f_bleed_fatal)</f>
        <v>2.62104486139282E-006</v>
      </c>
      <c r="CB81" s="57" t="n">
        <f aca="false">BT81*(1-f_bleed_fatal)</f>
        <v>2.4372706686968E-005</v>
      </c>
      <c r="CC81" s="57" t="n">
        <f aca="false">BU81*f_mi_fatal</f>
        <v>7.21880759111559E-007</v>
      </c>
      <c r="CD81" s="57" t="n">
        <f aca="false">BU81-CC81</f>
        <v>5.24407592776083E-006</v>
      </c>
      <c r="CE81" s="57" t="n">
        <f aca="false">BK81-BR81-BS81-BT81-CC81</f>
        <v>0.00268068156589209</v>
      </c>
      <c r="CF81" s="19" t="n">
        <f aca="false">BX81*c_stroke_fatal+BY81*c_stroke_major+BZ81*c_stroke_minor+BS81*c_ich+BT81*c_major_bleed+CC81*c_mi_fatal+CD81*c_mi_nonfatal+BV81*c_tia+BW81*c_minor_bleed</f>
        <v>3.29404909713859</v>
      </c>
      <c r="CG81" s="57" t="n">
        <f aca="false">dt*(CD81*dec_mi+CB81*dec_major_bleed+BW81*dec_minor_bleed+BV81*dec_tia)</f>
        <v>1.20232774127022E-006</v>
      </c>
      <c r="CH81" s="57" t="n">
        <f aca="false">I81*BJ81+BX81+BS81-CA81+BT81-CB81+CC81</f>
        <v>0.000456895971931127</v>
      </c>
      <c r="CI81" s="57" t="n">
        <f aca="false">1-EXP(LN(1-E81)*dt)</f>
        <v>0.0593241011254088</v>
      </c>
      <c r="CJ81" s="57" t="n">
        <f aca="false">J81*(1-CI81)</f>
        <v>0.0241590926862082</v>
      </c>
      <c r="CK81" s="57" t="n">
        <f aca="false">(1-EXP(-r_stroke*F81*rr_asa_stroke*dt))</f>
        <v>0.0138743777167862</v>
      </c>
      <c r="CL81" s="57" t="n">
        <f aca="false">(1-EXP(-r_ich*rr_asa_ich*dt))</f>
        <v>0.00102357767802375</v>
      </c>
      <c r="CM81" s="57" t="n">
        <f aca="false">(1-EXP(-r_mb*rr_asa_mb*dt))</f>
        <v>0.00951809672747972</v>
      </c>
      <c r="CN81" s="57" t="n">
        <f aca="false">(1-EXP(-r_mi*rr_asa_mi*dt))</f>
        <v>0.00213413516393479</v>
      </c>
      <c r="CO81" s="57" t="n">
        <f aca="false">(1-EXP(-r_tia*rr_asa_tia*dt))</f>
        <v>0.00312764565589152</v>
      </c>
      <c r="CP81" s="57" t="n">
        <f aca="false">(1-EXP(-r_minor*rr_asa_minor*dt))</f>
        <v>0.0278181950466747</v>
      </c>
      <c r="CQ81" s="57" t="n">
        <f aca="false">CJ81*CK81</f>
        <v>0.000335192377223301</v>
      </c>
      <c r="CR81" s="57" t="n">
        <f aca="false">CJ81*CL81</f>
        <v>2.47287079949095E-005</v>
      </c>
      <c r="CS81" s="57" t="n">
        <f aca="false">CJ81*CM81</f>
        <v>0.000229948581035478</v>
      </c>
      <c r="CT81" s="57" t="n">
        <f aca="false">CJ81*CN81</f>
        <v>5.15587692303968E-005</v>
      </c>
      <c r="CU81" s="57" t="n">
        <f aca="false">CJ81*CO81</f>
        <v>7.55610812902997E-005</v>
      </c>
      <c r="CV81" s="57" t="n">
        <f aca="false">CJ81*CP81</f>
        <v>0.000672062352495633</v>
      </c>
      <c r="CW81" s="57" t="n">
        <f aca="false">CQ81*f_stroke_fatal</f>
        <v>7.94405934019223E-005</v>
      </c>
      <c r="CX81" s="57" t="n">
        <f aca="false">CQ81*(1-f_stroke_fatal)*f_stroke_major</f>
        <v>8.5165344012519E-005</v>
      </c>
      <c r="CY81" s="57" t="n">
        <f aca="false">CQ81*(1-f_stroke_fatal)*(1-f_stroke_major)</f>
        <v>0.000170586439808859</v>
      </c>
      <c r="CZ81" s="57" t="n">
        <f aca="false">CR81*(1-f_bleed_fatal)</f>
        <v>2.26514965233371E-005</v>
      </c>
      <c r="DA81" s="57" t="n">
        <f aca="false">CS81*(1-f_bleed_fatal)</f>
        <v>0.000210632900228498</v>
      </c>
      <c r="DB81" s="57" t="n">
        <f aca="false">CT81*f_mi_fatal</f>
        <v>6.23861107687802E-006</v>
      </c>
      <c r="DC81" s="57" t="n">
        <f aca="false">CT81-DB81</f>
        <v>4.53201581535188E-005</v>
      </c>
      <c r="DD81" s="57" t="n">
        <f aca="false">CJ81-CQ81-CR81-CS81-DB81</f>
        <v>0.0235629844088777</v>
      </c>
      <c r="DE81" s="19" t="n">
        <f aca="false">CW81*c_stroke_fatal+CX81*c_stroke_major+CY81*c_stroke_minor+CR81*c_ich+CS81*c_major_bleed+DB81*c_mi_fatal+DC81*c_mi_nonfatal+CU81*c_tia+CV81*c_minor_bleed</f>
        <v>15.6377854959711</v>
      </c>
      <c r="DF81" s="57" t="n">
        <f aca="false">dt*(DC81*dec_mi+DA81*dec_major_bleed+CV81*dec_minor_bleed+CU81*dec_tia)</f>
        <v>1.03907121363889E-005</v>
      </c>
      <c r="DG81" s="57" t="n">
        <f aca="false">J81*CI81+CW81+CR81-CZ81+CS81-DA81+DB81</f>
        <v>0.00163067492248024</v>
      </c>
      <c r="DH81" s="57" t="n">
        <f aca="false">AG81</f>
        <v>0.0510325920113638</v>
      </c>
      <c r="DI81" s="57" t="n">
        <f aca="false">AB81+AC81+BF81+BA81+BB81+BC81+CY81+CZ81</f>
        <v>0.00552495036986867</v>
      </c>
      <c r="DJ81" s="57" t="n">
        <f aca="false">AA81+AZ81+BY81+CX81+CE81+BZ81+CA81+CB81</f>
        <v>0.00296836849487913</v>
      </c>
      <c r="DK81" s="57" t="n">
        <f aca="false">AD81+DD81+DA81</f>
        <v>0.024091158531556</v>
      </c>
      <c r="DL81" s="57" t="n">
        <f aca="false">K81+AJ81+BI81+CH81+DG81</f>
        <v>0.916382930592332</v>
      </c>
      <c r="DM81" s="58" t="n">
        <f aca="false">SUM(DH81:DL81)</f>
        <v>1</v>
      </c>
      <c r="DN81" s="19" t="n">
        <f aca="false">dt*(G81*Apixaban!$H$2+(H81+I81+J81)*c_aspirin)</f>
        <v>4.44636828218136</v>
      </c>
      <c r="DO81" s="19" t="n">
        <f aca="false">dt*(H81*c_lt_minor_stroke+I81*c_lt_major_stroke)</f>
        <v>37.2194990455424</v>
      </c>
      <c r="DP81" s="19" t="n">
        <f aca="false">AH81+BG81+CF81+DE81</f>
        <v>43.1061122431196</v>
      </c>
      <c r="DQ81" s="19" t="n">
        <f aca="false">DN81+DO81+DP81</f>
        <v>84.7719795708433</v>
      </c>
      <c r="DR81" s="57" t="n">
        <f aca="false">dt*(G81*(u_af-dec_per_year_over_70*MAX(B81-ref_age,0))+H81*(u_minor_stroke-dec_per_year_over_70*MAX(B81-ref_age,0))+I81*(u_major_stroke-dec_per_year_over_70*MAX(B81-ref_age,0))+J81*(u_af-dec_per_year_over_70*MAX(B81-ref_age,0)))-AI81-BH81-CG81-DF81</f>
        <v>0.0175848228032371</v>
      </c>
      <c r="DS81" s="57" t="n">
        <f aca="false">dt*(G81+H81+I81+J81)</f>
        <v>0.0224866029796579</v>
      </c>
      <c r="DT81" s="19" t="n">
        <f aca="false">DQ81*C81</f>
        <v>64.1230295239233</v>
      </c>
      <c r="DU81" s="19" t="n">
        <f aca="false">DN81*C81</f>
        <v>3.36331186408456</v>
      </c>
      <c r="DV81" s="19" t="n">
        <f aca="false">DP81*C81</f>
        <v>32.6062281666689</v>
      </c>
      <c r="DW81" s="19" t="n">
        <f aca="false">DO81*C81</f>
        <v>28.1534894931699</v>
      </c>
      <c r="DX81" s="57" t="n">
        <f aca="false">DR81*C81</f>
        <v>0.0133014719898408</v>
      </c>
      <c r="DY81" s="57" t="n">
        <f aca="false">DS81*C81</f>
        <v>0.0170092654914629</v>
      </c>
      <c r="DZ81" s="57" t="n">
        <f aca="false">T81+AS81+BR81+CQ81</f>
        <v>0.000929453781047043</v>
      </c>
      <c r="EA81" s="57" t="n">
        <f aca="false">U81+AT81+BS81+CR81</f>
        <v>7.66029476983906E-005</v>
      </c>
      <c r="EB81" s="57" t="n">
        <f aca="false">V81+AU81+BT81+CS81</f>
        <v>0.000652808399952227</v>
      </c>
      <c r="EC81" s="57" t="n">
        <f aca="false">G81*dt*C81</f>
        <v>0.0104099872628209</v>
      </c>
    </row>
    <row r="82" customFormat="false" ht="15" hidden="false" customHeight="false" outlineLevel="0" collapsed="false">
      <c r="A82" s="8" t="n">
        <v>76</v>
      </c>
      <c r="B82" s="54" t="n">
        <f aca="false">start_age+A82*dt</f>
        <v>89</v>
      </c>
      <c r="C82" s="16" t="n">
        <f aca="false">(1+disc_rate)^-(A82*dt)</f>
        <v>0.753607474497129</v>
      </c>
      <c r="D82" s="55" t="n">
        <f aca="false">IF(A82*dt&gt;=wane_start,(1-wane_decay)^(A82*dt-wane_start),1)</f>
        <v>1</v>
      </c>
      <c r="E82" s="25" t="n">
        <f aca="false">MIN(p_nonvasc_death*MIN(EXP(gomp_int+gomp_slope*INT(B82)),1)/qx_ref,0.999)</f>
        <v>0.24093928536159</v>
      </c>
      <c r="F82" s="55" t="n">
        <f aca="false">rr_stroke_per_decade^((B82-ref_age)/10)</f>
        <v>2.16059512678249</v>
      </c>
      <c r="G82" s="57" t="n">
        <f aca="false">DH81</f>
        <v>0.0510325920113638</v>
      </c>
      <c r="H82" s="57" t="n">
        <f aca="false">DI81</f>
        <v>0.00552495036986867</v>
      </c>
      <c r="I82" s="57" t="n">
        <f aca="false">DJ81</f>
        <v>0.00296836849487913</v>
      </c>
      <c r="J82" s="57" t="n">
        <f aca="false">DK81</f>
        <v>0.024091158531556</v>
      </c>
      <c r="K82" s="57" t="n">
        <f aca="false">DL81</f>
        <v>0.916382930592332</v>
      </c>
      <c r="L82" s="57" t="n">
        <f aca="false">1-EXP(LN(1-E82)*dt)</f>
        <v>0.066597136787399</v>
      </c>
      <c r="M82" s="57" t="n">
        <f aca="false">G82*(1-L82)</f>
        <v>0.0476339675005675</v>
      </c>
      <c r="N82" s="57" t="n">
        <f aca="false">IF(Apixaban!$B$2=1,EXP(LN(or_apx_stroke)*D82)*(1-EXP(-r_stroke*F82*dt))/(1-(1-EXP(-r_stroke*F82*dt))+EXP(LN(or_apx_stroke)*D82)*(1-EXP(-r_stroke*F82*dt))),(1-EXP(-r_stroke*F82*dt)))</f>
        <v>0.00686530113852482</v>
      </c>
      <c r="O82" s="57" t="n">
        <f aca="false">IF(Apixaban!$B$2=1,EXP(LN(or_apx_ich)*D82)*(1-EXP(-r_ich*dt))/(1-(1-EXP(-r_ich*dt))+EXP(LN(or_apx_ich)*D82)*(1-EXP(-r_ich*dt))),(1-EXP(-r_ich*dt)))</f>
        <v>0.000843513249640701</v>
      </c>
      <c r="P82" s="57" t="n">
        <f aca="false">IF(Apixaban!$B$2=1,EXP(LN(or_apx_mb)*D82)*(1-EXP(-r_mb*dt))/(1-(1-EXP(-r_mb*dt))+EXP(LN(or_apx_mb)*D82)*(1-EXP(-r_mb*dt))),(1-EXP(-r_mb*dt)))</f>
        <v>0.00669446907979895</v>
      </c>
      <c r="Q82" s="57" t="n">
        <f aca="false">IF(Apixaban!$B$2=1,EXP(LN(or_apx_mi)*D82)*(1-EXP(-r_mi*dt))/(1-(1-EXP(-r_mi*dt))+EXP(LN(or_apx_mi)*D82)*(1-EXP(-r_mi*dt))),(1-EXP(-r_mi*dt)))</f>
        <v>0.00132321915530843</v>
      </c>
      <c r="R82" s="57" t="n">
        <f aca="false">(1-EXP(-r_tia*dt))</f>
        <v>0.0020060281549299</v>
      </c>
      <c r="S82" s="57" t="n">
        <f aca="false">(1-EXP(-r_minor*dt))</f>
        <v>0.0437937690785545</v>
      </c>
      <c r="T82" s="57" t="n">
        <f aca="false">M82*N82</f>
        <v>0.0003270215313141</v>
      </c>
      <c r="U82" s="57" t="n">
        <f aca="false">M82*O82</f>
        <v>4.01798827196832E-005</v>
      </c>
      <c r="V82" s="57" t="n">
        <f aca="false">M82*P82</f>
        <v>0.000318884122580697</v>
      </c>
      <c r="W82" s="57" t="n">
        <f aca="false">M82*Q82</f>
        <v>6.30301782400901E-005</v>
      </c>
      <c r="X82" s="57" t="n">
        <f aca="false">M82*R82</f>
        <v>9.5555079937154E-005</v>
      </c>
      <c r="Y82" s="57" t="n">
        <f aca="false">M82*S82</f>
        <v>0.00208607097301522</v>
      </c>
      <c r="Z82" s="57" t="n">
        <f aca="false">T82*f_stroke_fatal</f>
        <v>7.75041029214418E-005</v>
      </c>
      <c r="AA82" s="57" t="n">
        <f aca="false">T82*(1-f_stroke_fatal)*f_stroke_major</f>
        <v>8.30893036547553E-005</v>
      </c>
      <c r="AB82" s="57" t="n">
        <f aca="false">T82*(1-f_stroke_fatal)*(1-f_stroke_major)</f>
        <v>0.000166428124737903</v>
      </c>
      <c r="AC82" s="57" t="n">
        <f aca="false">U82*(1-f_bleed_fatal)</f>
        <v>3.68047725712298E-005</v>
      </c>
      <c r="AD82" s="57" t="n">
        <f aca="false">V82*(1-f_bleed_fatal)</f>
        <v>0.000292097856283919</v>
      </c>
      <c r="AE82" s="57" t="n">
        <f aca="false">W82*f_mi_fatal</f>
        <v>7.6266515670509E-006</v>
      </c>
      <c r="AF82" s="57" t="n">
        <f aca="false">W82-AE82</f>
        <v>5.54035266730392E-005</v>
      </c>
      <c r="AG82" s="57" t="n">
        <f aca="false">M82-T82-U82-V82-AE82</f>
        <v>0.046940255312386</v>
      </c>
      <c r="AH82" s="19" t="n">
        <f aca="false">Z82*c_stroke_fatal+AA82*c_stroke_major+AB82*c_stroke_minor+U82*c_ich+V82*c_major_bleed+AE82*c_mi_fatal+AF82*c_mi_nonfatal+X82*c_tia+Y82*c_minor_bleed</f>
        <v>16.7113433684353</v>
      </c>
      <c r="AI82" s="57" t="n">
        <f aca="false">dt*(AF82*dec_mi+AD82*dec_major_bleed+Y82*dec_minor_bleed+X82*dec_tia)</f>
        <v>1.76898848737438E-005</v>
      </c>
      <c r="AJ82" s="57" t="n">
        <f aca="false">G82*L82+Z82+U82-AC82+V82-AD82+AE82</f>
        <v>0.00351391664173005</v>
      </c>
      <c r="AK82" s="57" t="n">
        <f aca="false">1-EXP(LN(1-E82)*hr_death_prior_stroke*dt)</f>
        <v>0.146587507058832</v>
      </c>
      <c r="AL82" s="57" t="n">
        <f aca="false">H82*(1-AK82)</f>
        <v>0.00471506166852585</v>
      </c>
      <c r="AM82" s="57" t="n">
        <f aca="false">(1-EXP(-r_stroke*F82*rr_stroke_prior*rr_asa_stroke*dt))</f>
        <v>0.0305733997346279</v>
      </c>
      <c r="AN82" s="57" t="n">
        <f aca="false">(1-EXP(-r_ich*rr_asa_ich*dt))</f>
        <v>0.00102357767802375</v>
      </c>
      <c r="AO82" s="57" t="n">
        <f aca="false">(1-EXP(-r_mb*rr_asa_mb*dt))</f>
        <v>0.00951809672747972</v>
      </c>
      <c r="AP82" s="57" t="n">
        <f aca="false">(1-EXP(-r_mi*rr_asa_mi*dt))</f>
        <v>0.00213413516393479</v>
      </c>
      <c r="AQ82" s="57" t="n">
        <f aca="false">(1-EXP(-r_tia*rr_asa_tia*dt))</f>
        <v>0.00312764565589152</v>
      </c>
      <c r="AR82" s="57" t="n">
        <f aca="false">(1-EXP(-r_minor*rr_asa_minor*dt))</f>
        <v>0.0278181950466747</v>
      </c>
      <c r="AS82" s="57" t="n">
        <f aca="false">AL82*AM82</f>
        <v>0.000144155465165262</v>
      </c>
      <c r="AT82" s="57" t="n">
        <f aca="false">AL82*AN82</f>
        <v>4.82623187440846E-006</v>
      </c>
      <c r="AU82" s="57" t="n">
        <f aca="false">AL82*AO82</f>
        <v>4.4878413037061E-005</v>
      </c>
      <c r="AV82" s="57" t="n">
        <f aca="false">AL82*AP82</f>
        <v>1.00625789069221E-005</v>
      </c>
      <c r="AW82" s="57" t="n">
        <f aca="false">AL82*AQ82</f>
        <v>1.47470421448255E-005</v>
      </c>
      <c r="AX82" s="57" t="n">
        <f aca="false">AL82*AR82</f>
        <v>0.000131164505152152</v>
      </c>
      <c r="AY82" s="57" t="n">
        <f aca="false">AS82*f_stroke_fatal_recur</f>
        <v>5.36388070333425E-005</v>
      </c>
      <c r="AZ82" s="57" t="n">
        <f aca="false">AS82*(1-f_stroke_fatal_recur)*f_stroke_major</f>
        <v>3.01420471579293E-005</v>
      </c>
      <c r="BA82" s="57" t="n">
        <f aca="false">AS82*(1-f_stroke_fatal_recur)*(1-f_stroke_major)</f>
        <v>6.03746109739906E-005</v>
      </c>
      <c r="BB82" s="57" t="n">
        <f aca="false">AT82*(1-f_bleed_fatal)</f>
        <v>4.42082839695815E-006</v>
      </c>
      <c r="BC82" s="57" t="n">
        <f aca="false">AU82*(1-f_bleed_fatal)</f>
        <v>4.11086263419478E-005</v>
      </c>
      <c r="BD82" s="57" t="n">
        <f aca="false">AV82*f_mi_fatal</f>
        <v>1.21757204773757E-006</v>
      </c>
      <c r="BE82" s="57" t="n">
        <f aca="false">AV82-BD82</f>
        <v>8.8450068591845E-006</v>
      </c>
      <c r="BF82" s="57" t="n">
        <f aca="false">AL82-AS82-AT82-AU82-BD82</f>
        <v>0.00451998398640138</v>
      </c>
      <c r="BG82" s="19" t="n">
        <f aca="false">AY82*c_stroke_fatal+AZ82*c_stroke_major+BA82*c_stroke_minor+AT82*c_ich+AU82*c_major_bleed+BD82*c_mi_fatal+BE82*c_mi_nonfatal+AW82*c_tia+AX82*c_minor_bleed</f>
        <v>5.60532416930428</v>
      </c>
      <c r="BH82" s="57" t="n">
        <f aca="false">dt*(BE82*dec_mi+BC82*dec_major_bleed+AX82*dec_minor_bleed+AW82*dec_tia)</f>
        <v>2.02792584718806E-006</v>
      </c>
      <c r="BI82" s="57" t="n">
        <f aca="false">H82*AK82+AY82+AT82-BB82+AU82-BC82+BD82</f>
        <v>0.000868920270596466</v>
      </c>
      <c r="BJ82" s="57" t="n">
        <f aca="false">1-EXP(LN(1-E82)*hr_death_prior_stroke*dt)</f>
        <v>0.146587507058832</v>
      </c>
      <c r="BK82" s="57" t="n">
        <f aca="false">I82*(1-BJ82)</f>
        <v>0.00253324275718282</v>
      </c>
      <c r="BL82" s="57" t="n">
        <f aca="false">(1-EXP(-r_stroke*F82*rr_stroke_prior*rr_asa_stroke*dt))</f>
        <v>0.0305733997346279</v>
      </c>
      <c r="BM82" s="57" t="n">
        <f aca="false">(1-EXP(-r_ich*rr_asa_ich*dt))</f>
        <v>0.00102357767802375</v>
      </c>
      <c r="BN82" s="57" t="n">
        <f aca="false">(1-EXP(-r_mb*rr_asa_mb*dt))</f>
        <v>0.00951809672747972</v>
      </c>
      <c r="BO82" s="57" t="n">
        <f aca="false">(1-EXP(-r_mi*rr_asa_mi*dt))</f>
        <v>0.00213413516393479</v>
      </c>
      <c r="BP82" s="57" t="n">
        <f aca="false">(1-EXP(-r_tia*rr_asa_tia*dt))</f>
        <v>0.00312764565589152</v>
      </c>
      <c r="BQ82" s="57" t="n">
        <f aca="false">(1-EXP(-r_minor*rr_asa_minor*dt))</f>
        <v>0.0278181950466747</v>
      </c>
      <c r="BR82" s="57" t="n">
        <f aca="false">BK82*BL82</f>
        <v>7.74498434402014E-005</v>
      </c>
      <c r="BS82" s="57" t="n">
        <f aca="false">BK82*BM82</f>
        <v>2.59297073926767E-006</v>
      </c>
      <c r="BT82" s="57" t="n">
        <f aca="false">BK82*BN82</f>
        <v>2.41116495970535E-005</v>
      </c>
      <c r="BU82" s="57" t="n">
        <f aca="false">BK82*BO82</f>
        <v>5.40628244688699E-006</v>
      </c>
      <c r="BV82" s="57" t="n">
        <f aca="false">BK82*BP82</f>
        <v>7.92308570482151E-006</v>
      </c>
      <c r="BW82" s="57" t="n">
        <f aca="false">BK82*BQ82</f>
        <v>7.04702411198878E-005</v>
      </c>
      <c r="BX82" s="57" t="n">
        <f aca="false">BR82*f_stroke_fatal_recur</f>
        <v>2.88183122456645E-005</v>
      </c>
      <c r="BY82" s="57" t="n">
        <f aca="false">BR82*(1-f_stroke_fatal_recur)*f_stroke_major</f>
        <v>1.61942998877808E-005</v>
      </c>
      <c r="BZ82" s="57" t="n">
        <f aca="false">BR82*(1-f_stroke_fatal_recur)*(1-f_stroke_major)</f>
        <v>3.24372313067561E-005</v>
      </c>
      <c r="CA82" s="57" t="n">
        <f aca="false">BS82*(1-f_bleed_fatal)</f>
        <v>2.37516119716918E-006</v>
      </c>
      <c r="CB82" s="57" t="n">
        <f aca="false">BT82*(1-f_bleed_fatal)</f>
        <v>2.2086271030901E-005</v>
      </c>
      <c r="CC82" s="57" t="n">
        <f aca="false">BU82*f_mi_fatal</f>
        <v>6.54160176073325E-007</v>
      </c>
      <c r="CD82" s="57" t="n">
        <f aca="false">BU82-CC82</f>
        <v>4.75212227081366E-006</v>
      </c>
      <c r="CE82" s="57" t="n">
        <f aca="false">BK82-BR82-BS82-BT82-CC82</f>
        <v>0.00242843413323023</v>
      </c>
      <c r="CF82" s="19" t="n">
        <f aca="false">BX82*c_stroke_fatal+BY82*c_stroke_major+BZ82*c_stroke_minor+BS82*c_ich+BT82*c_major_bleed+CC82*c_mi_fatal+CD82*c_mi_nonfatal+BV82*c_tia+BW82*c_minor_bleed</f>
        <v>3.01155061201805</v>
      </c>
      <c r="CG82" s="57" t="n">
        <f aca="false">dt*(CD82*dec_mi+CB82*dec_major_bleed+BW82*dec_minor_bleed+BV82*dec_tia)</f>
        <v>1.08953579521244E-006</v>
      </c>
      <c r="CH82" s="57" t="n">
        <f aca="false">I82*BJ82+BX82+BS82-CA82+BT82-CB82+CC82</f>
        <v>0.000466841398226299</v>
      </c>
      <c r="CI82" s="57" t="n">
        <f aca="false">1-EXP(LN(1-E82)*dt)</f>
        <v>0.066597136787399</v>
      </c>
      <c r="CJ82" s="57" t="n">
        <f aca="false">J82*(1-CI82)</f>
        <v>0.0224867563514631</v>
      </c>
      <c r="CK82" s="57" t="n">
        <f aca="false">(1-EXP(-r_stroke*F82*rr_asa_stroke*dt))</f>
        <v>0.0140147371770871</v>
      </c>
      <c r="CL82" s="57" t="n">
        <f aca="false">(1-EXP(-r_ich*rr_asa_ich*dt))</f>
        <v>0.00102357767802375</v>
      </c>
      <c r="CM82" s="57" t="n">
        <f aca="false">(1-EXP(-r_mb*rr_asa_mb*dt))</f>
        <v>0.00951809672747972</v>
      </c>
      <c r="CN82" s="57" t="n">
        <f aca="false">(1-EXP(-r_mi*rr_asa_mi*dt))</f>
        <v>0.00213413516393479</v>
      </c>
      <c r="CO82" s="57" t="n">
        <f aca="false">(1-EXP(-r_tia*rr_asa_tia*dt))</f>
        <v>0.00312764565589152</v>
      </c>
      <c r="CP82" s="57" t="n">
        <f aca="false">(1-EXP(-r_minor*rr_asa_minor*dt))</f>
        <v>0.0278181950466747</v>
      </c>
      <c r="CQ82" s="57" t="n">
        <f aca="false">CJ82*CK82</f>
        <v>0.00031514598023095</v>
      </c>
      <c r="CR82" s="57" t="n">
        <f aca="false">CJ82*CL82</f>
        <v>2.30169418525163E-005</v>
      </c>
      <c r="CS82" s="57" t="n">
        <f aca="false">CJ82*CM82</f>
        <v>0.000214031122040495</v>
      </c>
      <c r="CT82" s="57" t="n">
        <f aca="false">CJ82*CN82</f>
        <v>4.79897774524914E-005</v>
      </c>
      <c r="CU82" s="57" t="n">
        <f aca="false">CJ82*CO82</f>
        <v>7.03306058177446E-005</v>
      </c>
      <c r="CV82" s="57" t="n">
        <f aca="false">CJ82*CP82</f>
        <v>0.000625540974152051</v>
      </c>
      <c r="CW82" s="57" t="n">
        <f aca="false">CQ82*f_stroke_fatal</f>
        <v>7.46895973147351E-005</v>
      </c>
      <c r="CX82" s="57" t="n">
        <f aca="false">CQ82*(1-f_stroke_fatal)*f_stroke_major</f>
        <v>8.00719755110995E-005</v>
      </c>
      <c r="CY82" s="57" t="n">
        <f aca="false">CQ82*(1-f_stroke_fatal)*(1-f_stroke_major)</f>
        <v>0.000160384407405115</v>
      </c>
      <c r="CZ82" s="57" t="n">
        <f aca="false">CR82*(1-f_bleed_fatal)</f>
        <v>2.10835187369049E-005</v>
      </c>
      <c r="DA82" s="57" t="n">
        <f aca="false">CS82*(1-f_bleed_fatal)</f>
        <v>0.000196052507789093</v>
      </c>
      <c r="DB82" s="57" t="n">
        <f aca="false">CT82*f_mi_fatal</f>
        <v>5.80676307175146E-006</v>
      </c>
      <c r="DC82" s="57" t="n">
        <f aca="false">CT82-DB82</f>
        <v>4.21830143807399E-005</v>
      </c>
      <c r="DD82" s="57" t="n">
        <f aca="false">CJ82-CQ82-CR82-CS82-DB82</f>
        <v>0.0219287555442674</v>
      </c>
      <c r="DE82" s="19" t="n">
        <f aca="false">CW82*c_stroke_fatal+CX82*c_stroke_major+CY82*c_stroke_minor+CR82*c_ich+CS82*c_major_bleed+DB82*c_mi_fatal+DC82*c_mi_nonfatal+CU82*c_tia+CV82*c_minor_bleed</f>
        <v>14.6719247263312</v>
      </c>
      <c r="DF82" s="57" t="n">
        <f aca="false">dt*(DC82*dec_mi+DA82*dec_major_bleed+CV82*dec_minor_bleed+CU82*dec_tia)</f>
        <v>9.67144814434835E-006</v>
      </c>
      <c r="DG82" s="57" t="n">
        <f aca="false">J82*CI82+CW82+CR82-CZ82+CS82-DA82+DB82</f>
        <v>0.00170481057784645</v>
      </c>
      <c r="DH82" s="57" t="n">
        <f aca="false">AG82</f>
        <v>0.046940255312386</v>
      </c>
      <c r="DI82" s="57" t="n">
        <f aca="false">AB82+AC82+BF82+BA82+BB82+BC82+CY82+CZ82</f>
        <v>0.00501058887556543</v>
      </c>
      <c r="DJ82" s="57" t="n">
        <f aca="false">AA82+AZ82+BY82+CX82+CE82+BZ82+CA82+CB82</f>
        <v>0.00269483042297662</v>
      </c>
      <c r="DK82" s="57" t="n">
        <f aca="false">AD82+DD82+DA82</f>
        <v>0.0224169059083404</v>
      </c>
      <c r="DL82" s="57" t="n">
        <f aca="false">K82+AJ82+BI82+CH82+DG82</f>
        <v>0.922937419480731</v>
      </c>
      <c r="DM82" s="58" t="n">
        <f aca="false">SUM(DH82:DL82)</f>
        <v>1</v>
      </c>
      <c r="DN82" s="19" t="n">
        <f aca="false">dt*(G82*Apixaban!$H$2+(H82+I82+J82)*c_aspirin)</f>
        <v>4.12424189359309</v>
      </c>
      <c r="DO82" s="19" t="n">
        <f aca="false">dt*(H82*c_lt_minor_stroke+I82*c_lt_major_stroke)</f>
        <v>34.3152072249385</v>
      </c>
      <c r="DP82" s="19" t="n">
        <f aca="false">AH82+BG82+CF82+DE82</f>
        <v>40.0001428760889</v>
      </c>
      <c r="DQ82" s="19" t="n">
        <f aca="false">DN82+DO82+DP82</f>
        <v>78.4395919946205</v>
      </c>
      <c r="DR82" s="57" t="n">
        <f aca="false">dt*(G82*(u_af-dec_per_year_over_70*MAX(B82-ref_age,0))+H82*(u_minor_stroke-dec_per_year_over_70*MAX(B82-ref_age,0))+I82*(u_major_stroke-dec_per_year_over_70*MAX(B82-ref_age,0))+J82*(u_af-dec_per_year_over_70*MAX(B82-ref_age,0)))-AI82-BH82-CG82-DF82</f>
        <v>0.0163496462118713</v>
      </c>
      <c r="DS82" s="57" t="n">
        <f aca="false">dt*(G82+H82+I82+J82)</f>
        <v>0.0209042673519169</v>
      </c>
      <c r="DT82" s="19" t="n">
        <f aca="false">DQ82*C82</f>
        <v>59.1126628236512</v>
      </c>
      <c r="DU82" s="19" t="n">
        <f aca="false">DN82*C82</f>
        <v>3.10805951764594</v>
      </c>
      <c r="DV82" s="19" t="n">
        <f aca="false">DP82*C82</f>
        <v>30.1444066523737</v>
      </c>
      <c r="DW82" s="19" t="n">
        <f aca="false">DO82*C82</f>
        <v>25.8601966536316</v>
      </c>
      <c r="DX82" s="57" t="n">
        <f aca="false">DR82*C82</f>
        <v>0.0123212155906499</v>
      </c>
      <c r="DY82" s="57" t="n">
        <f aca="false">DS82*C82</f>
        <v>0.0157536121252909</v>
      </c>
      <c r="DZ82" s="57" t="n">
        <f aca="false">T82+AS82+BR82+CQ82</f>
        <v>0.000863772820150514</v>
      </c>
      <c r="EA82" s="57" t="n">
        <f aca="false">U82+AT82+BS82+CR82</f>
        <v>7.06160271858757E-005</v>
      </c>
      <c r="EB82" s="57" t="n">
        <f aca="false">V82+AU82+BT82+CS82</f>
        <v>0.000601905307255306</v>
      </c>
      <c r="EC82" s="57" t="n">
        <f aca="false">G82*dt*C82</f>
        <v>0.00961463569568156</v>
      </c>
    </row>
    <row r="83" customFormat="false" ht="15" hidden="false" customHeight="false" outlineLevel="0" collapsed="false">
      <c r="A83" s="8" t="n">
        <v>77</v>
      </c>
      <c r="B83" s="54" t="n">
        <f aca="false">start_age+A83*dt</f>
        <v>89.25</v>
      </c>
      <c r="C83" s="16" t="n">
        <f aca="false">(1+disc_rate)^-(A83*dt)</f>
        <v>0.750807646009758</v>
      </c>
      <c r="D83" s="55" t="n">
        <f aca="false">IF(A83*dt&gt;=wane_start,(1-wane_decay)^(A83*dt-wane_start),1)</f>
        <v>1</v>
      </c>
      <c r="E83" s="25" t="n">
        <f aca="false">MIN(p_nonvasc_death*MIN(EXP(gomp_int+gomp_slope*INT(B83)),1)/qx_ref,0.999)</f>
        <v>0.24093928536159</v>
      </c>
      <c r="F83" s="55" t="n">
        <f aca="false">rr_stroke_per_decade^((B83-ref_age)/10)</f>
        <v>2.18260765310686</v>
      </c>
      <c r="G83" s="57" t="n">
        <f aca="false">DH82</f>
        <v>0.046940255312386</v>
      </c>
      <c r="H83" s="57" t="n">
        <f aca="false">DI82</f>
        <v>0.00501058887556543</v>
      </c>
      <c r="I83" s="57" t="n">
        <f aca="false">DJ82</f>
        <v>0.00269483042297662</v>
      </c>
      <c r="J83" s="57" t="n">
        <f aca="false">DK82</f>
        <v>0.0224169059083404</v>
      </c>
      <c r="K83" s="57" t="n">
        <f aca="false">DL82</f>
        <v>0.922937419480731</v>
      </c>
      <c r="L83" s="57" t="n">
        <f aca="false">1-EXP(LN(1-E83)*dt)</f>
        <v>0.066597136787399</v>
      </c>
      <c r="M83" s="57" t="n">
        <f aca="false">G83*(1-L83)</f>
        <v>0.0438141687085116</v>
      </c>
      <c r="N83" s="57" t="n">
        <f aca="false">IF(Apixaban!$B$2=1,EXP(LN(or_apx_stroke)*D83)*(1-EXP(-r_stroke*F83*dt))/(1-(1-EXP(-r_stroke*F83*dt))+EXP(LN(or_apx_stroke)*D83)*(1-EXP(-r_stroke*F83*dt))),(1-EXP(-r_stroke*F83*dt)))</f>
        <v>0.00693506708330962</v>
      </c>
      <c r="O83" s="57" t="n">
        <f aca="false">IF(Apixaban!$B$2=1,EXP(LN(or_apx_ich)*D83)*(1-EXP(-r_ich*dt))/(1-(1-EXP(-r_ich*dt))+EXP(LN(or_apx_ich)*D83)*(1-EXP(-r_ich*dt))),(1-EXP(-r_ich*dt)))</f>
        <v>0.000843513249640701</v>
      </c>
      <c r="P83" s="57" t="n">
        <f aca="false">IF(Apixaban!$B$2=1,EXP(LN(or_apx_mb)*D83)*(1-EXP(-r_mb*dt))/(1-(1-EXP(-r_mb*dt))+EXP(LN(or_apx_mb)*D83)*(1-EXP(-r_mb*dt))),(1-EXP(-r_mb*dt)))</f>
        <v>0.00669446907979895</v>
      </c>
      <c r="Q83" s="57" t="n">
        <f aca="false">IF(Apixaban!$B$2=1,EXP(LN(or_apx_mi)*D83)*(1-EXP(-r_mi*dt))/(1-(1-EXP(-r_mi*dt))+EXP(LN(or_apx_mi)*D83)*(1-EXP(-r_mi*dt))),(1-EXP(-r_mi*dt)))</f>
        <v>0.00132321915530843</v>
      </c>
      <c r="R83" s="57" t="n">
        <f aca="false">(1-EXP(-r_tia*dt))</f>
        <v>0.0020060281549299</v>
      </c>
      <c r="S83" s="57" t="n">
        <f aca="false">(1-EXP(-r_minor*dt))</f>
        <v>0.0437937690785545</v>
      </c>
      <c r="T83" s="57" t="n">
        <f aca="false">M83*N83</f>
        <v>0.000303854199192973</v>
      </c>
      <c r="U83" s="57" t="n">
        <f aca="false">M83*O83</f>
        <v>3.69578318276225E-005</v>
      </c>
      <c r="V83" s="57" t="n">
        <f aca="false">M83*P83</f>
        <v>0.000293312597676226</v>
      </c>
      <c r="W83" s="57" t="n">
        <f aca="false">M83*Q83</f>
        <v>5.79757473090177E-005</v>
      </c>
      <c r="X83" s="57" t="n">
        <f aca="false">M83*R83</f>
        <v>8.78924560141226E-005</v>
      </c>
      <c r="Y83" s="57" t="n">
        <f aca="false">M83*S83</f>
        <v>0.00191878758678938</v>
      </c>
      <c r="Z83" s="57" t="n">
        <f aca="false">T83*f_stroke_fatal</f>
        <v>7.20134452087346E-005</v>
      </c>
      <c r="AA83" s="57" t="n">
        <f aca="false">T83*(1-f_stroke_fatal)*f_stroke_major</f>
        <v>7.72029710767514E-005</v>
      </c>
      <c r="AB83" s="57" t="n">
        <f aca="false">T83*(1-f_stroke_fatal)*(1-f_stroke_major)</f>
        <v>0.000154637782907487</v>
      </c>
      <c r="AC83" s="57" t="n">
        <f aca="false">U83*(1-f_bleed_fatal)</f>
        <v>3.38533739541022E-005</v>
      </c>
      <c r="AD83" s="57" t="n">
        <f aca="false">V83*(1-f_bleed_fatal)</f>
        <v>0.000268674339471423</v>
      </c>
      <c r="AE83" s="57" t="n">
        <f aca="false">W83*f_mi_fatal</f>
        <v>7.01506542439114E-006</v>
      </c>
      <c r="AF83" s="57" t="n">
        <f aca="false">W83-AE83</f>
        <v>5.09606818846265E-005</v>
      </c>
      <c r="AG83" s="57" t="n">
        <f aca="false">M83-T83-U83-V83-AE83</f>
        <v>0.0431730290143904</v>
      </c>
      <c r="AH83" s="19" t="n">
        <f aca="false">Z83*c_stroke_fatal+AA83*c_stroke_major+AB83*c_stroke_minor+U83*c_ich+V83*c_major_bleed+AE83*c_mi_fatal+AF83*c_mi_nonfatal+X83*c_tia+Y83*c_minor_bleed</f>
        <v>15.4841890753508</v>
      </c>
      <c r="AI83" s="57" t="n">
        <f aca="false">dt*(AF83*dec_mi+AD83*dec_major_bleed+Y83*dec_minor_bleed+X83*dec_tia)</f>
        <v>1.62713215161665E-005</v>
      </c>
      <c r="AJ83" s="57" t="n">
        <f aca="false">G83*L83+Z83+U83-AC83+V83-AD83+AE83</f>
        <v>0.00323285783058585</v>
      </c>
      <c r="AK83" s="57" t="n">
        <f aca="false">1-EXP(LN(1-E83)*hr_death_prior_stroke*dt)</f>
        <v>0.146587507058832</v>
      </c>
      <c r="AL83" s="57" t="n">
        <f aca="false">H83*(1-AK83)</f>
        <v>0.00427609914339958</v>
      </c>
      <c r="AM83" s="57" t="n">
        <f aca="false">(1-EXP(-r_stroke*F83*rr_stroke_prior*rr_asa_stroke*dt))</f>
        <v>0.0308800275565221</v>
      </c>
      <c r="AN83" s="57" t="n">
        <f aca="false">(1-EXP(-r_ich*rr_asa_ich*dt))</f>
        <v>0.00102357767802375</v>
      </c>
      <c r="AO83" s="57" t="n">
        <f aca="false">(1-EXP(-r_mb*rr_asa_mb*dt))</f>
        <v>0.00951809672747972</v>
      </c>
      <c r="AP83" s="57" t="n">
        <f aca="false">(1-EXP(-r_mi*rr_asa_mi*dt))</f>
        <v>0.00213413516393479</v>
      </c>
      <c r="AQ83" s="57" t="n">
        <f aca="false">(1-EXP(-r_tia*rr_asa_tia*dt))</f>
        <v>0.00312764565589152</v>
      </c>
      <c r="AR83" s="57" t="n">
        <f aca="false">(1-EXP(-r_minor*rr_asa_minor*dt))</f>
        <v>0.0278181950466747</v>
      </c>
      <c r="AS83" s="57" t="n">
        <f aca="false">AL83*AM83</f>
        <v>0.000132046059382599</v>
      </c>
      <c r="AT83" s="57" t="n">
        <f aca="false">AL83*AN83</f>
        <v>4.37691963220027E-006</v>
      </c>
      <c r="AU83" s="57" t="n">
        <f aca="false">AL83*AO83</f>
        <v>4.07003252631703E-005</v>
      </c>
      <c r="AV83" s="57" t="n">
        <f aca="false">AL83*AP83</f>
        <v>9.12577354640048E-006</v>
      </c>
      <c r="AW83" s="57" t="n">
        <f aca="false">AL83*AQ83</f>
        <v>1.33741229100151E-005</v>
      </c>
      <c r="AX83" s="57" t="n">
        <f aca="false">AL83*AR83</f>
        <v>0.000118953360010008</v>
      </c>
      <c r="AY83" s="57" t="n">
        <f aca="false">AS83*f_stroke_fatal_recur</f>
        <v>4.91330182356714E-005</v>
      </c>
      <c r="AZ83" s="57" t="n">
        <f aca="false">AS83*(1-f_stroke_fatal_recur)*f_stroke_major</f>
        <v>2.7610042701927E-005</v>
      </c>
      <c r="BA83" s="57" t="n">
        <f aca="false">AS83*(1-f_stroke_fatal_recur)*(1-f_stroke_major)</f>
        <v>5.5302998445001E-005</v>
      </c>
      <c r="BB83" s="57" t="n">
        <f aca="false">AT83*(1-f_bleed_fatal)</f>
        <v>4.00925838309545E-006</v>
      </c>
      <c r="BC83" s="57" t="n">
        <f aca="false">AU83*(1-f_bleed_fatal)</f>
        <v>3.7281497941064E-005</v>
      </c>
      <c r="BD83" s="57" t="n">
        <f aca="false">AV83*f_mi_fatal</f>
        <v>1.10421859911446E-006</v>
      </c>
      <c r="BE83" s="57" t="n">
        <f aca="false">AV83-BD83</f>
        <v>8.02155494728602E-006</v>
      </c>
      <c r="BF83" s="57" t="n">
        <f aca="false">AL83-AS83-AT83-AU83-BD83</f>
        <v>0.00409787162052249</v>
      </c>
      <c r="BG83" s="19" t="n">
        <f aca="false">AY83*c_stroke_fatal+AZ83*c_stroke_major+BA83*c_stroke_minor+AT83*c_ich+AU83*c_major_bleed+BD83*c_mi_fatal+BE83*c_mi_nonfatal+AW83*c_tia+AX83*c_minor_bleed</f>
        <v>5.12868850310001</v>
      </c>
      <c r="BH83" s="57" t="n">
        <f aca="false">dt*(BE83*dec_mi+BC83*dec_major_bleed+AX83*dec_minor_bleed+AW83*dec_tia)</f>
        <v>1.83913012971258E-006</v>
      </c>
      <c r="BI83" s="57" t="n">
        <f aca="false">H83*AK83+AY83+AT83-BB83+AU83-BC83+BD83</f>
        <v>0.000788513457571851</v>
      </c>
      <c r="BJ83" s="57" t="n">
        <f aca="false">1-EXP(LN(1-E83)*hr_death_prior_stroke*dt)</f>
        <v>0.146587507058832</v>
      </c>
      <c r="BK83" s="57" t="n">
        <f aca="false">I83*(1-BJ83)</f>
        <v>0.00229980194932618</v>
      </c>
      <c r="BL83" s="57" t="n">
        <f aca="false">(1-EXP(-r_stroke*F83*rr_stroke_prior*rr_asa_stroke*dt))</f>
        <v>0.0308800275565221</v>
      </c>
      <c r="BM83" s="57" t="n">
        <f aca="false">(1-EXP(-r_ich*rr_asa_ich*dt))</f>
        <v>0.00102357767802375</v>
      </c>
      <c r="BN83" s="57" t="n">
        <f aca="false">(1-EXP(-r_mb*rr_asa_mb*dt))</f>
        <v>0.00951809672747972</v>
      </c>
      <c r="BO83" s="57" t="n">
        <f aca="false">(1-EXP(-r_mi*rr_asa_mi*dt))</f>
        <v>0.00213413516393479</v>
      </c>
      <c r="BP83" s="57" t="n">
        <f aca="false">(1-EXP(-r_tia*rr_asa_tia*dt))</f>
        <v>0.00312764565589152</v>
      </c>
      <c r="BQ83" s="57" t="n">
        <f aca="false">(1-EXP(-r_minor*rr_asa_minor*dt))</f>
        <v>0.0278181950466747</v>
      </c>
      <c r="BR83" s="57" t="n">
        <f aca="false">BK83*BL83</f>
        <v>7.10179475697355E-005</v>
      </c>
      <c r="BS83" s="57" t="n">
        <f aca="false">BK83*BM83</f>
        <v>2.35402593920577E-006</v>
      </c>
      <c r="BT83" s="57" t="n">
        <f aca="false">BK83*BN83</f>
        <v>2.1889737407733E-005</v>
      </c>
      <c r="BU83" s="57" t="n">
        <f aca="false">BK83*BO83</f>
        <v>4.90808821014277E-006</v>
      </c>
      <c r="BV83" s="57" t="n">
        <f aca="false">BK83*BP83</f>
        <v>7.19296557622086E-006</v>
      </c>
      <c r="BW83" s="57" t="n">
        <f aca="false">BK83*BQ83</f>
        <v>6.39763391950783E-005</v>
      </c>
      <c r="BX83" s="57" t="n">
        <f aca="false">BR83*f_stroke_fatal_recur</f>
        <v>2.64250681112229E-005</v>
      </c>
      <c r="BY83" s="57" t="n">
        <f aca="false">BR83*(1-f_stroke_fatal_recur)*f_stroke_major</f>
        <v>1.48494288596847E-005</v>
      </c>
      <c r="BZ83" s="57" t="n">
        <f aca="false">BR83*(1-f_stroke_fatal_recur)*(1-f_stroke_major)</f>
        <v>2.97434505988279E-005</v>
      </c>
      <c r="CA83" s="57" t="n">
        <f aca="false">BS83*(1-f_bleed_fatal)</f>
        <v>2.15628776031249E-006</v>
      </c>
      <c r="CB83" s="57" t="n">
        <f aca="false">BT83*(1-f_bleed_fatal)</f>
        <v>2.00509994654834E-005</v>
      </c>
      <c r="CC83" s="57" t="n">
        <f aca="false">BU83*f_mi_fatal</f>
        <v>5.93878673427276E-007</v>
      </c>
      <c r="CD83" s="57" t="n">
        <f aca="false">BU83-CC83</f>
        <v>4.3142095367155E-006</v>
      </c>
      <c r="CE83" s="57" t="n">
        <f aca="false">BK83-BR83-BS83-BT83-CC83</f>
        <v>0.00220394635973607</v>
      </c>
      <c r="CF83" s="19" t="n">
        <f aca="false">BX83*c_stroke_fatal+BY83*c_stroke_major+BZ83*c_stroke_minor+BS83*c_ich+BT83*c_major_bleed+CC83*c_mi_fatal+CD83*c_mi_nonfatal+BV83*c_tia+BW83*c_minor_bleed</f>
        <v>2.7583476017207</v>
      </c>
      <c r="CG83" s="57" t="n">
        <f aca="false">dt*(CD83*dec_mi+CB83*dec_major_bleed+BW83*dec_minor_bleed+BV83*dec_tia)</f>
        <v>9.89134001700169E-007</v>
      </c>
      <c r="CH83" s="57" t="n">
        <f aca="false">I83*BJ83+BX83+BS83-CA83+BT83-CB83+CC83</f>
        <v>0.000424083896556234</v>
      </c>
      <c r="CI83" s="57" t="n">
        <f aca="false">1-EXP(LN(1-E83)*dt)</f>
        <v>0.066597136787399</v>
      </c>
      <c r="CJ83" s="57" t="n">
        <f aca="false">J83*(1-CI83)</f>
        <v>0.0209240041592124</v>
      </c>
      <c r="CK83" s="57" t="n">
        <f aca="false">(1-EXP(-r_stroke*F83*rr_asa_stroke*dt))</f>
        <v>0.0141565063601664</v>
      </c>
      <c r="CL83" s="57" t="n">
        <f aca="false">(1-EXP(-r_ich*rr_asa_ich*dt))</f>
        <v>0.00102357767802375</v>
      </c>
      <c r="CM83" s="57" t="n">
        <f aca="false">(1-EXP(-r_mb*rr_asa_mb*dt))</f>
        <v>0.00951809672747972</v>
      </c>
      <c r="CN83" s="57" t="n">
        <f aca="false">(1-EXP(-r_mi*rr_asa_mi*dt))</f>
        <v>0.00213413516393479</v>
      </c>
      <c r="CO83" s="57" t="n">
        <f aca="false">(1-EXP(-r_tia*rr_asa_tia*dt))</f>
        <v>0.00312764565589152</v>
      </c>
      <c r="CP83" s="57" t="n">
        <f aca="false">(1-EXP(-r_minor*rr_asa_minor*dt))</f>
        <v>0.0278181950466747</v>
      </c>
      <c r="CQ83" s="57" t="n">
        <f aca="false">CJ83*CK83</f>
        <v>0.000296210797960039</v>
      </c>
      <c r="CR83" s="57" t="n">
        <f aca="false">CJ83*CL83</f>
        <v>2.14173435922458E-005</v>
      </c>
      <c r="CS83" s="57" t="n">
        <f aca="false">CJ83*CM83</f>
        <v>0.000199156695513571</v>
      </c>
      <c r="CT83" s="57" t="n">
        <f aca="false">CJ83*CN83</f>
        <v>4.4654653046493E-005</v>
      </c>
      <c r="CU83" s="57" t="n">
        <f aca="false">CJ83*CO83</f>
        <v>6.54428707124167E-005</v>
      </c>
      <c r="CV83" s="57" t="n">
        <f aca="false">CJ83*CP83</f>
        <v>0.000582068028858403</v>
      </c>
      <c r="CW83" s="57" t="n">
        <f aca="false">CQ83*f_stroke_fatal</f>
        <v>7.02019591165292E-005</v>
      </c>
      <c r="CX83" s="57" t="n">
        <f aca="false">CQ83*(1-f_stroke_fatal)*f_stroke_major</f>
        <v>7.52609433348887E-005</v>
      </c>
      <c r="CY83" s="57" t="n">
        <f aca="false">CQ83*(1-f_stroke_fatal)*(1-f_stroke_major)</f>
        <v>0.000150747895508621</v>
      </c>
      <c r="CZ83" s="57" t="n">
        <f aca="false">CR83*(1-f_bleed_fatal)</f>
        <v>1.96182867304972E-005</v>
      </c>
      <c r="DA83" s="57" t="n">
        <f aca="false">CS83*(1-f_bleed_fatal)</f>
        <v>0.000182427533090431</v>
      </c>
      <c r="DB83" s="57" t="n">
        <f aca="false">CT83*f_mi_fatal</f>
        <v>5.40321301862565E-006</v>
      </c>
      <c r="DC83" s="57" t="n">
        <f aca="false">CT83-DB83</f>
        <v>3.92514400278673E-005</v>
      </c>
      <c r="DD83" s="57" t="n">
        <f aca="false">CJ83-CQ83-CR83-CS83-DB83</f>
        <v>0.0204018161091279</v>
      </c>
      <c r="DE83" s="19" t="n">
        <f aca="false">CW83*c_stroke_fatal+CX83*c_stroke_major+CY83*c_stroke_minor+CR83*c_ich+CS83*c_major_bleed+DB83*c_mi_fatal+DC83*c_mi_nonfatal+CU83*c_tia+CV83*c_minor_bleed</f>
        <v>13.7618771174918</v>
      </c>
      <c r="DF83" s="57" t="n">
        <f aca="false">dt*(DC83*dec_mi+DA83*dec_major_bleed+CV83*dec_minor_bleed+CU83*dec_tia)</f>
        <v>8.99931577658532E-006</v>
      </c>
      <c r="DG83" s="57" t="n">
        <f aca="false">J83*CI83+CW83+CR83-CZ83+CS83-DA83+DB83</f>
        <v>0.00158703514054804</v>
      </c>
      <c r="DH83" s="57" t="n">
        <f aca="false">AG83</f>
        <v>0.0431730290143904</v>
      </c>
      <c r="DI83" s="57" t="n">
        <f aca="false">AB83+AC83+BF83+BA83+BB83+BC83+CY83+CZ83</f>
        <v>0.00455332271439236</v>
      </c>
      <c r="DJ83" s="57" t="n">
        <f aca="false">AA83+AZ83+BY83+CX83+CE83+BZ83+CA83+CB83</f>
        <v>0.00245082048353395</v>
      </c>
      <c r="DK83" s="57" t="n">
        <f aca="false">AD83+DD83+DA83</f>
        <v>0.0208529179816898</v>
      </c>
      <c r="DL83" s="57" t="n">
        <f aca="false">K83+AJ83+BI83+CH83+DG83</f>
        <v>0.928969909805993</v>
      </c>
      <c r="DM83" s="58" t="n">
        <f aca="false">SUM(DH83:DL83)</f>
        <v>0.999999999999999</v>
      </c>
      <c r="DN83" s="19" t="n">
        <f aca="false">dt*(G83*Apixaban!$H$2+(H83+I83+J83)*c_aspirin)</f>
        <v>3.79498824325093</v>
      </c>
      <c r="DO83" s="19" t="n">
        <f aca="false">dt*(H83*c_lt_minor_stroke+I83*c_lt_major_stroke)</f>
        <v>31.1388835824879</v>
      </c>
      <c r="DP83" s="19" t="n">
        <f aca="false">AH83+BG83+CF83+DE83</f>
        <v>37.1331022976633</v>
      </c>
      <c r="DQ83" s="19" t="n">
        <f aca="false">DN83+DO83+DP83</f>
        <v>72.0669741234021</v>
      </c>
      <c r="DR83" s="57" t="n">
        <f aca="false">dt*(G83*(u_af-dec_per_year_over_70*MAX(B83-ref_age,0))+H83*(u_minor_stroke-dec_per_year_over_70*MAX(B83-ref_age,0))+I83*(u_major_stroke-dec_per_year_over_70*MAX(B83-ref_age,0))+J83*(u_af-dec_per_year_over_70*MAX(B83-ref_age,0)))-AI83-BH83-CG83-DF83</f>
        <v>0.0150727363456747</v>
      </c>
      <c r="DS83" s="57" t="n">
        <f aca="false">dt*(G83+H83+I83+J83)</f>
        <v>0.0192656451298171</v>
      </c>
      <c r="DT83" s="19" t="n">
        <f aca="false">DQ83*C83</f>
        <v>54.1084351966377</v>
      </c>
      <c r="DU83" s="19" t="n">
        <f aca="false">DN83*C83</f>
        <v>2.84930618954994</v>
      </c>
      <c r="DV83" s="19" t="n">
        <f aca="false">DP83*C83</f>
        <v>27.8798171251481</v>
      </c>
      <c r="DW83" s="19" t="n">
        <f aca="false">DO83*C83</f>
        <v>23.3793118819396</v>
      </c>
      <c r="DX83" s="57" t="n">
        <f aca="false">DR83*C83</f>
        <v>0.0113167256946218</v>
      </c>
      <c r="DY83" s="57" t="n">
        <f aca="false">DS83*C83</f>
        <v>0.0144647936687773</v>
      </c>
      <c r="DZ83" s="57" t="n">
        <f aca="false">T83+AS83+BR83+CQ83</f>
        <v>0.000803129004105346</v>
      </c>
      <c r="EA83" s="57" t="n">
        <f aca="false">U83+AT83+BS83+CR83</f>
        <v>6.51061209912744E-005</v>
      </c>
      <c r="EB83" s="57" t="n">
        <f aca="false">V83+AU83+BT83+CS83</f>
        <v>0.0005550593558607</v>
      </c>
      <c r="EC83" s="57" t="n">
        <f aca="false">G83*dt*C83</f>
        <v>0.00881077564854739</v>
      </c>
    </row>
    <row r="84" customFormat="false" ht="15" hidden="false" customHeight="false" outlineLevel="0" collapsed="false">
      <c r="A84" s="8" t="n">
        <v>78</v>
      </c>
      <c r="B84" s="54" t="n">
        <f aca="false">start_age+A84*dt</f>
        <v>89.5</v>
      </c>
      <c r="C84" s="16" t="n">
        <f aca="false">(1+disc_rate)^-(A84*dt)</f>
        <v>0.748018219541773</v>
      </c>
      <c r="D84" s="55" t="n">
        <f aca="false">IF(A84*dt&gt;=wane_start,(1-wane_decay)^(A84*dt-wane_start),1)</f>
        <v>1</v>
      </c>
      <c r="E84" s="25" t="n">
        <f aca="false">MIN(p_nonvasc_death*MIN(EXP(gomp_int+gomp_slope*INT(B84)),1)/qx_ref,0.999)</f>
        <v>0.24093928536159</v>
      </c>
      <c r="F84" s="55" t="n">
        <f aca="false">rr_stroke_per_decade^((B84-ref_age)/10)</f>
        <v>2.20484444695326</v>
      </c>
      <c r="G84" s="57" t="n">
        <f aca="false">DH83</f>
        <v>0.0431730290143904</v>
      </c>
      <c r="H84" s="57" t="n">
        <f aca="false">DI83</f>
        <v>0.00455332271439236</v>
      </c>
      <c r="I84" s="57" t="n">
        <f aca="false">DJ83</f>
        <v>0.00245082048353395</v>
      </c>
      <c r="J84" s="57" t="n">
        <f aca="false">DK83</f>
        <v>0.0208529179816898</v>
      </c>
      <c r="K84" s="57" t="n">
        <f aca="false">DL83</f>
        <v>0.928969909805993</v>
      </c>
      <c r="L84" s="57" t="n">
        <f aca="false">1-EXP(LN(1-E84)*dt)</f>
        <v>0.066597136787399</v>
      </c>
      <c r="M84" s="57" t="n">
        <f aca="false">G84*(1-L84)</f>
        <v>0.0402978288955927</v>
      </c>
      <c r="N84" s="57" t="n">
        <f aca="false">IF(Apixaban!$B$2=1,EXP(LN(or_apx_stroke)*D84)*(1-EXP(-r_stroke*F84*dt))/(1-(1-EXP(-r_stroke*F84*dt))+EXP(LN(or_apx_stroke)*D84)*(1-EXP(-r_stroke*F84*dt))),(1-EXP(-r_stroke*F84*dt)))</f>
        <v>0.00700554015092579</v>
      </c>
      <c r="O84" s="57" t="n">
        <f aca="false">IF(Apixaban!$B$2=1,EXP(LN(or_apx_ich)*D84)*(1-EXP(-r_ich*dt))/(1-(1-EXP(-r_ich*dt))+EXP(LN(or_apx_ich)*D84)*(1-EXP(-r_ich*dt))),(1-EXP(-r_ich*dt)))</f>
        <v>0.000843513249640701</v>
      </c>
      <c r="P84" s="57" t="n">
        <f aca="false">IF(Apixaban!$B$2=1,EXP(LN(or_apx_mb)*D84)*(1-EXP(-r_mb*dt))/(1-(1-EXP(-r_mb*dt))+EXP(LN(or_apx_mb)*D84)*(1-EXP(-r_mb*dt))),(1-EXP(-r_mb*dt)))</f>
        <v>0.00669446907979895</v>
      </c>
      <c r="Q84" s="57" t="n">
        <f aca="false">IF(Apixaban!$B$2=1,EXP(LN(or_apx_mi)*D84)*(1-EXP(-r_mi*dt))/(1-(1-EXP(-r_mi*dt))+EXP(LN(or_apx_mi)*D84)*(1-EXP(-r_mi*dt))),(1-EXP(-r_mi*dt)))</f>
        <v>0.00132321915530843</v>
      </c>
      <c r="R84" s="57" t="n">
        <f aca="false">(1-EXP(-r_tia*dt))</f>
        <v>0.0020060281549299</v>
      </c>
      <c r="S84" s="57" t="n">
        <f aca="false">(1-EXP(-r_minor*dt))</f>
        <v>0.0437937690785545</v>
      </c>
      <c r="T84" s="57" t="n">
        <f aca="false">M84*N84</f>
        <v>0.000282308058323212</v>
      </c>
      <c r="U84" s="57" t="n">
        <f aca="false">M84*O84</f>
        <v>3.39917526051863E-005</v>
      </c>
      <c r="V84" s="57" t="n">
        <f aca="false">M84*P84</f>
        <v>0.000269772569524574</v>
      </c>
      <c r="W84" s="57" t="n">
        <f aca="false">M84*Q84</f>
        <v>5.33228591119897E-005</v>
      </c>
      <c r="X84" s="57" t="n">
        <f aca="false">M84*R84</f>
        <v>8.08385793471064E-005</v>
      </c>
      <c r="Y84" s="57" t="n">
        <f aca="false">M84*S84</f>
        <v>0.00176479381302068</v>
      </c>
      <c r="Z84" s="57" t="n">
        <f aca="false">T84*f_stroke_fatal</f>
        <v>6.69070098226012E-005</v>
      </c>
      <c r="AA84" s="57" t="n">
        <f aca="false">T84*(1-f_stroke_fatal)*f_stroke_major</f>
        <v>7.17285491507033E-005</v>
      </c>
      <c r="AB84" s="57" t="n">
        <f aca="false">T84*(1-f_stroke_fatal)*(1-f_stroke_major)</f>
        <v>0.000143672499349907</v>
      </c>
      <c r="AC84" s="57" t="n">
        <f aca="false">U84*(1-f_bleed_fatal)</f>
        <v>3.11364453863506E-005</v>
      </c>
      <c r="AD84" s="57" t="n">
        <f aca="false">V84*(1-f_bleed_fatal)</f>
        <v>0.00024711167368451</v>
      </c>
      <c r="AE84" s="57" t="n">
        <f aca="false">W84*f_mi_fatal</f>
        <v>6.45206595255075E-006</v>
      </c>
      <c r="AF84" s="57" t="n">
        <f aca="false">W84-AE84</f>
        <v>4.6870793159439E-005</v>
      </c>
      <c r="AG84" s="57" t="n">
        <f aca="false">M84-T84-U84-V84-AE84</f>
        <v>0.0397053044491871</v>
      </c>
      <c r="AH84" s="19" t="n">
        <f aca="false">Z84*c_stroke_fatal+AA84*c_stroke_major+AB84*c_stroke_minor+U84*c_ich+V84*c_major_bleed+AE84*c_mi_fatal+AF84*c_mi_nonfatal+X84*c_tia+Y84*c_minor_bleed</f>
        <v>14.3464215763566</v>
      </c>
      <c r="AI84" s="57" t="n">
        <f aca="false">dt*(AF84*dec_mi+AD84*dec_major_bleed+Y84*dec_minor_bleed+X84*dec_tia)</f>
        <v>1.49654540914814E-005</v>
      </c>
      <c r="AJ84" s="57" t="n">
        <f aca="false">G84*L84+Z84+U84-AC84+V84-AD84+AE84</f>
        <v>0.00297407539763175</v>
      </c>
      <c r="AK84" s="57" t="n">
        <f aca="false">1-EXP(LN(1-E84)*hr_death_prior_stroke*dt)</f>
        <v>0.146587507058832</v>
      </c>
      <c r="AL84" s="57" t="n">
        <f aca="false">H84*(1-AK84)</f>
        <v>0.00388586248885523</v>
      </c>
      <c r="AM84" s="57" t="n">
        <f aca="false">(1-EXP(-r_stroke*F84*rr_stroke_prior*rr_asa_stroke*dt))</f>
        <v>0.0311896808841473</v>
      </c>
      <c r="AN84" s="57" t="n">
        <f aca="false">(1-EXP(-r_ich*rr_asa_ich*dt))</f>
        <v>0.00102357767802375</v>
      </c>
      <c r="AO84" s="57" t="n">
        <f aca="false">(1-EXP(-r_mb*rr_asa_mb*dt))</f>
        <v>0.00951809672747972</v>
      </c>
      <c r="AP84" s="57" t="n">
        <f aca="false">(1-EXP(-r_mi*rr_asa_mi*dt))</f>
        <v>0.00213413516393479</v>
      </c>
      <c r="AQ84" s="57" t="n">
        <f aca="false">(1-EXP(-r_tia*rr_asa_tia*dt))</f>
        <v>0.00312764565589152</v>
      </c>
      <c r="AR84" s="57" t="n">
        <f aca="false">(1-EXP(-r_minor*rr_asa_minor*dt))</f>
        <v>0.0278181950466747</v>
      </c>
      <c r="AS84" s="57" t="n">
        <f aca="false">AL84*AM84</f>
        <v>0.000121198810987073</v>
      </c>
      <c r="AT84" s="57" t="n">
        <f aca="false">AL84*AN84</f>
        <v>3.97748210346201E-006</v>
      </c>
      <c r="AU84" s="57" t="n">
        <f aca="false">AL84*AO84</f>
        <v>3.69860150386091E-005</v>
      </c>
      <c r="AV84" s="57" t="n">
        <f aca="false">AL84*AP84</f>
        <v>8.29295577968111E-006</v>
      </c>
      <c r="AW84" s="57" t="n">
        <f aca="false">AL84*AQ84</f>
        <v>1.21536009326599E-005</v>
      </c>
      <c r="AX84" s="57" t="n">
        <f aca="false">AL84*AR84</f>
        <v>0.000108097680639532</v>
      </c>
      <c r="AY84" s="57" t="n">
        <f aca="false">AS84*f_stroke_fatal_recur</f>
        <v>4.509686558018E-005</v>
      </c>
      <c r="AZ84" s="57" t="n">
        <f aca="false">AS84*(1-f_stroke_fatal_recur)*f_stroke_major</f>
        <v>2.53419478204954E-005</v>
      </c>
      <c r="BA84" s="57" t="n">
        <f aca="false">AS84*(1-f_stroke_fatal_recur)*(1-f_stroke_major)</f>
        <v>5.07599975863976E-005</v>
      </c>
      <c r="BB84" s="57" t="n">
        <f aca="false">AT84*(1-f_bleed_fatal)</f>
        <v>3.6433736067712E-006</v>
      </c>
      <c r="BC84" s="57" t="n">
        <f aca="false">AU84*(1-f_bleed_fatal)</f>
        <v>3.3879189775366E-005</v>
      </c>
      <c r="BD84" s="57" t="n">
        <f aca="false">AV84*f_mi_fatal</f>
        <v>1.00344764934141E-006</v>
      </c>
      <c r="BE84" s="57" t="n">
        <f aca="false">AV84-BD84</f>
        <v>7.2895081303397E-006</v>
      </c>
      <c r="BF84" s="57" t="n">
        <f aca="false">AL84-AS84-AT84-AU84-BD84</f>
        <v>0.00372269673307674</v>
      </c>
      <c r="BG84" s="19" t="n">
        <f aca="false">AY84*c_stroke_fatal+AZ84*c_stroke_major+BA84*c_stroke_minor+AT84*c_ich+AU84*c_major_bleed+BD84*c_mi_fatal+BE84*c_mi_nonfatal+AW84*c_tia+AX84*c_minor_bleed</f>
        <v>4.70213267923013</v>
      </c>
      <c r="BH84" s="57" t="n">
        <f aca="false">dt*(BE84*dec_mi+BC84*dec_major_bleed+AX84*dec_minor_bleed+AW84*dec_tia)</f>
        <v>1.671291180001E-006</v>
      </c>
      <c r="BI84" s="57" t="n">
        <f aca="false">H84*AK84+AY84+AT84-BB84+AU84-BC84+BD84</f>
        <v>0.000717001472526587</v>
      </c>
      <c r="BJ84" s="57" t="n">
        <f aca="false">1-EXP(LN(1-E84)*hr_death_prior_stroke*dt)</f>
        <v>0.146587507058832</v>
      </c>
      <c r="BK84" s="57" t="n">
        <f aca="false">I84*(1-BJ84)</f>
        <v>0.00209156081860399</v>
      </c>
      <c r="BL84" s="57" t="n">
        <f aca="false">(1-EXP(-r_stroke*F84*rr_stroke_prior*rr_asa_stroke*dt))</f>
        <v>0.0311896808841473</v>
      </c>
      <c r="BM84" s="57" t="n">
        <f aca="false">(1-EXP(-r_ich*rr_asa_ich*dt))</f>
        <v>0.00102357767802375</v>
      </c>
      <c r="BN84" s="57" t="n">
        <f aca="false">(1-EXP(-r_mb*rr_asa_mb*dt))</f>
        <v>0.00951809672747972</v>
      </c>
      <c r="BO84" s="57" t="n">
        <f aca="false">(1-EXP(-r_mi*rr_asa_mi*dt))</f>
        <v>0.00213413516393479</v>
      </c>
      <c r="BP84" s="57" t="n">
        <f aca="false">(1-EXP(-r_tia*rr_asa_tia*dt))</f>
        <v>0.00312764565589152</v>
      </c>
      <c r="BQ84" s="57" t="n">
        <f aca="false">(1-EXP(-r_minor*rr_asa_minor*dt))</f>
        <v>0.0278181950466747</v>
      </c>
      <c r="BR84" s="57" t="n">
        <f aca="false">BK84*BL84</f>
        <v>6.52351144820443E-005</v>
      </c>
      <c r="BS84" s="57" t="n">
        <f aca="false">BK84*BM84</f>
        <v>2.14087496615211E-006</v>
      </c>
      <c r="BT84" s="57" t="n">
        <f aca="false">BK84*BN84</f>
        <v>1.99076781828794E-005</v>
      </c>
      <c r="BU84" s="57" t="n">
        <f aca="false">BK84*BO84</f>
        <v>4.46367349049101E-006</v>
      </c>
      <c r="BV84" s="57" t="n">
        <f aca="false">BK84*BP84</f>
        <v>6.54166110833967E-006</v>
      </c>
      <c r="BW84" s="57" t="n">
        <f aca="false">BK84*BQ84</f>
        <v>5.81834468039083E-005</v>
      </c>
      <c r="BX84" s="57" t="n">
        <f aca="false">BR84*f_stroke_fatal_recur</f>
        <v>2.42733337476238E-005</v>
      </c>
      <c r="BY84" s="57" t="n">
        <f aca="false">BR84*(1-f_stroke_fatal_recur)*f_stroke_major</f>
        <v>1.3640272984562E-005</v>
      </c>
      <c r="BZ84" s="57" t="n">
        <f aca="false">BR84*(1-f_stroke_fatal_recur)*(1-f_stroke_major)</f>
        <v>2.73215077498584E-005</v>
      </c>
      <c r="CA84" s="57" t="n">
        <f aca="false">BS84*(1-f_bleed_fatal)</f>
        <v>1.96104146899534E-006</v>
      </c>
      <c r="CB84" s="57" t="n">
        <f aca="false">BT84*(1-f_bleed_fatal)</f>
        <v>1.82354332155175E-005</v>
      </c>
      <c r="CC84" s="57" t="n">
        <f aca="false">BU84*f_mi_fatal</f>
        <v>5.40104492349412E-007</v>
      </c>
      <c r="CD84" s="57" t="n">
        <f aca="false">BU84-CC84</f>
        <v>3.92356899814159E-006</v>
      </c>
      <c r="CE84" s="57" t="n">
        <f aca="false">BK84-BR84-BS84-BT84-CC84</f>
        <v>0.00200373704648056</v>
      </c>
      <c r="CF84" s="19" t="n">
        <f aca="false">BX84*c_stroke_fatal+BY84*c_stroke_major+BZ84*c_stroke_minor+BS84*c_ich+BT84*c_major_bleed+CC84*c_mi_fatal+CD84*c_mi_nonfatal+BV84*c_tia+BW84*c_minor_bleed</f>
        <v>2.53091726842152</v>
      </c>
      <c r="CG84" s="57" t="n">
        <f aca="false">dt*(CD84*dec_mi+CB84*dec_major_bleed+BW84*dec_minor_bleed+BV84*dec_tia)</f>
        <v>8.99570470801277E-007</v>
      </c>
      <c r="CH84" s="57" t="n">
        <f aca="false">I84*BJ84+BX84+BS84-CA84+BT84-CB84+CC84</f>
        <v>0.000385925181634456</v>
      </c>
      <c r="CI84" s="57" t="n">
        <f aca="false">1-EXP(LN(1-E84)*dt)</f>
        <v>0.066597136787399</v>
      </c>
      <c r="CJ84" s="57" t="n">
        <f aca="false">J84*(1-CI84)</f>
        <v>0.0194641733504468</v>
      </c>
      <c r="CK84" s="57" t="n">
        <f aca="false">(1-EXP(-r_stroke*F84*rr_asa_stroke*dt))</f>
        <v>0.0142996992160807</v>
      </c>
      <c r="CL84" s="57" t="n">
        <f aca="false">(1-EXP(-r_ich*rr_asa_ich*dt))</f>
        <v>0.00102357767802375</v>
      </c>
      <c r="CM84" s="57" t="n">
        <f aca="false">(1-EXP(-r_mb*rr_asa_mb*dt))</f>
        <v>0.00951809672747972</v>
      </c>
      <c r="CN84" s="57" t="n">
        <f aca="false">(1-EXP(-r_mi*rr_asa_mi*dt))</f>
        <v>0.00213413516393479</v>
      </c>
      <c r="CO84" s="57" t="n">
        <f aca="false">(1-EXP(-r_tia*rr_asa_tia*dt))</f>
        <v>0.00312764565589152</v>
      </c>
      <c r="CP84" s="57" t="n">
        <f aca="false">(1-EXP(-r_minor*rr_asa_minor*dt))</f>
        <v>0.0278181950466747</v>
      </c>
      <c r="CQ84" s="57" t="n">
        <f aca="false">CJ84*CK84</f>
        <v>0.000278331824401041</v>
      </c>
      <c r="CR84" s="57" t="n">
        <f aca="false">CJ84*CL84</f>
        <v>1.9923093362702E-005</v>
      </c>
      <c r="CS84" s="57" t="n">
        <f aca="false">CJ84*CM84</f>
        <v>0.000185261884669985</v>
      </c>
      <c r="CT84" s="57" t="n">
        <f aca="false">CJ84*CN84</f>
        <v>4.15391767841109E-005</v>
      </c>
      <c r="CU84" s="57" t="n">
        <f aca="false">CJ84*CO84</f>
        <v>6.08770372250443E-005</v>
      </c>
      <c r="CV84" s="57" t="n">
        <f aca="false">CJ84*CP84</f>
        <v>0.000541458170685016</v>
      </c>
      <c r="CW84" s="57" t="n">
        <f aca="false">CQ84*f_stroke_fatal</f>
        <v>6.59646423830468E-005</v>
      </c>
      <c r="CX84" s="57" t="n">
        <f aca="false">CQ84*(1-f_stroke_fatal)*f_stroke_major</f>
        <v>7.07182716119922E-005</v>
      </c>
      <c r="CY84" s="57" t="n">
        <f aca="false">CQ84*(1-f_stroke_fatal)*(1-f_stroke_major)</f>
        <v>0.000141648910406002</v>
      </c>
      <c r="CZ84" s="57" t="n">
        <f aca="false">CR84*(1-f_bleed_fatal)</f>
        <v>1.8249553520235E-005</v>
      </c>
      <c r="DA84" s="57" t="n">
        <f aca="false">CS84*(1-f_bleed_fatal)</f>
        <v>0.000169699886357706</v>
      </c>
      <c r="DB84" s="57" t="n">
        <f aca="false">CT84*f_mi_fatal</f>
        <v>5.02624039087742E-006</v>
      </c>
      <c r="DC84" s="57" t="n">
        <f aca="false">CT84-DB84</f>
        <v>3.65129363932335E-005</v>
      </c>
      <c r="DD84" s="57" t="n">
        <f aca="false">CJ84-CQ84-CR84-CS84-DB84</f>
        <v>0.0189756303076222</v>
      </c>
      <c r="DE84" s="19" t="n">
        <f aca="false">CW84*c_stroke_fatal+CX84*c_stroke_major+CY84*c_stroke_minor+CR84*c_ich+CS84*c_major_bleed+DB84*c_mi_fatal+DC84*c_mi_nonfatal+CU84*c_tia+CV84*c_minor_bleed</f>
        <v>12.904713132212</v>
      </c>
      <c r="DF84" s="57" t="n">
        <f aca="false">dt*(DC84*dec_mi+DA84*dec_major_bleed+CV84*dec_minor_bleed+CU84*dec_tia)</f>
        <v>8.37144941178699E-006</v>
      </c>
      <c r="DG84" s="57" t="n">
        <f aca="false">J84*CI84+CW84+CR84-CZ84+CS84-DA84+DB84</f>
        <v>0.00147697105217167</v>
      </c>
      <c r="DH84" s="57" t="n">
        <f aca="false">AG84</f>
        <v>0.0397053044491871</v>
      </c>
      <c r="DI84" s="57" t="n">
        <f aca="false">AB84+AC84+BF84+BA84+BB84+BC84+CY84+CZ84</f>
        <v>0.00414568670270777</v>
      </c>
      <c r="DJ84" s="57" t="n">
        <f aca="false">AA84+AZ84+BY84+CX84+CE84+BZ84+CA84+CB84</f>
        <v>0.00223268407048269</v>
      </c>
      <c r="DK84" s="57" t="n">
        <f aca="false">AD84+DD84+DA84</f>
        <v>0.0193924418676644</v>
      </c>
      <c r="DL84" s="57" t="n">
        <f aca="false">K84+AJ84+BI84+CH84+DG84</f>
        <v>0.934523882909958</v>
      </c>
      <c r="DM84" s="58" t="n">
        <f aca="false">SUM(DH84:DL84)</f>
        <v>1</v>
      </c>
      <c r="DN84" s="19" t="n">
        <f aca="false">dt*(G84*Apixaban!$H$2+(H84+I84+J84)*c_aspirin)</f>
        <v>3.49190427177379</v>
      </c>
      <c r="DO84" s="19" t="n">
        <f aca="false">dt*(H84*c_lt_minor_stroke+I84*c_lt_major_stroke)</f>
        <v>28.3096863776902</v>
      </c>
      <c r="DP84" s="19" t="n">
        <f aca="false">AH84+BG84+CF84+DE84</f>
        <v>34.4841846562202</v>
      </c>
      <c r="DQ84" s="19" t="n">
        <f aca="false">DN84+DO84+DP84</f>
        <v>66.2857753056842</v>
      </c>
      <c r="DR84" s="57" t="n">
        <f aca="false">dt*(G84*(u_af-dec_per_year_over_70*MAX(B84-ref_age,0))+H84*(u_minor_stroke-dec_per_year_over_70*MAX(B84-ref_age,0))+I84*(u_major_stroke-dec_per_year_over_70*MAX(B84-ref_age,0))+J84*(u_af-dec_per_year_over_70*MAX(B84-ref_age,0)))-AI84-BH84-CG84-DF84</f>
        <v>0.0138964614436948</v>
      </c>
      <c r="DS84" s="57" t="n">
        <f aca="false">dt*(G84+H84+I84+J84)</f>
        <v>0.0177575225485016</v>
      </c>
      <c r="DT84" s="19" t="n">
        <f aca="false">DQ84*C84</f>
        <v>49.5829676251039</v>
      </c>
      <c r="DU84" s="19" t="n">
        <f aca="false">DN84*C84</f>
        <v>2.61200801618255</v>
      </c>
      <c r="DV84" s="19" t="n">
        <f aca="false">DP84*C84</f>
        <v>25.7947984088956</v>
      </c>
      <c r="DW84" s="19" t="n">
        <f aca="false">DO84*C84</f>
        <v>21.1761612000258</v>
      </c>
      <c r="DX84" s="57" t="n">
        <f aca="false">DR84*C84</f>
        <v>0.0103948063470435</v>
      </c>
      <c r="DY84" s="57" t="n">
        <f aca="false">DS84*C84</f>
        <v>0.0132829504002031</v>
      </c>
      <c r="DZ84" s="57" t="n">
        <f aca="false">T84+AS84+BR84+CQ84</f>
        <v>0.00074707380819337</v>
      </c>
      <c r="EA84" s="57" t="n">
        <f aca="false">U84+AT84+BS84+CR84</f>
        <v>6.00332030375024E-005</v>
      </c>
      <c r="EB84" s="57" t="n">
        <f aca="false">V84+AU84+BT84+CS84</f>
        <v>0.000511928147416048</v>
      </c>
      <c r="EC84" s="57" t="n">
        <f aca="false">G84*dt*C84</f>
        <v>0.0080735530738924</v>
      </c>
    </row>
    <row r="85" customFormat="false" ht="15" hidden="false" customHeight="false" outlineLevel="0" collapsed="false">
      <c r="A85" s="8" t="n">
        <v>79</v>
      </c>
      <c r="B85" s="54" t="n">
        <f aca="false">start_age+A85*dt</f>
        <v>89.75</v>
      </c>
      <c r="C85" s="16" t="n">
        <f aca="false">(1+disc_rate)^-(A85*dt)</f>
        <v>0.745239156447232</v>
      </c>
      <c r="D85" s="55" t="n">
        <f aca="false">IF(A85*dt&gt;=wane_start,(1-wane_decay)^(A85*dt-wane_start),1)</f>
        <v>1</v>
      </c>
      <c r="E85" s="25" t="n">
        <f aca="false">MIN(p_nonvasc_death*MIN(EXP(gomp_int+gomp_slope*INT(B85)),1)/qx_ref,0.999)</f>
        <v>0.24093928536159</v>
      </c>
      <c r="F85" s="55" t="n">
        <f aca="false">rr_stroke_per_decade^((B85-ref_age)/10)</f>
        <v>2.22730779319896</v>
      </c>
      <c r="G85" s="57" t="n">
        <f aca="false">DH84</f>
        <v>0.0397053044491871</v>
      </c>
      <c r="H85" s="57" t="n">
        <f aca="false">DI84</f>
        <v>0.00414568670270777</v>
      </c>
      <c r="I85" s="57" t="n">
        <f aca="false">DJ84</f>
        <v>0.00223268407048269</v>
      </c>
      <c r="J85" s="57" t="n">
        <f aca="false">DK84</f>
        <v>0.0193924418676644</v>
      </c>
      <c r="K85" s="57" t="n">
        <f aca="false">DL84</f>
        <v>0.934523882909958</v>
      </c>
      <c r="L85" s="57" t="n">
        <f aca="false">1-EXP(LN(1-E85)*dt)</f>
        <v>0.066597136787399</v>
      </c>
      <c r="M85" s="57" t="n">
        <f aca="false">G85*(1-L85)</f>
        <v>0.0370610448575993</v>
      </c>
      <c r="N85" s="57" t="n">
        <f aca="false">IF(Apixaban!$B$2=1,EXP(LN(or_apx_stroke)*D85)*(1-EXP(-r_stroke*F85*dt))/(1-(1-EXP(-r_stroke*F85*dt))+EXP(LN(or_apx_stroke)*D85)*(1-EXP(-r_stroke*F85*dt))),(1-EXP(-r_stroke*F85*dt)))</f>
        <v>0.00707672747061244</v>
      </c>
      <c r="O85" s="57" t="n">
        <f aca="false">IF(Apixaban!$B$2=1,EXP(LN(or_apx_ich)*D85)*(1-EXP(-r_ich*dt))/(1-(1-EXP(-r_ich*dt))+EXP(LN(or_apx_ich)*D85)*(1-EXP(-r_ich*dt))),(1-EXP(-r_ich*dt)))</f>
        <v>0.000843513249640701</v>
      </c>
      <c r="P85" s="57" t="n">
        <f aca="false">IF(Apixaban!$B$2=1,EXP(LN(or_apx_mb)*D85)*(1-EXP(-r_mb*dt))/(1-(1-EXP(-r_mb*dt))+EXP(LN(or_apx_mb)*D85)*(1-EXP(-r_mb*dt))),(1-EXP(-r_mb*dt)))</f>
        <v>0.00669446907979895</v>
      </c>
      <c r="Q85" s="57" t="n">
        <f aca="false">IF(Apixaban!$B$2=1,EXP(LN(or_apx_mi)*D85)*(1-EXP(-r_mi*dt))/(1-(1-EXP(-r_mi*dt))+EXP(LN(or_apx_mi)*D85)*(1-EXP(-r_mi*dt))),(1-EXP(-r_mi*dt)))</f>
        <v>0.00132321915530843</v>
      </c>
      <c r="R85" s="57" t="n">
        <f aca="false">(1-EXP(-r_tia*dt))</f>
        <v>0.0020060281549299</v>
      </c>
      <c r="S85" s="57" t="n">
        <f aca="false">(1-EXP(-r_minor*dt))</f>
        <v>0.0437937690785545</v>
      </c>
      <c r="T85" s="57" t="n">
        <f aca="false">M85*N85</f>
        <v>0.000262270914233373</v>
      </c>
      <c r="U85" s="57" t="n">
        <f aca="false">M85*O85</f>
        <v>3.12614823829134E-005</v>
      </c>
      <c r="V85" s="57" t="n">
        <f aca="false">M85*P85</f>
        <v>0.00024810401886424</v>
      </c>
      <c r="W85" s="57" t="n">
        <f aca="false">M85*Q85</f>
        <v>4.90398844713203E-005</v>
      </c>
      <c r="X85" s="57" t="n">
        <f aca="false">M85*R85</f>
        <v>7.4345499435464E-005</v>
      </c>
      <c r="Y85" s="57" t="n">
        <f aca="false">M85*S85</f>
        <v>0.00162304284030365</v>
      </c>
      <c r="Z85" s="57" t="n">
        <f aca="false">T85*f_stroke_fatal</f>
        <v>6.21582066733093E-005</v>
      </c>
      <c r="AA85" s="57" t="n">
        <f aca="false">T85*(1-f_stroke_fatal)*f_stroke_major</f>
        <v>6.66375316175011E-005</v>
      </c>
      <c r="AB85" s="57" t="n">
        <f aca="false">T85*(1-f_stroke_fatal)*(1-f_stroke_major)</f>
        <v>0.000133475175942562</v>
      </c>
      <c r="AC85" s="57" t="n">
        <f aca="false">U85*(1-f_bleed_fatal)</f>
        <v>2.86355178627486E-005</v>
      </c>
      <c r="AD85" s="57" t="n">
        <f aca="false">V85*(1-f_bleed_fatal)</f>
        <v>0.000227263281279644</v>
      </c>
      <c r="AE85" s="57" t="n">
        <f aca="false">W85*f_mi_fatal</f>
        <v>5.93382602102976E-006</v>
      </c>
      <c r="AF85" s="57" t="n">
        <f aca="false">W85-AE85</f>
        <v>4.31060584502906E-005</v>
      </c>
      <c r="AG85" s="57" t="n">
        <f aca="false">M85-T85-U85-V85-AE85</f>
        <v>0.0365134746160977</v>
      </c>
      <c r="AH85" s="19" t="n">
        <f aca="false">Z85*c_stroke_fatal+AA85*c_stroke_major+AB85*c_stroke_minor+U85*c_ich+V85*c_major_bleed+AE85*c_mi_fatal+AF85*c_mi_nonfatal+X85*c_tia+Y85*c_minor_bleed</f>
        <v>13.2915728370761</v>
      </c>
      <c r="AI85" s="57" t="n">
        <f aca="false">dt*(AF85*dec_mi+AD85*dec_major_bleed+Y85*dec_minor_bleed+X85*dec_tia)</f>
        <v>1.37634056374535E-005</v>
      </c>
      <c r="AJ85" s="57" t="n">
        <f aca="false">G85*L85+Z85+U85-AC85+V85-AD85+AE85</f>
        <v>0.00273581832638694</v>
      </c>
      <c r="AK85" s="57" t="n">
        <f aca="false">1-EXP(LN(1-E85)*hr_death_prior_stroke*dt)</f>
        <v>0.146587507058832</v>
      </c>
      <c r="AL85" s="57" t="n">
        <f aca="false">H85*(1-AK85)</f>
        <v>0.00353798082391089</v>
      </c>
      <c r="AM85" s="57" t="n">
        <f aca="false">(1-EXP(-r_stroke*F85*rr_stroke_prior*rr_asa_stroke*dt))</f>
        <v>0.031502388557262</v>
      </c>
      <c r="AN85" s="57" t="n">
        <f aca="false">(1-EXP(-r_ich*rr_asa_ich*dt))</f>
        <v>0.00102357767802375</v>
      </c>
      <c r="AO85" s="57" t="n">
        <f aca="false">(1-EXP(-r_mb*rr_asa_mb*dt))</f>
        <v>0.00951809672747972</v>
      </c>
      <c r="AP85" s="57" t="n">
        <f aca="false">(1-EXP(-r_mi*rr_asa_mi*dt))</f>
        <v>0.00213413516393479</v>
      </c>
      <c r="AQ85" s="57" t="n">
        <f aca="false">(1-EXP(-r_tia*rr_asa_tia*dt))</f>
        <v>0.00312764565589152</v>
      </c>
      <c r="AR85" s="57" t="n">
        <f aca="false">(1-EXP(-r_minor*rr_asa_minor*dt))</f>
        <v>0.0278181950466747</v>
      </c>
      <c r="AS85" s="57" t="n">
        <f aca="false">AL85*AM85</f>
        <v>0.000111454846622983</v>
      </c>
      <c r="AT85" s="57" t="n">
        <f aca="false">AL85*AN85</f>
        <v>3.62139819663125E-006</v>
      </c>
      <c r="AU85" s="57" t="n">
        <f aca="false">AL85*AO85</f>
        <v>3.36748437019523E-005</v>
      </c>
      <c r="AV85" s="57" t="n">
        <f aca="false">AL85*AP85</f>
        <v>7.55052928563522E-006</v>
      </c>
      <c r="AW85" s="57" t="n">
        <f aca="false">AL85*AQ85</f>
        <v>1.10655503545324E-005</v>
      </c>
      <c r="AX85" s="57" t="n">
        <f aca="false">AL85*AR85</f>
        <v>9.84202406309481E-005</v>
      </c>
      <c r="AY85" s="57" t="n">
        <f aca="false">AS85*f_stroke_fatal_recur</f>
        <v>4.14712338799456E-005</v>
      </c>
      <c r="AZ85" s="57" t="n">
        <f aca="false">AS85*(1-f_stroke_fatal_recur)*f_stroke_major</f>
        <v>2.33045430434313E-005</v>
      </c>
      <c r="BA85" s="57" t="n">
        <f aca="false">AS85*(1-f_stroke_fatal_recur)*(1-f_stroke_major)</f>
        <v>4.66790696996057E-005</v>
      </c>
      <c r="BB85" s="57" t="n">
        <f aca="false">AT85*(1-f_bleed_fatal)</f>
        <v>3.31720074811423E-006</v>
      </c>
      <c r="BC85" s="57" t="n">
        <f aca="false">AU85*(1-f_bleed_fatal)</f>
        <v>3.08461568309883E-005</v>
      </c>
      <c r="BD85" s="57" t="n">
        <f aca="false">AV85*f_mi_fatal</f>
        <v>9.13614043561861E-007</v>
      </c>
      <c r="BE85" s="57" t="n">
        <f aca="false">AV85-BD85</f>
        <v>6.63691524207336E-006</v>
      </c>
      <c r="BF85" s="57" t="n">
        <f aca="false">AL85-AS85-AT85-AU85-BD85</f>
        <v>0.00338831612134576</v>
      </c>
      <c r="BG85" s="19" t="n">
        <f aca="false">AY85*c_stroke_fatal+AZ85*c_stroke_major+BA85*c_stroke_minor+AT85*c_ich+AU85*c_major_bleed+BD85*c_mi_fatal+BE85*c_mi_nonfatal+AW85*c_tia+AX85*c_minor_bleed</f>
        <v>4.31932093890809</v>
      </c>
      <c r="BH85" s="57" t="n">
        <f aca="false">dt*(BE85*dec_mi+BC85*dec_major_bleed+AX85*dec_minor_bleed+AW85*dec_tia)</f>
        <v>1.52166891210731E-006</v>
      </c>
      <c r="BI85" s="57" t="n">
        <f aca="false">H85*AK85+AY85+AT85-BB85+AU85-BC85+BD85</f>
        <v>0.000653223611039872</v>
      </c>
      <c r="BJ85" s="57" t="n">
        <f aca="false">1-EXP(LN(1-E85)*hr_death_prior_stroke*dt)</f>
        <v>0.146587507058832</v>
      </c>
      <c r="BK85" s="57" t="n">
        <f aca="false">I85*(1-BJ85)</f>
        <v>0.00190540047854066</v>
      </c>
      <c r="BL85" s="57" t="n">
        <f aca="false">(1-EXP(-r_stroke*F85*rr_stroke_prior*rr_asa_stroke*dt))</f>
        <v>0.031502388557262</v>
      </c>
      <c r="BM85" s="57" t="n">
        <f aca="false">(1-EXP(-r_ich*rr_asa_ich*dt))</f>
        <v>0.00102357767802375</v>
      </c>
      <c r="BN85" s="57" t="n">
        <f aca="false">(1-EXP(-r_mb*rr_asa_mb*dt))</f>
        <v>0.00951809672747972</v>
      </c>
      <c r="BO85" s="57" t="n">
        <f aca="false">(1-EXP(-r_mi*rr_asa_mi*dt))</f>
        <v>0.00213413516393479</v>
      </c>
      <c r="BP85" s="57" t="n">
        <f aca="false">(1-EXP(-r_tia*rr_asa_tia*dt))</f>
        <v>0.00312764565589152</v>
      </c>
      <c r="BQ85" s="57" t="n">
        <f aca="false">(1-EXP(-r_minor*rr_asa_minor*dt))</f>
        <v>0.0278181950466747</v>
      </c>
      <c r="BR85" s="57" t="n">
        <f aca="false">BK85*BL85</f>
        <v>6.00246662321808E-005</v>
      </c>
      <c r="BS85" s="57" t="n">
        <f aca="false">BK85*BM85</f>
        <v>1.95032539752999E-006</v>
      </c>
      <c r="BT85" s="57" t="n">
        <f aca="false">BK85*BN85</f>
        <v>1.81357860593362E-005</v>
      </c>
      <c r="BU85" s="57" t="n">
        <f aca="false">BK85*BO85</f>
        <v>4.06638216263181E-006</v>
      </c>
      <c r="BV85" s="57" t="n">
        <f aca="false">BK85*BP85</f>
        <v>5.95941752944133E-006</v>
      </c>
      <c r="BW85" s="57" t="n">
        <f aca="false">BK85*BQ85</f>
        <v>5.30048021540715E-005</v>
      </c>
      <c r="BX85" s="57" t="n">
        <f aca="false">BR85*f_stroke_fatal_recur</f>
        <v>2.23345780583322E-005</v>
      </c>
      <c r="BY85" s="57" t="n">
        <f aca="false">BR85*(1-f_stroke_fatal_recur)*f_stroke_major</f>
        <v>1.25507993618916E-005</v>
      </c>
      <c r="BZ85" s="57" t="n">
        <f aca="false">BR85*(1-f_stroke_fatal_recur)*(1-f_stroke_major)</f>
        <v>2.51392888119571E-005</v>
      </c>
      <c r="CA85" s="57" t="n">
        <f aca="false">BS85*(1-f_bleed_fatal)</f>
        <v>1.78649806413747E-006</v>
      </c>
      <c r="CB85" s="57" t="n">
        <f aca="false">BT85*(1-f_bleed_fatal)</f>
        <v>1.66123800303519E-005</v>
      </c>
      <c r="CC85" s="57" t="n">
        <f aca="false">BU85*f_mi_fatal</f>
        <v>4.92032241678449E-007</v>
      </c>
      <c r="CD85" s="57" t="n">
        <f aca="false">BU85-CC85</f>
        <v>3.57434992095336E-006</v>
      </c>
      <c r="CE85" s="57" t="n">
        <f aca="false">BK85-BR85-BS85-BT85-CC85</f>
        <v>0.00182479766860994</v>
      </c>
      <c r="CF85" s="19" t="n">
        <f aca="false">BX85*c_stroke_fatal+BY85*c_stroke_major+BZ85*c_stroke_minor+BS85*c_ich+BT85*c_major_bleed+CC85*c_mi_fatal+CD85*c_mi_nonfatal+BV85*c_tia+BW85*c_minor_bleed</f>
        <v>2.3261958143879</v>
      </c>
      <c r="CG85" s="57" t="n">
        <f aca="false">dt*(CD85*dec_mi+CB85*dec_major_bleed+BW85*dec_minor_bleed+BV85*dec_tia)</f>
        <v>8.19503784111733E-007</v>
      </c>
      <c r="CH85" s="57" t="n">
        <f aca="false">I85*BJ85+BX85+BS85-CA85+BT85-CB85+CC85</f>
        <v>0.00035179743560441</v>
      </c>
      <c r="CI85" s="57" t="n">
        <f aca="false">1-EXP(LN(1-E85)*dt)</f>
        <v>0.066597136787399</v>
      </c>
      <c r="CJ85" s="57" t="n">
        <f aca="false">J85*(1-CI85)</f>
        <v>0.0181009607639618</v>
      </c>
      <c r="CK85" s="57" t="n">
        <f aca="false">(1-EXP(-r_stroke*F85*rr_asa_stroke*dt))</f>
        <v>0.0144443298286564</v>
      </c>
      <c r="CL85" s="57" t="n">
        <f aca="false">(1-EXP(-r_ich*rr_asa_ich*dt))</f>
        <v>0.00102357767802375</v>
      </c>
      <c r="CM85" s="57" t="n">
        <f aca="false">(1-EXP(-r_mb*rr_asa_mb*dt))</f>
        <v>0.00951809672747972</v>
      </c>
      <c r="CN85" s="57" t="n">
        <f aca="false">(1-EXP(-r_mi*rr_asa_mi*dt))</f>
        <v>0.00213413516393479</v>
      </c>
      <c r="CO85" s="57" t="n">
        <f aca="false">(1-EXP(-r_tia*rr_asa_tia*dt))</f>
        <v>0.00312764565589152</v>
      </c>
      <c r="CP85" s="57" t="n">
        <f aca="false">(1-EXP(-r_minor*rr_asa_minor*dt))</f>
        <v>0.0278181950466747</v>
      </c>
      <c r="CQ85" s="57" t="n">
        <f aca="false">CJ85*CK85</f>
        <v>0.000261456247490233</v>
      </c>
      <c r="CR85" s="57" t="n">
        <f aca="false">CJ85*CL85</f>
        <v>1.8527739388775E-005</v>
      </c>
      <c r="CS85" s="57" t="n">
        <f aca="false">CJ85*CM85</f>
        <v>0.000172286695411704</v>
      </c>
      <c r="CT85" s="57" t="n">
        <f aca="false">CJ85*CN85</f>
        <v>3.86298968673749E-005</v>
      </c>
      <c r="CU85" s="57" t="n">
        <f aca="false">CJ85*CO85</f>
        <v>5.66133913008681E-005</v>
      </c>
      <c r="CV85" s="57" t="n">
        <f aca="false">CJ85*CP85</f>
        <v>0.000503536057064097</v>
      </c>
      <c r="CW85" s="57" t="n">
        <f aca="false">CQ85*f_stroke_fatal</f>
        <v>6.19651306551852E-005</v>
      </c>
      <c r="CX85" s="57" t="n">
        <f aca="false">CQ85*(1-f_stroke_fatal)*f_stroke_major</f>
        <v>6.64305419060709E-005</v>
      </c>
      <c r="CY85" s="57" t="n">
        <f aca="false">CQ85*(1-f_stroke_fatal)*(1-f_stroke_major)</f>
        <v>0.000133060574928977</v>
      </c>
      <c r="CZ85" s="57" t="n">
        <f aca="false">CR85*(1-f_bleed_fatal)</f>
        <v>1.69714092801179E-005</v>
      </c>
      <c r="DA85" s="57" t="n">
        <f aca="false">CS85*(1-f_bleed_fatal)</f>
        <v>0.000157814612997121</v>
      </c>
      <c r="DB85" s="57" t="n">
        <f aca="false">CT85*f_mi_fatal</f>
        <v>4.67421752095237E-006</v>
      </c>
      <c r="DC85" s="57" t="n">
        <f aca="false">CT85-DB85</f>
        <v>3.39556793464226E-005</v>
      </c>
      <c r="DD85" s="57" t="n">
        <f aca="false">CJ85-CQ85-CR85-CS85-DB85</f>
        <v>0.0176440158641502</v>
      </c>
      <c r="DE85" s="19" t="n">
        <f aca="false">CW85*c_stroke_fatal+CX85*c_stroke_major+CY85*c_stroke_minor+CR85*c_ich+CS85*c_major_bleed+DB85*c_mi_fatal+DC85*c_mi_nonfatal+CU85*c_tia+CV85*c_minor_bleed</f>
        <v>12.0976327171636</v>
      </c>
      <c r="DF85" s="57" t="n">
        <f aca="false">dt*(DC85*dec_mi+DA85*dec_major_bleed+CV85*dec_minor_bleed+CU85*dec_tia)</f>
        <v>7.78513808996515E-006</v>
      </c>
      <c r="DG85" s="57" t="n">
        <f aca="false">J85*CI85+CW85+CR85-CZ85+CS85-DA85+DB85</f>
        <v>0.0013741488644019</v>
      </c>
      <c r="DH85" s="57" t="n">
        <f aca="false">AG85</f>
        <v>0.0365134746160977</v>
      </c>
      <c r="DI85" s="57" t="n">
        <f aca="false">AB85+AC85+BF85+BA85+BB85+BC85+CY85+CZ85</f>
        <v>0.00378130122663888</v>
      </c>
      <c r="DJ85" s="57" t="n">
        <f aca="false">AA85+AZ85+BY85+CX85+CE85+BZ85+CA85+CB85</f>
        <v>0.00203725925144528</v>
      </c>
      <c r="DK85" s="57" t="n">
        <f aca="false">AD85+DD85+DA85</f>
        <v>0.0180290937584269</v>
      </c>
      <c r="DL85" s="57" t="n">
        <f aca="false">K85+AJ85+BI85+CH85+DG85</f>
        <v>0.939638871147391</v>
      </c>
      <c r="DM85" s="58" t="n">
        <f aca="false">SUM(DH85:DL85)</f>
        <v>1</v>
      </c>
      <c r="DN85" s="19" t="n">
        <f aca="false">dt*(G85*Apixaban!$H$2+(H85+I85+J85)*c_aspirin)</f>
        <v>3.21290554367814</v>
      </c>
      <c r="DO85" s="19" t="n">
        <f aca="false">dt*(H85*c_lt_minor_stroke+I85*c_lt_major_stroke)</f>
        <v>25.7835750981355</v>
      </c>
      <c r="DP85" s="19" t="n">
        <f aca="false">AH85+BG85+CF85+DE85</f>
        <v>32.0347223075357</v>
      </c>
      <c r="DQ85" s="19" t="n">
        <f aca="false">DN85+DO85+DP85</f>
        <v>61.0312029493493</v>
      </c>
      <c r="DR85" s="57" t="n">
        <f aca="false">dt*(G85*(u_af-dec_per_year_over_70*MAX(B85-ref_age,0))+H85*(u_minor_stroke-dec_per_year_over_70*MAX(B85-ref_age,0))+I85*(u_major_stroke-dec_per_year_over_70*MAX(B85-ref_age,0))+J85*(u_af-dec_per_year_over_70*MAX(B85-ref_age,0)))-AI85-BH85-CG85-DF85</f>
        <v>0.0128126142347988</v>
      </c>
      <c r="DS85" s="57" t="n">
        <f aca="false">dt*(G85+H85+I85+J85)</f>
        <v>0.0163690292725105</v>
      </c>
      <c r="DT85" s="19" t="n">
        <f aca="false">DQ85*C85</f>
        <v>45.4828422029329</v>
      </c>
      <c r="DU85" s="19" t="n">
        <f aca="false">DN85*C85</f>
        <v>2.39438301711533</v>
      </c>
      <c r="DV85" s="19" t="n">
        <f aca="false">DP85*C85</f>
        <v>23.8735294294892</v>
      </c>
      <c r="DW85" s="19" t="n">
        <f aca="false">DO85*C85</f>
        <v>19.2149297563283</v>
      </c>
      <c r="DX85" s="57" t="n">
        <f aca="false">DR85*C85</f>
        <v>0.00954846182422528</v>
      </c>
      <c r="DY85" s="57" t="n">
        <f aca="false">DS85*C85</f>
        <v>0.0121988415669058</v>
      </c>
      <c r="DZ85" s="57" t="n">
        <f aca="false">T85+AS85+BR85+CQ85</f>
        <v>0.000695206674578769</v>
      </c>
      <c r="EA85" s="57" t="n">
        <f aca="false">U85+AT85+BS85+CR85</f>
        <v>5.53609453658496E-005</v>
      </c>
      <c r="EB85" s="57" t="n">
        <f aca="false">V85+AU85+BT85+CS85</f>
        <v>0.000472201344037233</v>
      </c>
      <c r="EC85" s="57" t="n">
        <f aca="false">G85*dt*C85</f>
        <v>0.00739748689854819</v>
      </c>
    </row>
    <row r="86" customFormat="false" ht="15" hidden="false" customHeight="false" outlineLevel="0" collapsed="false">
      <c r="A86" s="8" t="n">
        <v>80</v>
      </c>
      <c r="B86" s="54" t="n">
        <f aca="false">start_age+A86*dt</f>
        <v>90</v>
      </c>
      <c r="C86" s="16" t="n">
        <f aca="false">(1+disc_rate)^-(A86*dt)</f>
        <v>0.742470418223773</v>
      </c>
      <c r="D86" s="55" t="n">
        <f aca="false">IF(A86*dt&gt;=wane_start,(1-wane_decay)^(A86*dt-wane_start),1)</f>
        <v>1</v>
      </c>
      <c r="E86" s="25" t="n">
        <f aca="false">MIN(p_nonvasc_death*MIN(EXP(gomp_int+gomp_slope*INT(B86)),1)/qx_ref,0.999)</f>
        <v>0.267515771053732</v>
      </c>
      <c r="F86" s="55" t="n">
        <f aca="false">rr_stroke_per_decade^((B86-ref_age)/10)</f>
        <v>2.25</v>
      </c>
      <c r="G86" s="57" t="n">
        <f aca="false">DH85</f>
        <v>0.0365134746160977</v>
      </c>
      <c r="H86" s="57" t="n">
        <f aca="false">DI85</f>
        <v>0.00378130122663888</v>
      </c>
      <c r="I86" s="57" t="n">
        <f aca="false">DJ85</f>
        <v>0.00203725925144528</v>
      </c>
      <c r="J86" s="57" t="n">
        <f aca="false">DK85</f>
        <v>0.0180290937584269</v>
      </c>
      <c r="K86" s="57" t="n">
        <f aca="false">DL85</f>
        <v>0.939638871147391</v>
      </c>
      <c r="L86" s="57" t="n">
        <f aca="false">1-EXP(LN(1-E86)*dt)</f>
        <v>0.0748768055909398</v>
      </c>
      <c r="M86" s="57" t="n">
        <f aca="false">G86*(1-L86)</f>
        <v>0.0337794622758185</v>
      </c>
      <c r="N86" s="57" t="n">
        <f aca="false">IF(Apixaban!$B$2=1,EXP(LN(or_apx_stroke)*D86)*(1-EXP(-r_stroke*F86*dt))/(1-(1-EXP(-r_stroke*F86*dt))+EXP(LN(or_apx_stroke)*D86)*(1-EXP(-r_stroke*F86*dt))),(1-EXP(-r_stroke*F86*dt)))</f>
        <v>0.00714863624270535</v>
      </c>
      <c r="O86" s="57" t="n">
        <f aca="false">IF(Apixaban!$B$2=1,EXP(LN(or_apx_ich)*D86)*(1-EXP(-r_ich*dt))/(1-(1-EXP(-r_ich*dt))+EXP(LN(or_apx_ich)*D86)*(1-EXP(-r_ich*dt))),(1-EXP(-r_ich*dt)))</f>
        <v>0.000843513249640701</v>
      </c>
      <c r="P86" s="57" t="n">
        <f aca="false">IF(Apixaban!$B$2=1,EXP(LN(or_apx_mb)*D86)*(1-EXP(-r_mb*dt))/(1-(1-EXP(-r_mb*dt))+EXP(LN(or_apx_mb)*D86)*(1-EXP(-r_mb*dt))),(1-EXP(-r_mb*dt)))</f>
        <v>0.00669446907979895</v>
      </c>
      <c r="Q86" s="57" t="n">
        <f aca="false">IF(Apixaban!$B$2=1,EXP(LN(or_apx_mi)*D86)*(1-EXP(-r_mi*dt))/(1-(1-EXP(-r_mi*dt))+EXP(LN(or_apx_mi)*D86)*(1-EXP(-r_mi*dt))),(1-EXP(-r_mi*dt)))</f>
        <v>0.00132321915530843</v>
      </c>
      <c r="R86" s="57" t="n">
        <f aca="false">(1-EXP(-r_tia*dt))</f>
        <v>0.0020060281549299</v>
      </c>
      <c r="S86" s="57" t="n">
        <f aca="false">(1-EXP(-r_minor*dt))</f>
        <v>0.0437937690785545</v>
      </c>
      <c r="T86" s="57" t="n">
        <f aca="false">M86*N86</f>
        <v>0.000241477088284014</v>
      </c>
      <c r="U86" s="57" t="n">
        <f aca="false">M86*O86</f>
        <v>2.84934239953911E-005</v>
      </c>
      <c r="V86" s="57" t="n">
        <f aca="false">M86*P86</f>
        <v>0.000226135565737702</v>
      </c>
      <c r="W86" s="57" t="n">
        <f aca="false">M86*Q86</f>
        <v>4.46976315393815E-005</v>
      </c>
      <c r="X86" s="57" t="n">
        <f aca="false">M86*R86</f>
        <v>6.77625523836841E-005</v>
      </c>
      <c r="Y86" s="57" t="n">
        <f aca="false">M86*S86</f>
        <v>0.00147932997050494</v>
      </c>
      <c r="Z86" s="57" t="n">
        <f aca="false">T86*f_stroke_fatal</f>
        <v>5.72300699233113E-005</v>
      </c>
      <c r="AA86" s="57" t="n">
        <f aca="false">T86*(1-f_stroke_fatal)*f_stroke_major</f>
        <v>6.1354257114114E-005</v>
      </c>
      <c r="AB86" s="57" t="n">
        <f aca="false">T86*(1-f_stroke_fatal)*(1-f_stroke_major)</f>
        <v>0.000122892761246589</v>
      </c>
      <c r="AC86" s="57" t="n">
        <f aca="false">U86*(1-f_bleed_fatal)</f>
        <v>2.60999763797783E-005</v>
      </c>
      <c r="AD86" s="57" t="n">
        <f aca="false">V86*(1-f_bleed_fatal)</f>
        <v>0.000207140178215735</v>
      </c>
      <c r="AE86" s="57" t="n">
        <f aca="false">W86*f_mi_fatal</f>
        <v>5.40841341626516E-006</v>
      </c>
      <c r="AF86" s="57" t="n">
        <f aca="false">W86-AE86</f>
        <v>3.92892181231163E-005</v>
      </c>
      <c r="AG86" s="57" t="n">
        <f aca="false">M86-T86-U86-V86-AE86</f>
        <v>0.0332779477843851</v>
      </c>
      <c r="AH86" s="19" t="n">
        <f aca="false">Z86*c_stroke_fatal+AA86*c_stroke_major+AB86*c_stroke_minor+U86*c_ich+V86*c_major_bleed+AE86*c_mi_fatal+AF86*c_mi_nonfatal+X86*c_tia+Y86*c_minor_bleed</f>
        <v>12.2044133461153</v>
      </c>
      <c r="AI86" s="57" t="n">
        <f aca="false">dt*(AF86*dec_mi+AD86*dec_major_bleed+Y86*dec_minor_bleed+X86*dec_tia)</f>
        <v>1.25447202933302E-005</v>
      </c>
      <c r="AJ86" s="57" t="n">
        <f aca="false">G86*L86+Z86+U86-AC86+V86-AD86+AE86</f>
        <v>0.00281803965875642</v>
      </c>
      <c r="AK86" s="57" t="n">
        <f aca="false">1-EXP(LN(1-E86)*hr_death_prior_stroke*dt)</f>
        <v>0.16389848558531</v>
      </c>
      <c r="AL86" s="57" t="n">
        <f aca="false">H86*(1-AK86)</f>
        <v>0.00316155168205089</v>
      </c>
      <c r="AM86" s="57" t="n">
        <f aca="false">(1-EXP(-r_stroke*F86*rr_stroke_prior*rr_asa_stroke*dt))</f>
        <v>0.0318181796697843</v>
      </c>
      <c r="AN86" s="57" t="n">
        <f aca="false">(1-EXP(-r_ich*rr_asa_ich*dt))</f>
        <v>0.00102357767802375</v>
      </c>
      <c r="AO86" s="57" t="n">
        <f aca="false">(1-EXP(-r_mb*rr_asa_mb*dt))</f>
        <v>0.00951809672747972</v>
      </c>
      <c r="AP86" s="57" t="n">
        <f aca="false">(1-EXP(-r_mi*rr_asa_mi*dt))</f>
        <v>0.00213413516393479</v>
      </c>
      <c r="AQ86" s="57" t="n">
        <f aca="false">(1-EXP(-r_tia*rr_asa_tia*dt))</f>
        <v>0.00312764565589152</v>
      </c>
      <c r="AR86" s="57" t="n">
        <f aca="false">(1-EXP(-r_minor*rr_asa_minor*dt))</f>
        <v>0.0278181950466747</v>
      </c>
      <c r="AS86" s="57" t="n">
        <f aca="false">AL86*AM86</f>
        <v>0.000100594819454804</v>
      </c>
      <c r="AT86" s="57" t="n">
        <f aca="false">AL86*AN86</f>
        <v>3.23609372966572E-006</v>
      </c>
      <c r="AU86" s="57" t="n">
        <f aca="false">AL86*AO86</f>
        <v>3.00919547186866E-005</v>
      </c>
      <c r="AV86" s="57" t="n">
        <f aca="false">AL86*AP86</f>
        <v>6.747178617262E-006</v>
      </c>
      <c r="AW86" s="57" t="n">
        <f aca="false">AL86*AQ86</f>
        <v>9.888213384243E-006</v>
      </c>
      <c r="AX86" s="57" t="n">
        <f aca="false">AL86*AR86</f>
        <v>8.79486613414342E-005</v>
      </c>
      <c r="AY86" s="57" t="n">
        <f aca="false">AS86*f_stroke_fatal_recur</f>
        <v>3.7430326370938E-005</v>
      </c>
      <c r="AZ86" s="57" t="n">
        <f aca="false">AS86*(1-f_stroke_fatal_recur)*f_stroke_major</f>
        <v>2.10337761969274E-005</v>
      </c>
      <c r="BA86" s="57" t="n">
        <f aca="false">AS86*(1-f_stroke_fatal_recur)*(1-f_stroke_major)</f>
        <v>4.21307168869386E-005</v>
      </c>
      <c r="BB86" s="57" t="n">
        <f aca="false">AT86*(1-f_bleed_fatal)</f>
        <v>2.9642618563738E-006</v>
      </c>
      <c r="BC86" s="57" t="n">
        <f aca="false">AU86*(1-f_bleed_fatal)</f>
        <v>2.75642305223169E-005</v>
      </c>
      <c r="BD86" s="57" t="n">
        <f aca="false">AV86*f_mi_fatal</f>
        <v>8.16408612688702E-007</v>
      </c>
      <c r="BE86" s="57" t="n">
        <f aca="false">AV86-BD86</f>
        <v>5.9307700045733E-006</v>
      </c>
      <c r="BF86" s="57" t="n">
        <f aca="false">AL86-AS86-AT86-AU86-BD86</f>
        <v>0.00302681240553505</v>
      </c>
      <c r="BG86" s="19" t="n">
        <f aca="false">AY86*c_stroke_fatal+AZ86*c_stroke_major+BA86*c_stroke_minor+AT86*c_ich+AU86*c_major_bleed+BD86*c_mi_fatal+BE86*c_mi_nonfatal+AW86*c_tia+AX86*c_minor_bleed</f>
        <v>3.89418380546869</v>
      </c>
      <c r="BH86" s="57" t="n">
        <f aca="false">dt*(BE86*dec_mi+BC86*dec_major_bleed+AX86*dec_minor_bleed+AW86*dec_tia)</f>
        <v>1.35976850866012E-006</v>
      </c>
      <c r="BI86" s="57" t="n">
        <f aca="false">H86*AK86+AY86+AT86-BB86+AU86-BC86+BD86</f>
        <v>0.000660795835641274</v>
      </c>
      <c r="BJ86" s="57" t="n">
        <f aca="false">1-EXP(LN(1-E86)*hr_death_prior_stroke*dt)</f>
        <v>0.16389848558531</v>
      </c>
      <c r="BK86" s="57" t="n">
        <f aca="false">I86*(1-BJ86)</f>
        <v>0.00170335554538874</v>
      </c>
      <c r="BL86" s="57" t="n">
        <f aca="false">(1-EXP(-r_stroke*F86*rr_stroke_prior*rr_asa_stroke*dt))</f>
        <v>0.0318181796697843</v>
      </c>
      <c r="BM86" s="57" t="n">
        <f aca="false">(1-EXP(-r_ich*rr_asa_ich*dt))</f>
        <v>0.00102357767802375</v>
      </c>
      <c r="BN86" s="57" t="n">
        <f aca="false">(1-EXP(-r_mb*rr_asa_mb*dt))</f>
        <v>0.00951809672747972</v>
      </c>
      <c r="BO86" s="57" t="n">
        <f aca="false">(1-EXP(-r_mi*rr_asa_mi*dt))</f>
        <v>0.00213413516393479</v>
      </c>
      <c r="BP86" s="57" t="n">
        <f aca="false">(1-EXP(-r_tia*rr_asa_tia*dt))</f>
        <v>0.00312764565589152</v>
      </c>
      <c r="BQ86" s="57" t="n">
        <f aca="false">(1-EXP(-r_minor*rr_asa_minor*dt))</f>
        <v>0.0278181950466747</v>
      </c>
      <c r="BR86" s="57" t="n">
        <f aca="false">BK86*BL86</f>
        <v>5.41976727847022E-005</v>
      </c>
      <c r="BS86" s="57" t="n">
        <f aca="false">BK86*BM86</f>
        <v>1.74351671399787E-006</v>
      </c>
      <c r="BT86" s="57" t="n">
        <f aca="false">BK86*BN86</f>
        <v>1.6212702842299E-005</v>
      </c>
      <c r="BU86" s="57" t="n">
        <f aca="false">BK86*BO86</f>
        <v>3.63519096609743E-006</v>
      </c>
      <c r="BV86" s="57" t="n">
        <f aca="false">BK86*BP86</f>
        <v>5.32749257197381E-006</v>
      </c>
      <c r="BW86" s="57" t="n">
        <f aca="false">BK86*BQ86</f>
        <v>4.73842767954588E-005</v>
      </c>
      <c r="BX86" s="57" t="n">
        <f aca="false">BR86*f_stroke_fatal_recur</f>
        <v>2.01664120664598E-005</v>
      </c>
      <c r="BY86" s="57" t="n">
        <f aca="false">BR86*(1-f_stroke_fatal_recur)*f_stroke_major</f>
        <v>1.13324098191747E-005</v>
      </c>
      <c r="BZ86" s="57" t="n">
        <f aca="false">BR86*(1-f_stroke_fatal_recur)*(1-f_stroke_major)</f>
        <v>2.26988508990677E-005</v>
      </c>
      <c r="CA86" s="57" t="n">
        <f aca="false">BS86*(1-f_bleed_fatal)</f>
        <v>1.59706131002205E-006</v>
      </c>
      <c r="CB86" s="57" t="n">
        <f aca="false">BT86*(1-f_bleed_fatal)</f>
        <v>1.48508358035458E-005</v>
      </c>
      <c r="CC86" s="57" t="n">
        <f aca="false">BU86*f_mi_fatal</f>
        <v>4.39858106897789E-007</v>
      </c>
      <c r="CD86" s="57" t="n">
        <f aca="false">BU86-CC86</f>
        <v>3.19533285919964E-006</v>
      </c>
      <c r="CE86" s="57" t="n">
        <f aca="false">BK86-BR86-BS86-BT86-CC86</f>
        <v>0.00163076179494084</v>
      </c>
      <c r="CF86" s="19" t="n">
        <f aca="false">BX86*c_stroke_fatal+BY86*c_stroke_major+BZ86*c_stroke_minor+BS86*c_ich+BT86*c_major_bleed+CC86*c_mi_fatal+CD86*c_mi_nonfatal+BV86*c_tia+BW86*c_minor_bleed</f>
        <v>2.0980772250116</v>
      </c>
      <c r="CG86" s="57" t="n">
        <f aca="false">dt*(CD86*dec_mi+CB86*dec_major_bleed+BW86*dec_minor_bleed+BV86*dec_tia)</f>
        <v>7.3260520864511E-007</v>
      </c>
      <c r="CH86" s="57" t="n">
        <f aca="false">I86*BJ86+BX86+BS86-CA86+BT86-CB86+CC86</f>
        <v>0.000356018298672629</v>
      </c>
      <c r="CI86" s="57" t="n">
        <f aca="false">1-EXP(LN(1-E86)*dt)</f>
        <v>0.0748768055909398</v>
      </c>
      <c r="CJ86" s="57" t="n">
        <f aca="false">J86*(1-CI86)</f>
        <v>0.0166791328100964</v>
      </c>
      <c r="CK86" s="57" t="n">
        <f aca="false">(1-EXP(-r_stroke*F86*rr_asa_stroke*dt))</f>
        <v>0.0145904124166851</v>
      </c>
      <c r="CL86" s="57" t="n">
        <f aca="false">(1-EXP(-r_ich*rr_asa_ich*dt))</f>
        <v>0.00102357767802375</v>
      </c>
      <c r="CM86" s="57" t="n">
        <f aca="false">(1-EXP(-r_mb*rr_asa_mb*dt))</f>
        <v>0.00951809672747972</v>
      </c>
      <c r="CN86" s="57" t="n">
        <f aca="false">(1-EXP(-r_mi*rr_asa_mi*dt))</f>
        <v>0.00213413516393479</v>
      </c>
      <c r="CO86" s="57" t="n">
        <f aca="false">(1-EXP(-r_tia*rr_asa_tia*dt))</f>
        <v>0.00312764565589152</v>
      </c>
      <c r="CP86" s="57" t="n">
        <f aca="false">(1-EXP(-r_minor*rr_asa_minor*dt))</f>
        <v>0.0278181950466747</v>
      </c>
      <c r="CQ86" s="57" t="n">
        <f aca="false">CJ86*CK86</f>
        <v>0.00024335542645197</v>
      </c>
      <c r="CR86" s="57" t="n">
        <f aca="false">CJ86*CL86</f>
        <v>1.70723880332081E-005</v>
      </c>
      <c r="CS86" s="57" t="n">
        <f aca="false">CJ86*CM86</f>
        <v>0.000158753599416978</v>
      </c>
      <c r="CT86" s="57" t="n">
        <f aca="false">CJ86*CN86</f>
        <v>3.55955238339652E-005</v>
      </c>
      <c r="CU86" s="57" t="n">
        <f aca="false">CJ86*CO86</f>
        <v>5.21664172775356E-005</v>
      </c>
      <c r="CV86" s="57" t="n">
        <f aca="false">CJ86*CP86</f>
        <v>0.000463983369720653</v>
      </c>
      <c r="CW86" s="57" t="n">
        <f aca="false">CQ86*f_stroke_fatal</f>
        <v>5.7675236069117E-005</v>
      </c>
      <c r="CX86" s="57" t="n">
        <f aca="false">CQ86*(1-f_stroke_fatal)*f_stroke_major</f>
        <v>6.18315033974902E-005</v>
      </c>
      <c r="CY86" s="57" t="n">
        <f aca="false">CQ86*(1-f_stroke_fatal)*(1-f_stroke_major)</f>
        <v>0.000123848686985363</v>
      </c>
      <c r="CZ86" s="57" t="n">
        <f aca="false">CR86*(1-f_bleed_fatal)</f>
        <v>1.56383074384186E-005</v>
      </c>
      <c r="DA86" s="57" t="n">
        <f aca="false">CS86*(1-f_bleed_fatal)</f>
        <v>0.000145418297065952</v>
      </c>
      <c r="DB86" s="57" t="n">
        <f aca="false">CT86*f_mi_fatal</f>
        <v>4.30705838390979E-006</v>
      </c>
      <c r="DC86" s="57" t="n">
        <f aca="false">CT86-DB86</f>
        <v>3.12884654500554E-005</v>
      </c>
      <c r="DD86" s="57" t="n">
        <f aca="false">CJ86-CQ86-CR86-CS86-DB86</f>
        <v>0.0162556443378103</v>
      </c>
      <c r="DE86" s="19" t="n">
        <f aca="false">CW86*c_stroke_fatal+CX86*c_stroke_major+CY86*c_stroke_minor+CR86*c_ich+CS86*c_major_bleed+DB86*c_mi_fatal+DC86*c_mi_nonfatal+CU86*c_tia+CV86*c_minor_bleed</f>
        <v>11.237389391274</v>
      </c>
      <c r="DF86" s="57" t="n">
        <f aca="false">dt*(DC86*dec_mi+DA86*dec_major_bleed+CV86*dec_minor_bleed+CU86*dec_tia)</f>
        <v>7.17361657431979E-006</v>
      </c>
      <c r="DG86" s="57" t="n">
        <f aca="false">J86*CI86+CW86+CR86-CZ86+CS86-DA86+DB86</f>
        <v>0.0014267126257294</v>
      </c>
      <c r="DH86" s="57" t="n">
        <f aca="false">AG86</f>
        <v>0.0332779477843851</v>
      </c>
      <c r="DI86" s="57" t="n">
        <f aca="false">AB86+AC86+BF86+BA86+BB86+BC86+CY86+CZ86</f>
        <v>0.00338795134685082</v>
      </c>
      <c r="DJ86" s="57" t="n">
        <f aca="false">AA86+AZ86+BY86+CX86+CE86+BZ86+CA86+CB86</f>
        <v>0.00182546048948118</v>
      </c>
      <c r="DK86" s="57" t="n">
        <f aca="false">AD86+DD86+DA86</f>
        <v>0.016608202813092</v>
      </c>
      <c r="DL86" s="57" t="n">
        <f aca="false">K86+AJ86+BI86+CH86+DG86</f>
        <v>0.94490043756619</v>
      </c>
      <c r="DM86" s="58" t="n">
        <f aca="false">SUM(DH86:DL86)</f>
        <v>0.999999999999999</v>
      </c>
      <c r="DN86" s="19" t="n">
        <f aca="false">dt*(G86*Apixaban!$H$2+(H86+I86+J86)*c_aspirin)</f>
        <v>2.95607592178911</v>
      </c>
      <c r="DO86" s="19" t="n">
        <f aca="false">dt*(H86*c_lt_minor_stroke+I86*c_lt_major_stroke)</f>
        <v>23.5226603816759</v>
      </c>
      <c r="DP86" s="19" t="n">
        <f aca="false">AH86+BG86+CF86+DE86</f>
        <v>29.4340637678695</v>
      </c>
      <c r="DQ86" s="19" t="n">
        <f aca="false">DN86+DO86+DP86</f>
        <v>55.9128000713346</v>
      </c>
      <c r="DR86" s="57" t="n">
        <f aca="false">dt*(G86*(u_af-dec_per_year_over_70*MAX(B86-ref_age,0))+H86*(u_minor_stroke-dec_per_year_over_70*MAX(B86-ref_age,0))+I86*(u_major_stroke-dec_per_year_over_70*MAX(B86-ref_age,0))+J86*(u_af-dec_per_year_over_70*MAX(B86-ref_age,0)))-AI86-BH86-CG86-DF86</f>
        <v>0.0118139278351725</v>
      </c>
      <c r="DS86" s="57" t="n">
        <f aca="false">dt*(G86+H86+I86+J86)</f>
        <v>0.0150902822131522</v>
      </c>
      <c r="DT86" s="19" t="n">
        <f aca="false">DQ86*C86</f>
        <v>41.513600053026</v>
      </c>
      <c r="DU86" s="19" t="n">
        <f aca="false">DN86*C86</f>
        <v>2.19479892595199</v>
      </c>
      <c r="DV86" s="19" t="n">
        <f aca="false">DP86*C86</f>
        <v>21.8539216357553</v>
      </c>
      <c r="DW86" s="19" t="n">
        <f aca="false">DO86*C86</f>
        <v>17.4648794913187</v>
      </c>
      <c r="DX86" s="57" t="n">
        <f aca="false">DR86*C86</f>
        <v>0.00877149194064597</v>
      </c>
      <c r="DY86" s="57" t="n">
        <f aca="false">DS86*C86</f>
        <v>0.0112040881459139</v>
      </c>
      <c r="DZ86" s="57" t="n">
        <f aca="false">T86+AS86+BR86+CQ86</f>
        <v>0.000639625006975491</v>
      </c>
      <c r="EA86" s="57" t="n">
        <f aca="false">U86+AT86+BS86+CR86</f>
        <v>5.05454224722628E-005</v>
      </c>
      <c r="EB86" s="57" t="n">
        <f aca="false">V86+AU86+BT86+CS86</f>
        <v>0.000431193822715665</v>
      </c>
      <c r="EC86" s="57" t="n">
        <f aca="false">G86*dt*C86</f>
        <v>0.0067775436922543</v>
      </c>
    </row>
    <row r="87" customFormat="false" ht="15" hidden="false" customHeight="false" outlineLevel="0" collapsed="false">
      <c r="A87" s="8" t="n">
        <v>81</v>
      </c>
      <c r="B87" s="54" t="n">
        <f aca="false">start_age+A87*dt</f>
        <v>90.25</v>
      </c>
      <c r="C87" s="16" t="n">
        <f aca="false">(1+disc_rate)^-(A87*dt)</f>
        <v>0.739711966512077</v>
      </c>
      <c r="D87" s="55" t="n">
        <f aca="false">IF(A87*dt&gt;=wane_start,(1-wane_decay)^(A87*dt-wane_start),1)</f>
        <v>1</v>
      </c>
      <c r="E87" s="25" t="n">
        <f aca="false">MIN(p_nonvasc_death*MIN(EXP(gomp_int+gomp_slope*INT(B87)),1)/qx_ref,0.999)</f>
        <v>0.267515771053732</v>
      </c>
      <c r="F87" s="55" t="n">
        <f aca="false">rr_stroke_per_decade^((B87-ref_age)/10)</f>
        <v>2.2729233990283</v>
      </c>
      <c r="G87" s="57" t="n">
        <f aca="false">DH86</f>
        <v>0.0332779477843851</v>
      </c>
      <c r="H87" s="57" t="n">
        <f aca="false">DI86</f>
        <v>0.00338795134685082</v>
      </c>
      <c r="I87" s="57" t="n">
        <f aca="false">DJ86</f>
        <v>0.00182546048948118</v>
      </c>
      <c r="J87" s="57" t="n">
        <f aca="false">DK86</f>
        <v>0.016608202813092</v>
      </c>
      <c r="K87" s="57" t="n">
        <f aca="false">DL86</f>
        <v>0.94490043756619</v>
      </c>
      <c r="L87" s="57" t="n">
        <f aca="false">1-EXP(LN(1-E87)*dt)</f>
        <v>0.0748768055909398</v>
      </c>
      <c r="M87" s="57" t="n">
        <f aca="false">G87*(1-L87)</f>
        <v>0.0307862013576683</v>
      </c>
      <c r="N87" s="57" t="n">
        <f aca="false">IF(Apixaban!$B$2=1,EXP(LN(or_apx_stroke)*D87)*(1-EXP(-r_stroke*F87*dt))/(1-(1-EXP(-r_stroke*F87*dt))+EXP(LN(or_apx_stroke)*D87)*(1-EXP(-r_stroke*F87*dt))),(1-EXP(-r_stroke*F87*dt)))</f>
        <v>0.00722127373933039</v>
      </c>
      <c r="O87" s="57" t="n">
        <f aca="false">IF(Apixaban!$B$2=1,EXP(LN(or_apx_ich)*D87)*(1-EXP(-r_ich*dt))/(1-(1-EXP(-r_ich*dt))+EXP(LN(or_apx_ich)*D87)*(1-EXP(-r_ich*dt))),(1-EXP(-r_ich*dt)))</f>
        <v>0.000843513249640701</v>
      </c>
      <c r="P87" s="57" t="n">
        <f aca="false">IF(Apixaban!$B$2=1,EXP(LN(or_apx_mb)*D87)*(1-EXP(-r_mb*dt))/(1-(1-EXP(-r_mb*dt))+EXP(LN(or_apx_mb)*D87)*(1-EXP(-r_mb*dt))),(1-EXP(-r_mb*dt)))</f>
        <v>0.00669446907979895</v>
      </c>
      <c r="Q87" s="57" t="n">
        <f aca="false">IF(Apixaban!$B$2=1,EXP(LN(or_apx_mi)*D87)*(1-EXP(-r_mi*dt))/(1-(1-EXP(-r_mi*dt))+EXP(LN(or_apx_mi)*D87)*(1-EXP(-r_mi*dt))),(1-EXP(-r_mi*dt)))</f>
        <v>0.00132321915530843</v>
      </c>
      <c r="R87" s="57" t="n">
        <f aca="false">(1-EXP(-r_tia*dt))</f>
        <v>0.0020060281549299</v>
      </c>
      <c r="S87" s="57" t="n">
        <f aca="false">(1-EXP(-r_minor*dt))</f>
        <v>0.0437937690785545</v>
      </c>
      <c r="T87" s="57" t="n">
        <f aca="false">M87*N87</f>
        <v>0.000222315587397867</v>
      </c>
      <c r="U87" s="57" t="n">
        <f aca="false">M87*O87</f>
        <v>2.59685687512997E-005</v>
      </c>
      <c r="V87" s="57" t="n">
        <f aca="false">M87*P87</f>
        <v>0.000206097273073375</v>
      </c>
      <c r="W87" s="57" t="n">
        <f aca="false">M87*Q87</f>
        <v>4.0736891355649E-005</v>
      </c>
      <c r="X87" s="57" t="n">
        <f aca="false">M87*R87</f>
        <v>6.17579867068235E-005</v>
      </c>
      <c r="Y87" s="57" t="n">
        <f aca="false">M87*S87</f>
        <v>0.0013482437930636</v>
      </c>
      <c r="Z87" s="57" t="n">
        <f aca="false">T87*f_stroke_fatal</f>
        <v>5.26887942132945E-005</v>
      </c>
      <c r="AA87" s="57" t="n">
        <f aca="false">T87*(1-f_stroke_fatal)*f_stroke_major</f>
        <v>5.64857221304627E-005</v>
      </c>
      <c r="AB87" s="57" t="n">
        <f aca="false">T87*(1-f_stroke_fatal)*(1-f_stroke_major)</f>
        <v>0.00011314107105411</v>
      </c>
      <c r="AC87" s="57" t="n">
        <f aca="false">U87*(1-f_bleed_fatal)</f>
        <v>2.37872089761905E-005</v>
      </c>
      <c r="AD87" s="57" t="n">
        <f aca="false">V87*(1-f_bleed_fatal)</f>
        <v>0.000188785102135211</v>
      </c>
      <c r="AE87" s="57" t="n">
        <f aca="false">W87*f_mi_fatal</f>
        <v>4.92916385403353E-006</v>
      </c>
      <c r="AF87" s="57" t="n">
        <f aca="false">W87-AE87</f>
        <v>3.58077275016155E-005</v>
      </c>
      <c r="AG87" s="57" t="n">
        <f aca="false">M87-T87-U87-V87-AE87</f>
        <v>0.0303268907645917</v>
      </c>
      <c r="AH87" s="19" t="n">
        <f aca="false">Z87*c_stroke_fatal+AA87*c_stroke_major+AB87*c_stroke_minor+U87*c_ich+V87*c_major_bleed+AE87*c_mi_fatal+AF87*c_mi_nonfatal+X87*c_tia+Y87*c_minor_bleed</f>
        <v>11.2055810988659</v>
      </c>
      <c r="AI87" s="57" t="n">
        <f aca="false">dt*(AF87*dec_mi+AD87*dec_major_bleed+Y87*dec_minor_bleed+X87*dec_tia)</f>
        <v>1.14331093186928E-005</v>
      </c>
      <c r="AJ87" s="57" t="n">
        <f aca="false">G87*L87+Z87+U87-AC87+V87-AD87+AE87</f>
        <v>0.00256885791549745</v>
      </c>
      <c r="AK87" s="57" t="n">
        <f aca="false">1-EXP(LN(1-E87)*hr_death_prior_stroke*dt)</f>
        <v>0.16389848558531</v>
      </c>
      <c r="AL87" s="57" t="n">
        <f aca="false">H87*(1-AK87)</f>
        <v>0.00283267125186527</v>
      </c>
      <c r="AM87" s="57" t="n">
        <f aca="false">(1-EXP(-r_stroke*F87*rr_stroke_prior*rr_asa_stroke*dt))</f>
        <v>0.0321370835715993</v>
      </c>
      <c r="AN87" s="57" t="n">
        <f aca="false">(1-EXP(-r_ich*rr_asa_ich*dt))</f>
        <v>0.00102357767802375</v>
      </c>
      <c r="AO87" s="57" t="n">
        <f aca="false">(1-EXP(-r_mb*rr_asa_mb*dt))</f>
        <v>0.00951809672747972</v>
      </c>
      <c r="AP87" s="57" t="n">
        <f aca="false">(1-EXP(-r_mi*rr_asa_mi*dt))</f>
        <v>0.00213413516393479</v>
      </c>
      <c r="AQ87" s="57" t="n">
        <f aca="false">(1-EXP(-r_tia*rr_asa_tia*dt))</f>
        <v>0.00312764565589152</v>
      </c>
      <c r="AR87" s="57" t="n">
        <f aca="false">(1-EXP(-r_minor*rr_asa_minor*dt))</f>
        <v>0.0278181950466747</v>
      </c>
      <c r="AS87" s="57" t="n">
        <f aca="false">AL87*AM87</f>
        <v>9.10337927520608E-005</v>
      </c>
      <c r="AT87" s="57" t="n">
        <f aca="false">AL87*AN87</f>
        <v>2.89945906258887E-006</v>
      </c>
      <c r="AU87" s="57" t="n">
        <f aca="false">AL87*AO87</f>
        <v>2.69616389724047E-005</v>
      </c>
      <c r="AV87" s="57" t="n">
        <f aca="false">AL87*AP87</f>
        <v>6.04530332647285E-006</v>
      </c>
      <c r="AW87" s="57" t="n">
        <f aca="false">AL87*AQ87</f>
        <v>8.85959193546519E-006</v>
      </c>
      <c r="AX87" s="57" t="n">
        <f aca="false">AL87*AR87</f>
        <v>7.87998013874962E-005</v>
      </c>
      <c r="AY87" s="57" t="n">
        <f aca="false">AS87*f_stroke_fatal_recur</f>
        <v>3.38727639451143E-005</v>
      </c>
      <c r="AZ87" s="57" t="n">
        <f aca="false">AS87*(1-f_stroke_fatal_recur)*f_stroke_major</f>
        <v>1.90346225927132E-005</v>
      </c>
      <c r="BA87" s="57" t="n">
        <f aca="false">AS87*(1-f_stroke_fatal_recur)*(1-f_stroke_major)</f>
        <v>3.81264062142333E-005</v>
      </c>
      <c r="BB87" s="57" t="n">
        <f aca="false">AT87*(1-f_bleed_fatal)</f>
        <v>2.6559045013314E-006</v>
      </c>
      <c r="BC87" s="57" t="n">
        <f aca="false">AU87*(1-f_bleed_fatal)</f>
        <v>2.46968612987227E-005</v>
      </c>
      <c r="BD87" s="57" t="n">
        <f aca="false">AV87*f_mi_fatal</f>
        <v>7.31481702503215E-007</v>
      </c>
      <c r="BE87" s="57" t="n">
        <f aca="false">AV87-BD87</f>
        <v>5.31382162396963E-006</v>
      </c>
      <c r="BF87" s="57" t="n">
        <f aca="false">AL87-AS87-AT87-AU87-BD87</f>
        <v>0.00271104487937571</v>
      </c>
      <c r="BG87" s="19" t="n">
        <f aca="false">AY87*c_stroke_fatal+AZ87*c_stroke_major+BA87*c_stroke_minor+AT87*c_ich+AU87*c_major_bleed+BD87*c_mi_fatal+BE87*c_mi_nonfatal+AW87*c_tia+AX87*c_minor_bleed</f>
        <v>3.5202383295391</v>
      </c>
      <c r="BH87" s="57" t="n">
        <f aca="false">dt*(BE87*dec_mi+BC87*dec_major_bleed+AX87*dec_minor_bleed+AW87*dec_tia)</f>
        <v>1.21831858246726E-006</v>
      </c>
      <c r="BI87" s="57" t="n">
        <f aca="false">H87*AK87+AY87+AT87-BB87+AU87-BC87+BD87</f>
        <v>0.000592392672868117</v>
      </c>
      <c r="BJ87" s="57" t="n">
        <f aca="false">1-EXP(LN(1-E87)*hr_death_prior_stroke*dt)</f>
        <v>0.16389848558531</v>
      </c>
      <c r="BK87" s="57" t="n">
        <f aca="false">I87*(1-BJ87)</f>
        <v>0.0015262702797594</v>
      </c>
      <c r="BL87" s="57" t="n">
        <f aca="false">(1-EXP(-r_stroke*F87*rr_stroke_prior*rr_asa_stroke*dt))</f>
        <v>0.0321370835715993</v>
      </c>
      <c r="BM87" s="57" t="n">
        <f aca="false">(1-EXP(-r_ich*rr_asa_ich*dt))</f>
        <v>0.00102357767802375</v>
      </c>
      <c r="BN87" s="57" t="n">
        <f aca="false">(1-EXP(-r_mb*rr_asa_mb*dt))</f>
        <v>0.00951809672747972</v>
      </c>
      <c r="BO87" s="57" t="n">
        <f aca="false">(1-EXP(-r_mi*rr_asa_mi*dt))</f>
        <v>0.00213413516393479</v>
      </c>
      <c r="BP87" s="57" t="n">
        <f aca="false">(1-EXP(-r_tia*rr_asa_tia*dt))</f>
        <v>0.00312764565589152</v>
      </c>
      <c r="BQ87" s="57" t="n">
        <f aca="false">(1-EXP(-r_minor*rr_asa_minor*dt))</f>
        <v>0.0278181950466747</v>
      </c>
      <c r="BR87" s="57" t="n">
        <f aca="false">BK87*BL87</f>
        <v>4.9049875533476E-005</v>
      </c>
      <c r="BS87" s="57" t="n">
        <f aca="false">BK87*BM87</f>
        <v>1.56225618899278E-006</v>
      </c>
      <c r="BT87" s="57" t="n">
        <f aca="false">BK87*BN87</f>
        <v>1.45271881550275E-005</v>
      </c>
      <c r="BU87" s="57" t="n">
        <f aca="false">BK87*BO87</f>
        <v>3.25726707370312E-006</v>
      </c>
      <c r="BV87" s="57" t="n">
        <f aca="false">BK87*BP87</f>
        <v>4.77363261020582E-006</v>
      </c>
      <c r="BW87" s="57" t="n">
        <f aca="false">BK87*BQ87</f>
        <v>4.24580843362897E-005</v>
      </c>
      <c r="BX87" s="57" t="n">
        <f aca="false">BR87*f_stroke_fatal_recur</f>
        <v>1.82509681872511E-005</v>
      </c>
      <c r="BY87" s="57" t="n">
        <f aca="false">BR87*(1-f_stroke_fatal_recur)*f_stroke_major</f>
        <v>1.02560361462929E-005</v>
      </c>
      <c r="BZ87" s="57" t="n">
        <f aca="false">BR87*(1-f_stroke_fatal_recur)*(1-f_stroke_major)</f>
        <v>2.0542871199932E-005</v>
      </c>
      <c r="CA87" s="57" t="n">
        <f aca="false">BS87*(1-f_bleed_fatal)</f>
        <v>1.43102666911738E-006</v>
      </c>
      <c r="CB87" s="57" t="n">
        <f aca="false">BT87*(1-f_bleed_fatal)</f>
        <v>1.33069043500052E-005</v>
      </c>
      <c r="CC87" s="57" t="n">
        <f aca="false">BU87*f_mi_fatal</f>
        <v>3.94129315918078E-007</v>
      </c>
      <c r="CD87" s="57" t="n">
        <f aca="false">BU87-CC87</f>
        <v>2.86313775778504E-006</v>
      </c>
      <c r="CE87" s="57" t="n">
        <f aca="false">BK87-BR87-BS87-BT87-CC87</f>
        <v>0.00146073683056598</v>
      </c>
      <c r="CF87" s="19" t="n">
        <f aca="false">BX87*c_stroke_fatal+BY87*c_stroke_major+BZ87*c_stroke_minor+BS87*c_ich+BT87*c_major_bleed+CC87*c_mi_fatal+CD87*c_mi_nonfatal+BV87*c_tia+BW87*c_minor_bleed</f>
        <v>1.89673797709758</v>
      </c>
      <c r="CG87" s="57" t="n">
        <f aca="false">dt*(CD87*dec_mi+CB87*dec_major_bleed+BW87*dec_minor_bleed+BV87*dec_tia)</f>
        <v>6.56441668786643E-007</v>
      </c>
      <c r="CH87" s="57" t="n">
        <f aca="false">I87*BJ87+BX87+BS87-CA87+BT87-CB87+CC87</f>
        <v>0.00031918682054985</v>
      </c>
      <c r="CI87" s="57" t="n">
        <f aca="false">1-EXP(LN(1-E87)*dt)</f>
        <v>0.0748768055909398</v>
      </c>
      <c r="CJ87" s="57" t="n">
        <f aca="false">J87*(1-CI87)</f>
        <v>0.0153646336398412</v>
      </c>
      <c r="CK87" s="57" t="n">
        <f aca="false">(1-EXP(-r_stroke*F87*rr_asa_stroke*dt))</f>
        <v>0.0147379613351261</v>
      </c>
      <c r="CL87" s="57" t="n">
        <f aca="false">(1-EXP(-r_ich*rr_asa_ich*dt))</f>
        <v>0.00102357767802375</v>
      </c>
      <c r="CM87" s="57" t="n">
        <f aca="false">(1-EXP(-r_mb*rr_asa_mb*dt))</f>
        <v>0.00951809672747972</v>
      </c>
      <c r="CN87" s="57" t="n">
        <f aca="false">(1-EXP(-r_mi*rr_asa_mi*dt))</f>
        <v>0.00213413516393479</v>
      </c>
      <c r="CO87" s="57" t="n">
        <f aca="false">(1-EXP(-r_tia*rr_asa_tia*dt))</f>
        <v>0.00312764565589152</v>
      </c>
      <c r="CP87" s="57" t="n">
        <f aca="false">(1-EXP(-r_minor*rr_asa_minor*dt))</f>
        <v>0.0278181950466747</v>
      </c>
      <c r="CQ87" s="57" t="n">
        <f aca="false">CJ87*CK87</f>
        <v>0.000226443376512357</v>
      </c>
      <c r="CR87" s="57" t="n">
        <f aca="false">CJ87*CL87</f>
        <v>1.57268960247542E-005</v>
      </c>
      <c r="CS87" s="57" t="n">
        <f aca="false">CJ87*CM87</f>
        <v>0.000146242069166297</v>
      </c>
      <c r="CT87" s="57" t="n">
        <f aca="false">CJ87*CN87</f>
        <v>3.27902049317605E-005</v>
      </c>
      <c r="CU87" s="57" t="n">
        <f aca="false">CJ87*CO87</f>
        <v>4.80551296580141E-005</v>
      </c>
      <c r="CV87" s="57" t="n">
        <f aca="false">CJ87*CP87</f>
        <v>0.000427416375413802</v>
      </c>
      <c r="CW87" s="57" t="n">
        <f aca="false">CQ87*f_stroke_fatal</f>
        <v>5.36670802334286E-005</v>
      </c>
      <c r="CX87" s="57" t="n">
        <f aca="false">CQ87*(1-f_stroke_fatal)*f_stroke_major</f>
        <v>5.75345066608831E-005</v>
      </c>
      <c r="CY87" s="57" t="n">
        <f aca="false">CQ87*(1-f_stroke_fatal)*(1-f_stroke_major)</f>
        <v>0.000115241789618045</v>
      </c>
      <c r="CZ87" s="57" t="n">
        <f aca="false">CR87*(1-f_bleed_fatal)</f>
        <v>1.44058367586748E-005</v>
      </c>
      <c r="DA87" s="57" t="n">
        <f aca="false">CS87*(1-f_bleed_fatal)</f>
        <v>0.000133957735356328</v>
      </c>
      <c r="DB87" s="57" t="n">
        <f aca="false">CT87*f_mi_fatal</f>
        <v>3.96761479674302E-006</v>
      </c>
      <c r="DC87" s="57" t="n">
        <f aca="false">CT87-DB87</f>
        <v>2.88225901350175E-005</v>
      </c>
      <c r="DD87" s="57" t="n">
        <f aca="false">CJ87-CQ87-CR87-CS87-DB87</f>
        <v>0.0149722536833411</v>
      </c>
      <c r="DE87" s="19" t="n">
        <f aca="false">CW87*c_stroke_fatal+CX87*c_stroke_major+CY87*c_stroke_minor+CR87*c_ich+CS87*c_major_bleed+DB87*c_mi_fatal+DC87*c_mi_nonfatal+CU87*c_tia+CV87*c_minor_bleed</f>
        <v>10.4355210478854</v>
      </c>
      <c r="DF87" s="57" t="n">
        <f aca="false">dt*(DC87*dec_mi+DA87*dec_major_bleed+CV87*dec_minor_bleed+CU87*dec_tia)</f>
        <v>6.60825666370357E-006</v>
      </c>
      <c r="DG87" s="57" t="n">
        <f aca="false">J87*CI87+CW87+CR87-CZ87+CS87-DA87+DB87</f>
        <v>0.00131480926135701</v>
      </c>
      <c r="DH87" s="57" t="n">
        <f aca="false">AG87</f>
        <v>0.0303268907645917</v>
      </c>
      <c r="DI87" s="57" t="n">
        <f aca="false">AB87+AC87+BF87+BA87+BB87+BC87+CY87+CZ87</f>
        <v>0.00304309995779702</v>
      </c>
      <c r="DJ87" s="57" t="n">
        <f aca="false">AA87+AZ87+BY87+CX87+CE87+BZ87+CA87+CB87</f>
        <v>0.00163932852031539</v>
      </c>
      <c r="DK87" s="57" t="n">
        <f aca="false">AD87+DD87+DA87</f>
        <v>0.0152949965208326</v>
      </c>
      <c r="DL87" s="57" t="n">
        <f aca="false">K87+AJ87+BI87+CH87+DG87</f>
        <v>0.949695684236463</v>
      </c>
      <c r="DM87" s="58" t="n">
        <f aca="false">SUM(DH87:DL87)</f>
        <v>0.999999999999999</v>
      </c>
      <c r="DN87" s="19" t="n">
        <f aca="false">dt*(G87*Apixaban!$H$2+(H87+I87+J87)*c_aspirin)</f>
        <v>2.69498308042635</v>
      </c>
      <c r="DO87" s="19" t="n">
        <f aca="false">dt*(H87*c_lt_minor_stroke+I87*c_lt_major_stroke)</f>
        <v>21.0765455775656</v>
      </c>
      <c r="DP87" s="19" t="n">
        <f aca="false">AH87+BG87+CF87+DE87</f>
        <v>27.058078453388</v>
      </c>
      <c r="DQ87" s="19" t="n">
        <f aca="false">DN87+DO87+DP87</f>
        <v>50.82960711138</v>
      </c>
      <c r="DR87" s="57" t="n">
        <f aca="false">dt*(G87*(u_af-dec_per_year_over_70*MAX(B87-ref_age,0))+H87*(u_minor_stroke-dec_per_year_over_70*MAX(B87-ref_age,0))+I87*(u_major_stroke-dec_per_year_over_70*MAX(B87-ref_age,0))+J87*(u_af-dec_per_year_over_70*MAX(B87-ref_age,0)))-AI87-BH87-CG87-DF87</f>
        <v>0.0107881642418922</v>
      </c>
      <c r="DS87" s="57" t="n">
        <f aca="false">dt*(G87+H87+I87+J87)</f>
        <v>0.0137748906084523</v>
      </c>
      <c r="DT87" s="19" t="n">
        <f aca="false">DQ87*C87</f>
        <v>37.5992686333951</v>
      </c>
      <c r="DU87" s="19" t="n">
        <f aca="false">DN87*C87</f>
        <v>1.99351123413895</v>
      </c>
      <c r="DV87" s="19" t="n">
        <f aca="false">DP87*C87</f>
        <v>20.0151844227937</v>
      </c>
      <c r="DW87" s="19" t="n">
        <f aca="false">DO87*C87</f>
        <v>15.5905729764625</v>
      </c>
      <c r="DX87" s="57" t="n">
        <f aca="false">DR87*C87</f>
        <v>0.00798013418642537</v>
      </c>
      <c r="DY87" s="57" t="n">
        <f aca="false">DS87*C87</f>
        <v>0.010189451420467</v>
      </c>
      <c r="DZ87" s="57" t="n">
        <f aca="false">T87+AS87+BR87+CQ87</f>
        <v>0.000588842632195761</v>
      </c>
      <c r="EA87" s="57" t="n">
        <f aca="false">U87+AT87+BS87+CR87</f>
        <v>4.61571800276355E-005</v>
      </c>
      <c r="EB87" s="57" t="n">
        <f aca="false">V87+AU87+BT87+CS87</f>
        <v>0.000393828169367104</v>
      </c>
      <c r="EC87" s="57" t="n">
        <f aca="false">G87*dt*C87</f>
        <v>0.00615402404926843</v>
      </c>
    </row>
    <row r="88" customFormat="false" ht="15" hidden="false" customHeight="false" outlineLevel="0" collapsed="false">
      <c r="A88" s="8" t="n">
        <v>82</v>
      </c>
      <c r="B88" s="54" t="n">
        <f aca="false">start_age+A88*dt</f>
        <v>90.5</v>
      </c>
      <c r="C88" s="16" t="n">
        <f aca="false">(1+disc_rate)^-(A88*dt)</f>
        <v>0.736963763095343</v>
      </c>
      <c r="D88" s="55" t="n">
        <f aca="false">IF(A88*dt&gt;=wane_start,(1-wane_decay)^(A88*dt-wane_start),1)</f>
        <v>1</v>
      </c>
      <c r="E88" s="25" t="n">
        <f aca="false">MIN(p_nonvasc_death*MIN(EXP(gomp_int+gomp_slope*INT(B88)),1)/qx_ref,0.999)</f>
        <v>0.267515771053732</v>
      </c>
      <c r="F88" s="55" t="n">
        <f aca="false">rr_stroke_per_decade^((B88-ref_age)/10)</f>
        <v>2.29608034571127</v>
      </c>
      <c r="G88" s="57" t="n">
        <f aca="false">DH87</f>
        <v>0.0303268907645917</v>
      </c>
      <c r="H88" s="57" t="n">
        <f aca="false">DI87</f>
        <v>0.00304309995779702</v>
      </c>
      <c r="I88" s="57" t="n">
        <f aca="false">DJ87</f>
        <v>0.00163932852031539</v>
      </c>
      <c r="J88" s="57" t="n">
        <f aca="false">DK87</f>
        <v>0.0152949965208326</v>
      </c>
      <c r="K88" s="57" t="n">
        <f aca="false">DL87</f>
        <v>0.949695684236463</v>
      </c>
      <c r="L88" s="57" t="n">
        <f aca="false">1-EXP(LN(1-E88)*dt)</f>
        <v>0.0748768055909398</v>
      </c>
      <c r="M88" s="57" t="n">
        <f aca="false">G88*(1-L88)</f>
        <v>0.0280561100606337</v>
      </c>
      <c r="N88" s="57" t="n">
        <f aca="false">IF(Apixaban!$B$2=1,EXP(LN(or_apx_stroke)*D88)*(1-EXP(-r_stroke*F88*dt))/(1-(1-EXP(-r_stroke*F88*dt))+EXP(LN(or_apx_stroke)*D88)*(1-EXP(-r_stroke*F88*dt))),(1-EXP(-r_stroke*F88*dt)))</f>
        <v>0.00729464730510271</v>
      </c>
      <c r="O88" s="57" t="n">
        <f aca="false">IF(Apixaban!$B$2=1,EXP(LN(or_apx_ich)*D88)*(1-EXP(-r_ich*dt))/(1-(1-EXP(-r_ich*dt))+EXP(LN(or_apx_ich)*D88)*(1-EXP(-r_ich*dt))),(1-EXP(-r_ich*dt)))</f>
        <v>0.000843513249640701</v>
      </c>
      <c r="P88" s="57" t="n">
        <f aca="false">IF(Apixaban!$B$2=1,EXP(LN(or_apx_mb)*D88)*(1-EXP(-r_mb*dt))/(1-(1-EXP(-r_mb*dt))+EXP(LN(or_apx_mb)*D88)*(1-EXP(-r_mb*dt))),(1-EXP(-r_mb*dt)))</f>
        <v>0.00669446907979895</v>
      </c>
      <c r="Q88" s="57" t="n">
        <f aca="false">IF(Apixaban!$B$2=1,EXP(LN(or_apx_mi)*D88)*(1-EXP(-r_mi*dt))/(1-(1-EXP(-r_mi*dt))+EXP(LN(or_apx_mi)*D88)*(1-EXP(-r_mi*dt))),(1-EXP(-r_mi*dt)))</f>
        <v>0.00132321915530843</v>
      </c>
      <c r="R88" s="57" t="n">
        <f aca="false">(1-EXP(-r_tia*dt))</f>
        <v>0.0020060281549299</v>
      </c>
      <c r="S88" s="57" t="n">
        <f aca="false">(1-EXP(-r_minor*dt))</f>
        <v>0.0437937690785545</v>
      </c>
      <c r="T88" s="57" t="n">
        <f aca="false">M88*N88</f>
        <v>0.000204659427645466</v>
      </c>
      <c r="U88" s="57" t="n">
        <f aca="false">M88*O88</f>
        <v>2.36657005695223E-005</v>
      </c>
      <c r="V88" s="57" t="n">
        <f aca="false">M88*P88</f>
        <v>0.000187820761300348</v>
      </c>
      <c r="W88" s="57" t="n">
        <f aca="false">M88*Q88</f>
        <v>3.7124382255672E-005</v>
      </c>
      <c r="X88" s="57" t="n">
        <f aca="false">M88*R88</f>
        <v>5.6281346699443E-005</v>
      </c>
      <c r="Y88" s="57" t="n">
        <f aca="false">M88*S88</f>
        <v>0.0012286828052379</v>
      </c>
      <c r="Z88" s="57" t="n">
        <f aca="false">T88*f_stroke_fatal</f>
        <v>4.85042843519755E-005</v>
      </c>
      <c r="AA88" s="57" t="n">
        <f aca="false">T88*(1-f_stroke_fatal)*f_stroke_major</f>
        <v>5.19996627167324E-005</v>
      </c>
      <c r="AB88" s="57" t="n">
        <f aca="false">T88*(1-f_stroke_fatal)*(1-f_stroke_major)</f>
        <v>0.000104155480576758</v>
      </c>
      <c r="AC88" s="57" t="n">
        <f aca="false">U88*(1-f_bleed_fatal)</f>
        <v>2.16777817216824E-005</v>
      </c>
      <c r="AD88" s="57" t="n">
        <f aca="false">V88*(1-f_bleed_fatal)</f>
        <v>0.000172043817351119</v>
      </c>
      <c r="AE88" s="57" t="n">
        <f aca="false">W88*f_mi_fatal</f>
        <v>4.49205025293631E-006</v>
      </c>
      <c r="AF88" s="57" t="n">
        <f aca="false">W88-AE88</f>
        <v>3.26323320027357E-005</v>
      </c>
      <c r="AG88" s="57" t="n">
        <f aca="false">M88-T88-U88-V88-AE88</f>
        <v>0.0276354721208654</v>
      </c>
      <c r="AH88" s="19" t="n">
        <f aca="false">Z88*c_stroke_fatal+AA88*c_stroke_major+AB88*c_stroke_minor+U88*c_ich+V88*c_major_bleed+AE88*c_mi_fatal+AF88*c_mi_nonfatal+X88*c_tia+Y88*c_minor_bleed</f>
        <v>10.2879402738026</v>
      </c>
      <c r="AI88" s="57" t="n">
        <f aca="false">dt*(AF88*dec_mi+AD88*dec_major_bleed+Y88*dec_minor_bleed+X88*dec_tia)</f>
        <v>1.04192319686951E-005</v>
      </c>
      <c r="AJ88" s="57" t="n">
        <f aca="false">G88*L88+Z88+U88-AC88+V88-AD88+AE88</f>
        <v>0.00234154190135998</v>
      </c>
      <c r="AK88" s="57" t="n">
        <f aca="false">1-EXP(LN(1-E88)*hr_death_prior_stroke*dt)</f>
        <v>0.16389848558531</v>
      </c>
      <c r="AL88" s="57" t="n">
        <f aca="false">H88*(1-AK88)</f>
        <v>0.00254434048322937</v>
      </c>
      <c r="AM88" s="57" t="n">
        <f aca="false">(1-EXP(-r_stroke*F88*rr_stroke_prior*rr_asa_stroke*dt))</f>
        <v>0.0324591298703693</v>
      </c>
      <c r="AN88" s="57" t="n">
        <f aca="false">(1-EXP(-r_ich*rr_asa_ich*dt))</f>
        <v>0.00102357767802375</v>
      </c>
      <c r="AO88" s="57" t="n">
        <f aca="false">(1-EXP(-r_mb*rr_asa_mb*dt))</f>
        <v>0.00951809672747972</v>
      </c>
      <c r="AP88" s="57" t="n">
        <f aca="false">(1-EXP(-r_mi*rr_asa_mi*dt))</f>
        <v>0.00213413516393479</v>
      </c>
      <c r="AQ88" s="57" t="n">
        <f aca="false">(1-EXP(-r_tia*rr_asa_tia*dt))</f>
        <v>0.00312764565589152</v>
      </c>
      <c r="AR88" s="57" t="n">
        <f aca="false">(1-EXP(-r_minor*rr_asa_minor*dt))</f>
        <v>0.0278181950466747</v>
      </c>
      <c r="AS88" s="57" t="n">
        <f aca="false">AL88*AM88</f>
        <v>8.258707817958E-005</v>
      </c>
      <c r="AT88" s="57" t="n">
        <f aca="false">AL88*AN88</f>
        <v>2.60433012392573E-006</v>
      </c>
      <c r="AU88" s="57" t="n">
        <f aca="false">AL88*AO88</f>
        <v>2.42172788270196E-005</v>
      </c>
      <c r="AV88" s="57" t="n">
        <f aca="false">AL88*AP88</f>
        <v>5.42996649428263E-006</v>
      </c>
      <c r="AW88" s="57" t="n">
        <f aca="false">AL88*AQ88</f>
        <v>7.95779545948125E-006</v>
      </c>
      <c r="AX88" s="57" t="n">
        <f aca="false">AL88*AR88</f>
        <v>7.07789598276251E-005</v>
      </c>
      <c r="AY88" s="57" t="n">
        <f aca="false">AS88*f_stroke_fatal_recur</f>
        <v>3.07298259198399E-005</v>
      </c>
      <c r="AZ88" s="57" t="n">
        <f aca="false">AS88*(1-f_stroke_fatal_recur)*f_stroke_major</f>
        <v>1.72684650024934E-005</v>
      </c>
      <c r="BA88" s="57" t="n">
        <f aca="false">AS88*(1-f_stroke_fatal_recur)*(1-f_stroke_major)</f>
        <v>3.45887872572466E-005</v>
      </c>
      <c r="BB88" s="57" t="n">
        <f aca="false">AT88*(1-f_bleed_fatal)</f>
        <v>2.38556639351597E-006</v>
      </c>
      <c r="BC88" s="57" t="n">
        <f aca="false">AU88*(1-f_bleed_fatal)</f>
        <v>2.21830274055499E-005</v>
      </c>
      <c r="BD88" s="57" t="n">
        <f aca="false">AV88*f_mi_fatal</f>
        <v>6.57025945808198E-007</v>
      </c>
      <c r="BE88" s="57" t="n">
        <f aca="false">AV88-BD88</f>
        <v>4.77294054847443E-006</v>
      </c>
      <c r="BF88" s="57" t="n">
        <f aca="false">AL88-AS88-AT88-AU88-BD88</f>
        <v>0.00243427477015303</v>
      </c>
      <c r="BG88" s="19" t="n">
        <f aca="false">AY88*c_stroke_fatal+AZ88*c_stroke_major+BA88*c_stroke_minor+AT88*c_ich+AU88*c_major_bleed+BD88*c_mi_fatal+BE88*c_mi_nonfatal+AW88*c_tia+AX88*c_minor_bleed</f>
        <v>3.19017407769228</v>
      </c>
      <c r="BH88" s="57" t="n">
        <f aca="false">dt*(BE88*dec_mi+BC88*dec_major_bleed+AX88*dec_minor_bleed+AW88*dec_tia)</f>
        <v>1.0943088749889E-006</v>
      </c>
      <c r="BI88" s="57" t="n">
        <f aca="false">H88*AK88+AY88+AT88-BB88+AU88-BC88+BD88</f>
        <v>0.000532399341585178</v>
      </c>
      <c r="BJ88" s="57" t="n">
        <f aca="false">1-EXP(LN(1-E88)*hr_death_prior_stroke*dt)</f>
        <v>0.16389848558531</v>
      </c>
      <c r="BK88" s="57" t="n">
        <f aca="false">I88*(1-BJ88)</f>
        <v>0.00137064505845889</v>
      </c>
      <c r="BL88" s="57" t="n">
        <f aca="false">(1-EXP(-r_stroke*F88*rr_stroke_prior*rr_asa_stroke*dt))</f>
        <v>0.0324591298703693</v>
      </c>
      <c r="BM88" s="57" t="n">
        <f aca="false">(1-EXP(-r_ich*rr_asa_ich*dt))</f>
        <v>0.00102357767802375</v>
      </c>
      <c r="BN88" s="57" t="n">
        <f aca="false">(1-EXP(-r_mb*rr_asa_mb*dt))</f>
        <v>0.00951809672747972</v>
      </c>
      <c r="BO88" s="57" t="n">
        <f aca="false">(1-EXP(-r_mi*rr_asa_mi*dt))</f>
        <v>0.00213413516393479</v>
      </c>
      <c r="BP88" s="57" t="n">
        <f aca="false">(1-EXP(-r_tia*rr_asa_tia*dt))</f>
        <v>0.00312764565589152</v>
      </c>
      <c r="BQ88" s="57" t="n">
        <f aca="false">(1-EXP(-r_minor*rr_asa_minor*dt))</f>
        <v>0.0278181950466747</v>
      </c>
      <c r="BR88" s="57" t="n">
        <f aca="false">BK88*BL88</f>
        <v>4.4489945958697E-005</v>
      </c>
      <c r="BS88" s="57" t="n">
        <f aca="false">BK88*BM88</f>
        <v>1.40296168633207E-006</v>
      </c>
      <c r="BT88" s="57" t="n">
        <f aca="false">BK88*BN88</f>
        <v>1.30459322454538E-005</v>
      </c>
      <c r="BU88" s="57" t="n">
        <f aca="false">BK88*BO88</f>
        <v>2.92514181653058E-006</v>
      </c>
      <c r="BV88" s="57" t="n">
        <f aca="false">BK88*BP88</f>
        <v>4.28689206285813E-006</v>
      </c>
      <c r="BW88" s="57" t="n">
        <f aca="false">BK88*BQ88</f>
        <v>3.81288715759703E-005</v>
      </c>
      <c r="BX88" s="57" t="n">
        <f aca="false">BR88*f_stroke_fatal_recur</f>
        <v>1.65542639917716E-005</v>
      </c>
      <c r="BY88" s="57" t="n">
        <f aca="false">BR88*(1-f_stroke_fatal_recur)*f_stroke_major</f>
        <v>9.30258209498617E-006</v>
      </c>
      <c r="BZ88" s="57" t="n">
        <f aca="false">BR88*(1-f_stroke_fatal_recur)*(1-f_stroke_major)</f>
        <v>1.86330998719393E-005</v>
      </c>
      <c r="CA88" s="57" t="n">
        <f aca="false">BS88*(1-f_bleed_fatal)</f>
        <v>1.28511290468018E-006</v>
      </c>
      <c r="CB88" s="57" t="n">
        <f aca="false">BT88*(1-f_bleed_fatal)</f>
        <v>1.19500739368357E-005</v>
      </c>
      <c r="CC88" s="57" t="n">
        <f aca="false">BU88*f_mi_fatal</f>
        <v>3.539421598002E-007</v>
      </c>
      <c r="CD88" s="57" t="n">
        <f aca="false">BU88-CC88</f>
        <v>2.57119965673038E-006</v>
      </c>
      <c r="CE88" s="57" t="n">
        <f aca="false">BK88-BR88-BS88-BT88-CC88</f>
        <v>0.00131135227640861</v>
      </c>
      <c r="CF88" s="19" t="n">
        <f aca="false">BX88*c_stroke_fatal+BY88*c_stroke_major+BZ88*c_stroke_minor+BS88*c_ich+BT88*c_major_bleed+CC88*c_mi_fatal+CD88*c_mi_nonfatal+BV88*c_tia+BW88*c_minor_bleed</f>
        <v>1.7185578597023</v>
      </c>
      <c r="CG88" s="57" t="n">
        <f aca="false">dt*(CD88*dec_mi+CB88*dec_major_bleed+BW88*dec_minor_bleed+BV88*dec_tia)</f>
        <v>5.89507993060546E-007</v>
      </c>
      <c r="CH88" s="57" t="n">
        <f aca="false">I88*BJ88+BX88+BS88-CA88+BT88-CB88+CC88</f>
        <v>0.00028680537509834</v>
      </c>
      <c r="CI88" s="57" t="n">
        <f aca="false">1-EXP(LN(1-E88)*dt)</f>
        <v>0.0748768055909398</v>
      </c>
      <c r="CJ88" s="57" t="n">
        <f aca="false">J88*(1-CI88)</f>
        <v>0.0141497560398281</v>
      </c>
      <c r="CK88" s="57" t="n">
        <f aca="false">(1-EXP(-r_stroke*F88*rr_asa_stroke*dt))</f>
        <v>0.0148869910763187</v>
      </c>
      <c r="CL88" s="57" t="n">
        <f aca="false">(1-EXP(-r_ich*rr_asa_ich*dt))</f>
        <v>0.00102357767802375</v>
      </c>
      <c r="CM88" s="57" t="n">
        <f aca="false">(1-EXP(-r_mb*rr_asa_mb*dt))</f>
        <v>0.00951809672747972</v>
      </c>
      <c r="CN88" s="57" t="n">
        <f aca="false">(1-EXP(-r_mi*rr_asa_mi*dt))</f>
        <v>0.00213413516393479</v>
      </c>
      <c r="CO88" s="57" t="n">
        <f aca="false">(1-EXP(-r_tia*rr_asa_tia*dt))</f>
        <v>0.00312764565589152</v>
      </c>
      <c r="CP88" s="57" t="n">
        <f aca="false">(1-EXP(-r_minor*rr_asa_minor*dt))</f>
        <v>0.0278181950466747</v>
      </c>
      <c r="CQ88" s="57" t="n">
        <f aca="false">CJ88*CK88</f>
        <v>0.000210647291897008</v>
      </c>
      <c r="CR88" s="57" t="n">
        <f aca="false">CJ88*CL88</f>
        <v>1.44833744318497E-005</v>
      </c>
      <c r="CS88" s="57" t="n">
        <f aca="false">CJ88*CM88</f>
        <v>0.000134678746657324</v>
      </c>
      <c r="CT88" s="57" t="n">
        <f aca="false">CJ88*CN88</f>
        <v>3.01974919256959E-005</v>
      </c>
      <c r="CU88" s="57" t="n">
        <f aca="false">CJ88*CO88</f>
        <v>4.42554230098932E-005</v>
      </c>
      <c r="CV88" s="57" t="n">
        <f aca="false">CJ88*CP88</f>
        <v>0.000393620673378802</v>
      </c>
      <c r="CW88" s="57" t="n">
        <f aca="false">CQ88*f_stroke_fatal</f>
        <v>4.9923408179591E-005</v>
      </c>
      <c r="CX88" s="57" t="n">
        <f aca="false">CQ88*(1-f_stroke_fatal)*f_stroke_major</f>
        <v>5.35210532779E-005</v>
      </c>
      <c r="CY88" s="57" t="n">
        <f aca="false">CQ88*(1-f_stroke_fatal)*(1-f_stroke_major)</f>
        <v>0.000107202830439517</v>
      </c>
      <c r="CZ88" s="57" t="n">
        <f aca="false">CR88*(1-f_bleed_fatal)</f>
        <v>1.32667709795744E-005</v>
      </c>
      <c r="DA88" s="57" t="n">
        <f aca="false">CS88*(1-f_bleed_fatal)</f>
        <v>0.000123365731938109</v>
      </c>
      <c r="DB88" s="57" t="n">
        <f aca="false">CT88*f_mi_fatal</f>
        <v>3.6538965230092E-006</v>
      </c>
      <c r="DC88" s="57" t="n">
        <f aca="false">CT88-DB88</f>
        <v>2.65435954026867E-005</v>
      </c>
      <c r="DD88" s="57" t="n">
        <f aca="false">CJ88-CQ88-CR88-CS88-DB88</f>
        <v>0.0137862927303189</v>
      </c>
      <c r="DE88" s="19" t="n">
        <f aca="false">CW88*c_stroke_fatal+CX88*c_stroke_major+CY88*c_stroke_minor+CR88*c_ich+CS88*c_major_bleed+DB88*c_mi_fatal+DC88*c_mi_nonfatal+CU88*c_tia+CV88*c_minor_bleed</f>
        <v>9.68829984621393</v>
      </c>
      <c r="DF88" s="57" t="n">
        <f aca="false">dt*(DC88*dec_mi+DA88*dec_major_bleed+CV88*dec_minor_bleed+CU88*dec_tia)</f>
        <v>6.08574352189632E-006</v>
      </c>
      <c r="DG88" s="57" t="n">
        <f aca="false">J88*CI88+CW88+CR88-CZ88+CS88-DA88+DB88</f>
        <v>0.00121134740387857</v>
      </c>
      <c r="DH88" s="57" t="n">
        <f aca="false">AG88</f>
        <v>0.0276354721208654</v>
      </c>
      <c r="DI88" s="57" t="n">
        <f aca="false">AB88+AC88+BF88+BA88+BB88+BC88+CY88+CZ88</f>
        <v>0.00273973501492688</v>
      </c>
      <c r="DJ88" s="57" t="n">
        <f aca="false">AA88+AZ88+BY88+CX88+CE88+BZ88+CA88+CB88</f>
        <v>0.00147531232621418</v>
      </c>
      <c r="DK88" s="57" t="n">
        <f aca="false">AD88+DD88+DA88</f>
        <v>0.0140817022796081</v>
      </c>
      <c r="DL88" s="57" t="n">
        <f aca="false">K88+AJ88+BI88+CH88+DG88</f>
        <v>0.954067778258385</v>
      </c>
      <c r="DM88" s="58" t="n">
        <f aca="false">SUM(DH88:DL88)</f>
        <v>0.999999999999999</v>
      </c>
      <c r="DN88" s="19" t="n">
        <f aca="false">dt*(G88*Apixaban!$H$2+(H88+I88+J88)*c_aspirin)</f>
        <v>2.45688200512055</v>
      </c>
      <c r="DO88" s="19" t="n">
        <f aca="false">dt*(H88*c_lt_minor_stroke+I88*c_lt_major_stroke)</f>
        <v>18.929107750526</v>
      </c>
      <c r="DP88" s="19" t="n">
        <f aca="false">AH88+BG88+CF88+DE88</f>
        <v>24.8849720574111</v>
      </c>
      <c r="DQ88" s="19" t="n">
        <f aca="false">DN88+DO88+DP88</f>
        <v>46.2709618130577</v>
      </c>
      <c r="DR88" s="57" t="n">
        <f aca="false">dt*(G88*(u_af-dec_per_year_over_70*MAX(B88-ref_age,0))+H88*(u_minor_stroke-dec_per_year_over_70*MAX(B88-ref_age,0))+I88*(u_major_stroke-dec_per_year_over_70*MAX(B88-ref_age,0))+J88*(u_af-dec_per_year_over_70*MAX(B88-ref_age,0)))-AI88-BH88-CG88-DF88</f>
        <v>0.00985237000218738</v>
      </c>
      <c r="DS88" s="57" t="n">
        <f aca="false">dt*(G88+H88+I88+J88)</f>
        <v>0.0125760789408842</v>
      </c>
      <c r="DT88" s="19" t="n">
        <f aca="false">DQ88*C88</f>
        <v>34.1000221397919</v>
      </c>
      <c r="DU88" s="19" t="n">
        <f aca="false">DN88*C88</f>
        <v>1.81063300797487</v>
      </c>
      <c r="DV88" s="19" t="n">
        <f aca="false">DP88*C88</f>
        <v>18.3393226519521</v>
      </c>
      <c r="DW88" s="19" t="n">
        <f aca="false">DO88*C88</f>
        <v>13.9500664798649</v>
      </c>
      <c r="DX88" s="57" t="n">
        <f aca="false">DR88*C88</f>
        <v>0.00726083967221969</v>
      </c>
      <c r="DY88" s="57" t="n">
        <f aca="false">DS88*C88</f>
        <v>0.00926811446125809</v>
      </c>
      <c r="DZ88" s="57" t="n">
        <f aca="false">T88+AS88+BR88+CQ88</f>
        <v>0.000542383743680752</v>
      </c>
      <c r="EA88" s="57" t="n">
        <f aca="false">U88+AT88+BS88+CR88</f>
        <v>4.21563668116298E-005</v>
      </c>
      <c r="EB88" s="57" t="n">
        <f aca="false">V88+AU88+BT88+CS88</f>
        <v>0.000359762719030146</v>
      </c>
      <c r="EC88" s="57" t="n">
        <f aca="false">G88*dt*C88</f>
        <v>0.00558745488521372</v>
      </c>
    </row>
    <row r="89" customFormat="false" ht="15" hidden="false" customHeight="false" outlineLevel="0" collapsed="false">
      <c r="A89" s="8" t="n">
        <v>83</v>
      </c>
      <c r="B89" s="54" t="n">
        <f aca="false">start_age+A89*dt</f>
        <v>90.75</v>
      </c>
      <c r="C89" s="16" t="n">
        <f aca="false">(1+disc_rate)^-(A89*dt)</f>
        <v>0.734225769898751</v>
      </c>
      <c r="D89" s="55" t="n">
        <f aca="false">IF(A89*dt&gt;=wane_start,(1-wane_decay)^(A89*dt-wane_start),1)</f>
        <v>1</v>
      </c>
      <c r="E89" s="25" t="n">
        <f aca="false">MIN(p_nonvasc_death*MIN(EXP(gomp_int+gomp_slope*INT(B89)),1)/qx_ref,0.999)</f>
        <v>0.267515771053732</v>
      </c>
      <c r="F89" s="55" t="n">
        <f aca="false">rr_stroke_per_decade^((B89-ref_age)/10)</f>
        <v>2.31947321947383</v>
      </c>
      <c r="G89" s="57" t="n">
        <f aca="false">DH88</f>
        <v>0.0276354721208654</v>
      </c>
      <c r="H89" s="57" t="n">
        <f aca="false">DI88</f>
        <v>0.00273973501492688</v>
      </c>
      <c r="I89" s="57" t="n">
        <f aca="false">DJ88</f>
        <v>0.00147531232621418</v>
      </c>
      <c r="J89" s="57" t="n">
        <f aca="false">DK88</f>
        <v>0.0140817022796081</v>
      </c>
      <c r="K89" s="57" t="n">
        <f aca="false">DL88</f>
        <v>0.954067778258385</v>
      </c>
      <c r="L89" s="57" t="n">
        <f aca="false">1-EXP(LN(1-E89)*dt)</f>
        <v>0.0748768055909398</v>
      </c>
      <c r="M89" s="57" t="n">
        <f aca="false">G89*(1-L89)</f>
        <v>0.0255662162474575</v>
      </c>
      <c r="N89" s="57" t="n">
        <f aca="false">IF(Apixaban!$B$2=1,EXP(LN(or_apx_stroke)*D89)*(1-EXP(-r_stroke*F89*dt))/(1-(1-EXP(-r_stroke*F89*dt))+EXP(LN(or_apx_stroke)*D89)*(1-EXP(-r_stroke*F89*dt))),(1-EXP(-r_stroke*F89*dt)))</f>
        <v>0.00736876435783238</v>
      </c>
      <c r="O89" s="57" t="n">
        <f aca="false">IF(Apixaban!$B$2=1,EXP(LN(or_apx_ich)*D89)*(1-EXP(-r_ich*dt))/(1-(1-EXP(-r_ich*dt))+EXP(LN(or_apx_ich)*D89)*(1-EXP(-r_ich*dt))),(1-EXP(-r_ich*dt)))</f>
        <v>0.000843513249640701</v>
      </c>
      <c r="P89" s="57" t="n">
        <f aca="false">IF(Apixaban!$B$2=1,EXP(LN(or_apx_mb)*D89)*(1-EXP(-r_mb*dt))/(1-(1-EXP(-r_mb*dt))+EXP(LN(or_apx_mb)*D89)*(1-EXP(-r_mb*dt))),(1-EXP(-r_mb*dt)))</f>
        <v>0.00669446907979895</v>
      </c>
      <c r="Q89" s="57" t="n">
        <f aca="false">IF(Apixaban!$B$2=1,EXP(LN(or_apx_mi)*D89)*(1-EXP(-r_mi*dt))/(1-(1-EXP(-r_mi*dt))+EXP(LN(or_apx_mi)*D89)*(1-EXP(-r_mi*dt))),(1-EXP(-r_mi*dt)))</f>
        <v>0.00132321915530843</v>
      </c>
      <c r="R89" s="57" t="n">
        <f aca="false">(1-EXP(-r_tia*dt))</f>
        <v>0.0020060281549299</v>
      </c>
      <c r="S89" s="57" t="n">
        <f aca="false">(1-EXP(-r_minor*dt))</f>
        <v>0.0437937690785545</v>
      </c>
      <c r="T89" s="57" t="n">
        <f aca="false">M89*N89</f>
        <v>0.0001883914230489</v>
      </c>
      <c r="U89" s="57" t="n">
        <f aca="false">M89*O89</f>
        <v>2.15654421479098E-005</v>
      </c>
      <c r="V89" s="57" t="n">
        <f aca="false">M89*P89</f>
        <v>0.000171152244156058</v>
      </c>
      <c r="W89" s="57" t="n">
        <f aca="false">M89*Q89</f>
        <v>3.38297070673934E-005</v>
      </c>
      <c r="X89" s="57" t="n">
        <f aca="false">M89*R89</f>
        <v>5.12865496074259E-005</v>
      </c>
      <c r="Y89" s="57" t="n">
        <f aca="false">M89*S89</f>
        <v>0.00111964097055354</v>
      </c>
      <c r="Z89" s="57" t="n">
        <f aca="false">T89*f_stroke_fatal</f>
        <v>4.46487672625894E-005</v>
      </c>
      <c r="AA89" s="57" t="n">
        <f aca="false">T89*(1-f_stroke_fatal)*f_stroke_major</f>
        <v>4.78663043768415E-005</v>
      </c>
      <c r="AB89" s="57" t="n">
        <f aca="false">T89*(1-f_stroke_fatal)*(1-f_stroke_major)</f>
        <v>9.58763514094694E-005</v>
      </c>
      <c r="AC89" s="57" t="n">
        <f aca="false">U89*(1-f_bleed_fatal)</f>
        <v>1.97539450074854E-005</v>
      </c>
      <c r="AD89" s="57" t="n">
        <f aca="false">V89*(1-f_bleed_fatal)</f>
        <v>0.000156775455646949</v>
      </c>
      <c r="AE89" s="57" t="n">
        <f aca="false">W89*f_mi_fatal</f>
        <v>4.0933945551546E-006</v>
      </c>
      <c r="AF89" s="57" t="n">
        <f aca="false">W89-AE89</f>
        <v>2.97363125122388E-005</v>
      </c>
      <c r="AG89" s="57" t="n">
        <f aca="false">M89-T89-U89-V89-AE89</f>
        <v>0.0251810137435495</v>
      </c>
      <c r="AH89" s="19" t="n">
        <f aca="false">Z89*c_stroke_fatal+AA89*c_stroke_major+AB89*c_stroke_minor+U89*c_ich+V89*c_major_bleed+AE89*c_mi_fatal+AF89*c_mi_nonfatal+X89*c_tia+Y89*c_minor_bleed</f>
        <v>9.44492888554873</v>
      </c>
      <c r="AI89" s="57" t="n">
        <f aca="false">dt*(AF89*dec_mi+AD89*dec_major_bleed+Y89*dec_minor_bleed+X89*dec_tia)</f>
        <v>9.49455705257752E-006</v>
      </c>
      <c r="AJ89" s="57" t="n">
        <f aca="false">G89*L89+Z89+U89-AC89+V89-AD89+AE89</f>
        <v>0.00213418632087515</v>
      </c>
      <c r="AK89" s="57" t="n">
        <f aca="false">1-EXP(LN(1-E89)*hr_death_prior_stroke*dt)</f>
        <v>0.16389848558531</v>
      </c>
      <c r="AL89" s="57" t="n">
        <f aca="false">H89*(1-AK89)</f>
        <v>0.00229069659507532</v>
      </c>
      <c r="AM89" s="57" t="n">
        <f aca="false">(1-EXP(-r_stroke*F89*rr_stroke_prior*rr_asa_stroke*dt))</f>
        <v>0.0327843484333462</v>
      </c>
      <c r="AN89" s="57" t="n">
        <f aca="false">(1-EXP(-r_ich*rr_asa_ich*dt))</f>
        <v>0.00102357767802375</v>
      </c>
      <c r="AO89" s="57" t="n">
        <f aca="false">(1-EXP(-r_mb*rr_asa_mb*dt))</f>
        <v>0.00951809672747972</v>
      </c>
      <c r="AP89" s="57" t="n">
        <f aca="false">(1-EXP(-r_mi*rr_asa_mi*dt))</f>
        <v>0.00213413516393479</v>
      </c>
      <c r="AQ89" s="57" t="n">
        <f aca="false">(1-EXP(-r_tia*rr_asa_tia*dt))</f>
        <v>0.00312764565589152</v>
      </c>
      <c r="AR89" s="57" t="n">
        <f aca="false">(1-EXP(-r_minor*rr_asa_minor*dt))</f>
        <v>0.0278181950466747</v>
      </c>
      <c r="AS89" s="57" t="n">
        <f aca="false">AL89*AM89</f>
        <v>7.5098995328029E-005</v>
      </c>
      <c r="AT89" s="57" t="n">
        <f aca="false">AL89*AN89</f>
        <v>2.34470590184409E-006</v>
      </c>
      <c r="AU89" s="57" t="n">
        <f aca="false">AL89*AO89</f>
        <v>2.18030717652353E-005</v>
      </c>
      <c r="AV89" s="57" t="n">
        <f aca="false">AL89*AP89</f>
        <v>4.88865615345593E-006</v>
      </c>
      <c r="AW89" s="57" t="n">
        <f aca="false">AL89*AQ89</f>
        <v>7.16448725455281E-006</v>
      </c>
      <c r="AX89" s="57" t="n">
        <f aca="false">AL89*AR89</f>
        <v>6.37230446745588E-005</v>
      </c>
      <c r="AY89" s="57" t="n">
        <f aca="false">AS89*f_stroke_fatal_recur</f>
        <v>2.79435851716063E-005</v>
      </c>
      <c r="AZ89" s="57" t="n">
        <f aca="false">AS89*(1-f_stroke_fatal_recur)*f_stroke_major</f>
        <v>1.57027515820887E-005</v>
      </c>
      <c r="BA89" s="57" t="n">
        <f aca="false">AS89*(1-f_stroke_fatal_recur)*(1-f_stroke_major)</f>
        <v>3.14526585743339E-005</v>
      </c>
      <c r="BB89" s="57" t="n">
        <f aca="false">AT89*(1-f_bleed_fatal)</f>
        <v>2.14775060608919E-006</v>
      </c>
      <c r="BC89" s="57" t="n">
        <f aca="false">AU89*(1-f_bleed_fatal)</f>
        <v>1.99716137369555E-005</v>
      </c>
      <c r="BD89" s="57" t="n">
        <f aca="false">AV89*f_mi_fatal</f>
        <v>5.91527394568167E-007</v>
      </c>
      <c r="BE89" s="57" t="n">
        <f aca="false">AV89-BD89</f>
        <v>4.29712875888776E-006</v>
      </c>
      <c r="BF89" s="57" t="n">
        <f aca="false">AL89-AS89-AT89-AU89-BD89</f>
        <v>0.00219085829468564</v>
      </c>
      <c r="BG89" s="19" t="n">
        <f aca="false">AY89*c_stroke_fatal+AZ89*c_stroke_major+BA89*c_stroke_minor+AT89*c_ich+AU89*c_major_bleed+BD89*c_mi_fatal+BE89*c_mi_nonfatal+AW89*c_tia+AX89*c_minor_bleed</f>
        <v>2.89783380204748</v>
      </c>
      <c r="BH89" s="57" t="n">
        <f aca="false">dt*(BE89*dec_mi+BC89*dec_major_bleed+AX89*dec_minor_bleed+AW89*dec_tia)</f>
        <v>9.85217831662271E-007</v>
      </c>
      <c r="BI89" s="57" t="n">
        <f aca="false">H89*AK89+AY89+AT89-BB89+AU89-BC89+BD89</f>
        <v>0.00047960194574177</v>
      </c>
      <c r="BJ89" s="57" t="n">
        <f aca="false">1-EXP(LN(1-E89)*hr_death_prior_stroke*dt)</f>
        <v>0.16389848558531</v>
      </c>
      <c r="BK89" s="57" t="n">
        <f aca="false">I89*(1-BJ89)</f>
        <v>0.00123351087018233</v>
      </c>
      <c r="BL89" s="57" t="n">
        <f aca="false">(1-EXP(-r_stroke*F89*rr_stroke_prior*rr_asa_stroke*dt))</f>
        <v>0.0327843484333462</v>
      </c>
      <c r="BM89" s="57" t="n">
        <f aca="false">(1-EXP(-r_ich*rr_asa_ich*dt))</f>
        <v>0.00102357767802375</v>
      </c>
      <c r="BN89" s="57" t="n">
        <f aca="false">(1-EXP(-r_mb*rr_asa_mb*dt))</f>
        <v>0.00951809672747972</v>
      </c>
      <c r="BO89" s="57" t="n">
        <f aca="false">(1-EXP(-r_mi*rr_asa_mi*dt))</f>
        <v>0.00213413516393479</v>
      </c>
      <c r="BP89" s="57" t="n">
        <f aca="false">(1-EXP(-r_tia*rr_asa_tia*dt))</f>
        <v>0.00312764565589152</v>
      </c>
      <c r="BQ89" s="57" t="n">
        <f aca="false">(1-EXP(-r_minor*rr_asa_minor*dt))</f>
        <v>0.0278181950466747</v>
      </c>
      <c r="BR89" s="57" t="n">
        <f aca="false">BK89*BL89</f>
        <v>4.04398501643776E-005</v>
      </c>
      <c r="BS89" s="57" t="n">
        <f aca="false">BK89*BM89</f>
        <v>1.26259419231828E-006</v>
      </c>
      <c r="BT89" s="57" t="n">
        <f aca="false">BK89*BN89</f>
        <v>1.17406757767931E-005</v>
      </c>
      <c r="BU89" s="57" t="n">
        <f aca="false">BK89*BO89</f>
        <v>2.63247892315192E-006</v>
      </c>
      <c r="BV89" s="57" t="n">
        <f aca="false">BK89*BP89</f>
        <v>3.85798491462074E-006</v>
      </c>
      <c r="BW89" s="57" t="n">
        <f aca="false">BK89*BQ89</f>
        <v>3.43140459789255E-005</v>
      </c>
      <c r="BX89" s="57" t="n">
        <f aca="false">BR89*f_stroke_fatal_recur</f>
        <v>1.50472638476633E-005</v>
      </c>
      <c r="BY89" s="57" t="n">
        <f aca="false">BR89*(1-f_stroke_fatal_recur)*f_stroke_major</f>
        <v>8.45573124346588E-006</v>
      </c>
      <c r="BZ89" s="57" t="n">
        <f aca="false">BR89*(1-f_stroke_fatal_recur)*(1-f_stroke_major)</f>
        <v>1.69368550732485E-005</v>
      </c>
      <c r="CA89" s="57" t="n">
        <f aca="false">BS89*(1-f_bleed_fatal)</f>
        <v>1.15653628016355E-006</v>
      </c>
      <c r="CB89" s="57" t="n">
        <f aca="false">BT89*(1-f_bleed_fatal)</f>
        <v>1.07544590115425E-005</v>
      </c>
      <c r="CC89" s="57" t="n">
        <f aca="false">BU89*f_mi_fatal</f>
        <v>3.18529949701382E-007</v>
      </c>
      <c r="CD89" s="57" t="n">
        <f aca="false">BU89-CC89</f>
        <v>2.31394897345054E-006</v>
      </c>
      <c r="CE89" s="57" t="n">
        <f aca="false">BK89-BR89-BS89-BT89-CC89</f>
        <v>0.00117974922009914</v>
      </c>
      <c r="CF89" s="19" t="n">
        <f aca="false">BX89*c_stroke_fatal+BY89*c_stroke_major+BZ89*c_stroke_minor+BS89*c_ich+BT89*c_major_bleed+CC89*c_mi_fatal+CD89*c_mi_nonfatal+BV89*c_tia+BW89*c_minor_bleed</f>
        <v>1.56044650456637</v>
      </c>
      <c r="CG89" s="57" t="n">
        <f aca="false">dt*(CD89*dec_mi+CB89*dec_major_bleed+BW89*dec_minor_bleed+BV89*dec_tia)</f>
        <v>5.30527223668799E-007</v>
      </c>
      <c r="CH89" s="57" t="n">
        <f aca="false">I89*BJ89+BX89+BS89-CA89+BT89-CB89+CC89</f>
        <v>0.000258259524506613</v>
      </c>
      <c r="CI89" s="57" t="n">
        <f aca="false">1-EXP(LN(1-E89)*dt)</f>
        <v>0.0748768055909398</v>
      </c>
      <c r="CJ89" s="57" t="n">
        <f aca="false">J89*(1-CI89)</f>
        <v>0.0130273093956284</v>
      </c>
      <c r="CK89" s="57" t="n">
        <f aca="false">(1-EXP(-r_stroke*F89*rr_asa_stroke*dt))</f>
        <v>0.015037516271204</v>
      </c>
      <c r="CL89" s="57" t="n">
        <f aca="false">(1-EXP(-r_ich*rr_asa_ich*dt))</f>
        <v>0.00102357767802375</v>
      </c>
      <c r="CM89" s="57" t="n">
        <f aca="false">(1-EXP(-r_mb*rr_asa_mb*dt))</f>
        <v>0.00951809672747972</v>
      </c>
      <c r="CN89" s="57" t="n">
        <f aca="false">(1-EXP(-r_mi*rr_asa_mi*dt))</f>
        <v>0.00213413516393479</v>
      </c>
      <c r="CO89" s="57" t="n">
        <f aca="false">(1-EXP(-r_tia*rr_asa_tia*dt))</f>
        <v>0.00312764565589152</v>
      </c>
      <c r="CP89" s="57" t="n">
        <f aca="false">(1-EXP(-r_minor*rr_asa_minor*dt))</f>
        <v>0.0278181950466747</v>
      </c>
      <c r="CQ89" s="57" t="n">
        <f aca="false">CJ89*CK89</f>
        <v>0.000195898377006771</v>
      </c>
      <c r="CR89" s="57" t="n">
        <f aca="false">CJ89*CL89</f>
        <v>1.33344631020743E-005</v>
      </c>
      <c r="CS89" s="57" t="n">
        <f aca="false">CJ89*CM89</f>
        <v>0.000123995190926397</v>
      </c>
      <c r="CT89" s="57" t="n">
        <f aca="false">CJ89*CN89</f>
        <v>2.78020390726687E-005</v>
      </c>
      <c r="CU89" s="57" t="n">
        <f aca="false">CJ89*CO89</f>
        <v>4.07448076391921E-005</v>
      </c>
      <c r="CV89" s="57" t="n">
        <f aca="false">CJ89*CP89</f>
        <v>0.00036239623370097</v>
      </c>
      <c r="CW89" s="57" t="n">
        <f aca="false">CQ89*f_stroke_fatal</f>
        <v>4.64279153506047E-005</v>
      </c>
      <c r="CX89" s="57" t="n">
        <f aca="false">CQ89*(1-f_stroke_fatal)*f_stroke_major</f>
        <v>4.97736637315034E-005</v>
      </c>
      <c r="CY89" s="57" t="n">
        <f aca="false">CQ89*(1-f_stroke_fatal)*(1-f_stroke_major)</f>
        <v>9.96967979246629E-005</v>
      </c>
      <c r="CZ89" s="57" t="n">
        <f aca="false">CR89*(1-f_bleed_fatal)</f>
        <v>1.22143682015E-005</v>
      </c>
      <c r="DA89" s="57" t="n">
        <f aca="false">CS89*(1-f_bleed_fatal)</f>
        <v>0.000113579594888579</v>
      </c>
      <c r="DB89" s="57" t="n">
        <f aca="false">CT89*f_mi_fatal</f>
        <v>3.36404672779292E-006</v>
      </c>
      <c r="DC89" s="57" t="n">
        <f aca="false">CT89-DB89</f>
        <v>2.44379923448758E-005</v>
      </c>
      <c r="DD89" s="57" t="n">
        <f aca="false">CJ89-CQ89-CR89-CS89-DB89</f>
        <v>0.0126907173178654</v>
      </c>
      <c r="DE89" s="19" t="n">
        <f aca="false">CW89*c_stroke_fatal+CX89*c_stroke_major+CY89*c_stroke_minor+CR89*c_ich+CS89*c_major_bleed+DB89*c_mi_fatal+DC89*c_mi_nonfatal+CU89*c_tia+CV89*c_minor_bleed</f>
        <v>8.99221567626164</v>
      </c>
      <c r="DF89" s="57" t="n">
        <f aca="false">dt*(DC89*dec_mi+DA89*dec_major_bleed+CV89*dec_minor_bleed+CU89*dec_tia)</f>
        <v>5.60298449945204E-006</v>
      </c>
      <c r="DG89" s="57" t="n">
        <f aca="false">J89*CI89+CW89+CR89-CZ89+CS89-DA89+DB89</f>
        <v>0.0011157205369965</v>
      </c>
      <c r="DH89" s="57" t="n">
        <f aca="false">AG89</f>
        <v>0.0251810137435495</v>
      </c>
      <c r="DI89" s="57" t="n">
        <f aca="false">AB89+AC89+BF89+BA89+BB89+BC89+CY89+CZ89</f>
        <v>0.00247197178014614</v>
      </c>
      <c r="DJ89" s="57" t="n">
        <f aca="false">AA89+AZ89+BY89+CX89+CE89+BZ89+CA89+CB89</f>
        <v>0.001330395521398</v>
      </c>
      <c r="DK89" s="57" t="n">
        <f aca="false">AD89+DD89+DA89</f>
        <v>0.0129610723684009</v>
      </c>
      <c r="DL89" s="57" t="n">
        <f aca="false">K89+AJ89+BI89+CH89+DG89</f>
        <v>0.958055546586505</v>
      </c>
      <c r="DM89" s="58" t="n">
        <f aca="false">SUM(DH89:DL89)</f>
        <v>0.999999999999999</v>
      </c>
      <c r="DN89" s="19" t="n">
        <f aca="false">dt*(G89*Apixaban!$H$2+(H89+I89+J89)*c_aspirin)</f>
        <v>2.23974171073474</v>
      </c>
      <c r="DO89" s="19" t="n">
        <f aca="false">dt*(H89*c_lt_minor_stroke+I89*c_lt_major_stroke)</f>
        <v>17.0382076681017</v>
      </c>
      <c r="DP89" s="19" t="n">
        <f aca="false">AH89+BG89+CF89+DE89</f>
        <v>22.8954248684242</v>
      </c>
      <c r="DQ89" s="19" t="n">
        <f aca="false">DN89+DO89+DP89</f>
        <v>42.1733742472607</v>
      </c>
      <c r="DR89" s="57" t="n">
        <f aca="false">dt*(G89*(u_af-dec_per_year_over_70*MAX(B89-ref_age,0))+H89*(u_minor_stroke-dec_per_year_over_70*MAX(B89-ref_age,0))+I89*(u_major_stroke-dec_per_year_over_70*MAX(B89-ref_age,0))+J89*(u_af-dec_per_year_over_70*MAX(B89-ref_age,0)))-AI89-BH89-CG89-DF89</f>
        <v>0.00899838777862949</v>
      </c>
      <c r="DS89" s="57" t="n">
        <f aca="false">dt*(G89+H89+I89+J89)</f>
        <v>0.0114830554354037</v>
      </c>
      <c r="DT89" s="19" t="n">
        <f aca="false">DQ89*C89</f>
        <v>30.9647781759231</v>
      </c>
      <c r="DU89" s="19" t="n">
        <f aca="false">DN89*C89</f>
        <v>1.64447608193856</v>
      </c>
      <c r="DV89" s="19" t="n">
        <f aca="false">DP89*C89</f>
        <v>16.8104109511778</v>
      </c>
      <c r="DW89" s="19" t="n">
        <f aca="false">DO89*C89</f>
        <v>12.5098911428068</v>
      </c>
      <c r="DX89" s="57" t="n">
        <f aca="false">DR89*C89</f>
        <v>0.00660684819461175</v>
      </c>
      <c r="DY89" s="57" t="n">
        <f aca="false">DS89*C89</f>
        <v>0.00843115521784928</v>
      </c>
      <c r="DZ89" s="57" t="n">
        <f aca="false">T89+AS89+BR89+CQ89</f>
        <v>0.000499828645548078</v>
      </c>
      <c r="EA89" s="57" t="n">
        <f aca="false">U89+AT89+BS89+CR89</f>
        <v>3.85072053441464E-005</v>
      </c>
      <c r="EB89" s="57" t="n">
        <f aca="false">V89+AU89+BT89+CS89</f>
        <v>0.000328691182624483</v>
      </c>
      <c r="EC89" s="57" t="n">
        <f aca="false">G89*dt*C89</f>
        <v>0.00507266894861447</v>
      </c>
    </row>
    <row r="90" customFormat="false" ht="15" hidden="false" customHeight="false" outlineLevel="0" collapsed="false">
      <c r="A90" s="8" t="n">
        <v>84</v>
      </c>
      <c r="B90" s="54" t="n">
        <f aca="false">start_age+A90*dt</f>
        <v>91</v>
      </c>
      <c r="C90" s="16" t="n">
        <f aca="false">(1+disc_rate)^-(A90*dt)</f>
        <v>0.731497948988939</v>
      </c>
      <c r="D90" s="55" t="n">
        <f aca="false">IF(A90*dt&gt;=wane_start,(1-wane_decay)^(A90*dt-wane_start),1)</f>
        <v>1</v>
      </c>
      <c r="E90" s="25" t="n">
        <f aca="false">MIN(p_nonvasc_death*MIN(EXP(gomp_int+gomp_slope*INT(B90)),1)/qx_ref,0.999)</f>
        <v>0.297023740462546</v>
      </c>
      <c r="F90" s="55" t="n">
        <f aca="false">rr_stroke_per_decade^((B90-ref_age)/10)</f>
        <v>2.34310442398292</v>
      </c>
      <c r="G90" s="57" t="n">
        <f aca="false">DH89</f>
        <v>0.0251810137435495</v>
      </c>
      <c r="H90" s="57" t="n">
        <f aca="false">DI89</f>
        <v>0.00247197178014614</v>
      </c>
      <c r="I90" s="57" t="n">
        <f aca="false">DJ89</f>
        <v>0.001330395521398</v>
      </c>
      <c r="J90" s="57" t="n">
        <f aca="false">DK89</f>
        <v>0.0129610723684009</v>
      </c>
      <c r="K90" s="57" t="n">
        <f aca="false">DL89</f>
        <v>0.958055546586505</v>
      </c>
      <c r="L90" s="57" t="n">
        <f aca="false">1-EXP(LN(1-E90)*dt)</f>
        <v>0.0843380562700268</v>
      </c>
      <c r="M90" s="57" t="n">
        <f aca="false">G90*(1-L90)</f>
        <v>0.0230572959895097</v>
      </c>
      <c r="N90" s="57" t="n">
        <f aca="false">IF(Apixaban!$B$2=1,EXP(LN(or_apx_stroke)*D90)*(1-EXP(-r_stroke*F90*dt))/(1-(1-EXP(-r_stroke*F90*dt))+EXP(LN(or_apx_stroke)*D90)*(1-EXP(-r_stroke*F90*dt))),(1-EXP(-r_stroke*F90*dt)))</f>
        <v>0.00744363238923671</v>
      </c>
      <c r="O90" s="57" t="n">
        <f aca="false">IF(Apixaban!$B$2=1,EXP(LN(or_apx_ich)*D90)*(1-EXP(-r_ich*dt))/(1-(1-EXP(-r_ich*dt))+EXP(LN(or_apx_ich)*D90)*(1-EXP(-r_ich*dt))),(1-EXP(-r_ich*dt)))</f>
        <v>0.000843513249640701</v>
      </c>
      <c r="P90" s="57" t="n">
        <f aca="false">IF(Apixaban!$B$2=1,EXP(LN(or_apx_mb)*D90)*(1-EXP(-r_mb*dt))/(1-(1-EXP(-r_mb*dt))+EXP(LN(or_apx_mb)*D90)*(1-EXP(-r_mb*dt))),(1-EXP(-r_mb*dt)))</f>
        <v>0.00669446907979895</v>
      </c>
      <c r="Q90" s="57" t="n">
        <f aca="false">IF(Apixaban!$B$2=1,EXP(LN(or_apx_mi)*D90)*(1-EXP(-r_mi*dt))/(1-(1-EXP(-r_mi*dt))+EXP(LN(or_apx_mi)*D90)*(1-EXP(-r_mi*dt))),(1-EXP(-r_mi*dt)))</f>
        <v>0.00132321915530843</v>
      </c>
      <c r="R90" s="57" t="n">
        <f aca="false">(1-EXP(-r_tia*dt))</f>
        <v>0.0020060281549299</v>
      </c>
      <c r="S90" s="57" t="n">
        <f aca="false">(1-EXP(-r_minor*dt))</f>
        <v>0.0437937690785545</v>
      </c>
      <c r="T90" s="57" t="n">
        <f aca="false">M90*N90</f>
        <v>0.000171630035235732</v>
      </c>
      <c r="U90" s="57" t="n">
        <f aca="false">M90*O90</f>
        <v>1.94491346680388E-005</v>
      </c>
      <c r="V90" s="57" t="n">
        <f aca="false">M90*P90</f>
        <v>0.000154356355065545</v>
      </c>
      <c r="W90" s="57" t="n">
        <f aca="false">M90*Q90</f>
        <v>3.05098557229355E-005</v>
      </c>
      <c r="X90" s="57" t="n">
        <f aca="false">M90*R90</f>
        <v>4.62535849315086E-005</v>
      </c>
      <c r="Y90" s="57" t="n">
        <f aca="false">M90*S90</f>
        <v>0.00100976589614047</v>
      </c>
      <c r="Z90" s="57" t="n">
        <f aca="false">T90*f_stroke_fatal</f>
        <v>4.06763183508685E-005</v>
      </c>
      <c r="AA90" s="57" t="n">
        <f aca="false">T90*(1-f_stroke_fatal)*f_stroke_major</f>
        <v>4.36075877226596E-005</v>
      </c>
      <c r="AB90" s="57" t="n">
        <f aca="false">T90*(1-f_stroke_fatal)*(1-f_stroke_major)</f>
        <v>8.7346129162204E-005</v>
      </c>
      <c r="AC90" s="57" t="n">
        <f aca="false">U90*(1-f_bleed_fatal)</f>
        <v>1.78154073559236E-005</v>
      </c>
      <c r="AD90" s="57" t="n">
        <f aca="false">V90*(1-f_bleed_fatal)</f>
        <v>0.000141390421240039</v>
      </c>
      <c r="AE90" s="57" t="n">
        <f aca="false">W90*f_mi_fatal</f>
        <v>3.69169254247519E-006</v>
      </c>
      <c r="AF90" s="57" t="n">
        <f aca="false">W90-AE90</f>
        <v>2.68181631804603E-005</v>
      </c>
      <c r="AG90" s="57" t="n">
        <f aca="false">M90-T90-U90-V90-AE90</f>
        <v>0.0227081687719979</v>
      </c>
      <c r="AH90" s="19" t="n">
        <f aca="false">Z90*c_stroke_fatal+AA90*c_stroke_major+AB90*c_stroke_minor+U90*c_ich+V90*c_major_bleed+AE90*c_mi_fatal+AF90*c_mi_nonfatal+X90*c_tia+Y90*c_minor_bleed</f>
        <v>8.581839324781</v>
      </c>
      <c r="AI90" s="57" t="n">
        <f aca="false">dt*(AF90*dec_mi+AD90*dec_major_bleed+Y90*dec_minor_bleed+X90*dec_tia)</f>
        <v>8.56281626235316E-006</v>
      </c>
      <c r="AJ90" s="57" t="n">
        <f aca="false">G90*L90+Z90+U90-AC90+V90-AD90+AE90</f>
        <v>0.00218268542607076</v>
      </c>
      <c r="AK90" s="57" t="n">
        <f aca="false">1-EXP(LN(1-E90)*hr_death_prior_stroke*dt)</f>
        <v>0.183434778849147</v>
      </c>
      <c r="AL90" s="57" t="n">
        <f aca="false">H90*(1-AK90)</f>
        <v>0.0020185261833337</v>
      </c>
      <c r="AM90" s="57" t="n">
        <f aca="false">(1-EXP(-r_stroke*F90*rr_stroke_prior*rr_asa_stroke*dt))</f>
        <v>0.0331127693891891</v>
      </c>
      <c r="AN90" s="57" t="n">
        <f aca="false">(1-EXP(-r_ich*rr_asa_ich*dt))</f>
        <v>0.00102357767802375</v>
      </c>
      <c r="AO90" s="57" t="n">
        <f aca="false">(1-EXP(-r_mb*rr_asa_mb*dt))</f>
        <v>0.00951809672747972</v>
      </c>
      <c r="AP90" s="57" t="n">
        <f aca="false">(1-EXP(-r_mi*rr_asa_mi*dt))</f>
        <v>0.00213413516393479</v>
      </c>
      <c r="AQ90" s="57" t="n">
        <f aca="false">(1-EXP(-r_tia*rr_asa_tia*dt))</f>
        <v>0.00312764565589152</v>
      </c>
      <c r="AR90" s="57" t="n">
        <f aca="false">(1-EXP(-r_minor*rr_asa_minor*dt))</f>
        <v>0.0278181950466747</v>
      </c>
      <c r="AS90" s="57" t="n">
        <f aca="false">AL90*AM90</f>
        <v>6.68389920147687E-005</v>
      </c>
      <c r="AT90" s="57" t="n">
        <f aca="false">AL90*AN90</f>
        <v>2.06611834376684E-006</v>
      </c>
      <c r="AU90" s="57" t="n">
        <f aca="false">AL90*AO90</f>
        <v>1.92125274599206E-005</v>
      </c>
      <c r="AV90" s="57" t="n">
        <f aca="false">AL90*AP90</f>
        <v>4.30780770717553E-006</v>
      </c>
      <c r="AW90" s="57" t="n">
        <f aca="false">AL90*AQ90</f>
        <v>6.31323464860693E-006</v>
      </c>
      <c r="AX90" s="57" t="n">
        <f aca="false">AL90*AR90</f>
        <v>5.61517550747967E-005</v>
      </c>
      <c r="AY90" s="57" t="n">
        <f aca="false">AS90*f_stroke_fatal_recur</f>
        <v>2.48701205387753E-005</v>
      </c>
      <c r="AZ90" s="57" t="n">
        <f aca="false">AS90*(1-f_stroke_fatal_recur)*f_stroke_major</f>
        <v>1.39756342015058E-005</v>
      </c>
      <c r="BA90" s="57" t="n">
        <f aca="false">AS90*(1-f_stroke_fatal_recur)*(1-f_stroke_major)</f>
        <v>2.79932372744876E-005</v>
      </c>
      <c r="BB90" s="57" t="n">
        <f aca="false">AT90*(1-f_bleed_fatal)</f>
        <v>1.89256440289043E-006</v>
      </c>
      <c r="BC90" s="57" t="n">
        <f aca="false">AU90*(1-f_bleed_fatal)</f>
        <v>1.75986751532873E-005</v>
      </c>
      <c r="BD90" s="57" t="n">
        <f aca="false">AV90*f_mi_fatal</f>
        <v>5.2124473256824E-007</v>
      </c>
      <c r="BE90" s="57" t="n">
        <f aca="false">AV90-BD90</f>
        <v>3.78656297460729E-006</v>
      </c>
      <c r="BF90" s="57" t="n">
        <f aca="false">AL90-AS90-AT90-AU90-BD90</f>
        <v>0.00192988730078267</v>
      </c>
      <c r="BG90" s="19" t="n">
        <f aca="false">AY90*c_stroke_fatal+AZ90*c_stroke_major+BA90*c_stroke_minor+AT90*c_ich+AU90*c_major_bleed+BD90*c_mi_fatal+BE90*c_mi_nonfatal+AW90*c_tia+AX90*c_minor_bleed</f>
        <v>2.57638337854125</v>
      </c>
      <c r="BH90" s="57" t="n">
        <f aca="false">dt*(BE90*dec_mi+BC90*dec_major_bleed+AX90*dec_minor_bleed+AW90*dec_tia)</f>
        <v>8.68158617676803E-007</v>
      </c>
      <c r="BI90" s="57" t="n">
        <f aca="false">H90*AK90+AY90+AT90-BB90+AU90-BC90+BD90</f>
        <v>0.000480624368331291</v>
      </c>
      <c r="BJ90" s="57" t="n">
        <f aca="false">1-EXP(LN(1-E90)*hr_death_prior_stroke*dt)</f>
        <v>0.183434778849147</v>
      </c>
      <c r="BK90" s="57" t="n">
        <f aca="false">I90*(1-BJ90)</f>
        <v>0.00108635471314846</v>
      </c>
      <c r="BL90" s="57" t="n">
        <f aca="false">(1-EXP(-r_stroke*F90*rr_stroke_prior*rr_asa_stroke*dt))</f>
        <v>0.0331127693891891</v>
      </c>
      <c r="BM90" s="57" t="n">
        <f aca="false">(1-EXP(-r_ich*rr_asa_ich*dt))</f>
        <v>0.00102357767802375</v>
      </c>
      <c r="BN90" s="57" t="n">
        <f aca="false">(1-EXP(-r_mb*rr_asa_mb*dt))</f>
        <v>0.00951809672747972</v>
      </c>
      <c r="BO90" s="57" t="n">
        <f aca="false">(1-EXP(-r_mi*rr_asa_mi*dt))</f>
        <v>0.00213413516393479</v>
      </c>
      <c r="BP90" s="57" t="n">
        <f aca="false">(1-EXP(-r_tia*rr_asa_tia*dt))</f>
        <v>0.00312764565589152</v>
      </c>
      <c r="BQ90" s="57" t="n">
        <f aca="false">(1-EXP(-r_minor*rr_asa_minor*dt))</f>
        <v>0.0278181950466747</v>
      </c>
      <c r="BR90" s="57" t="n">
        <f aca="false">BK90*BL90</f>
        <v>3.59722130913436E-005</v>
      </c>
      <c r="BS90" s="57" t="n">
        <f aca="false">BK90*BM90</f>
        <v>1.11196843479465E-006</v>
      </c>
      <c r="BT90" s="57" t="n">
        <f aca="false">BK90*BN90</f>
        <v>1.03400292401005E-005</v>
      </c>
      <c r="BU90" s="57" t="n">
        <f aca="false">BK90*BO90</f>
        <v>2.31842779383642E-006</v>
      </c>
      <c r="BV90" s="57" t="n">
        <f aca="false">BK90*BP90</f>
        <v>3.39773259933606E-006</v>
      </c>
      <c r="BW90" s="57" t="n">
        <f aca="false">BK90*BQ90</f>
        <v>3.02204273002382E-005</v>
      </c>
      <c r="BX90" s="57" t="n">
        <f aca="false">BR90*f_stroke_fatal_recur</f>
        <v>1.3384900769158E-005</v>
      </c>
      <c r="BY90" s="57" t="n">
        <f aca="false">BR90*(1-f_stroke_fatal_recur)*f_stroke_major</f>
        <v>7.52157500328778E-006</v>
      </c>
      <c r="BZ90" s="57" t="n">
        <f aca="false">BR90*(1-f_stroke_fatal_recur)*(1-f_stroke_major)</f>
        <v>1.50657373188977E-005</v>
      </c>
      <c r="CA90" s="57" t="n">
        <f aca="false">BS90*(1-f_bleed_fatal)</f>
        <v>1.0185630862719E-006</v>
      </c>
      <c r="CB90" s="57" t="n">
        <f aca="false">BT90*(1-f_bleed_fatal)</f>
        <v>9.47146678393207E-006</v>
      </c>
      <c r="CC90" s="57" t="n">
        <f aca="false">BU90*f_mi_fatal</f>
        <v>2.80529763054207E-007</v>
      </c>
      <c r="CD90" s="57" t="n">
        <f aca="false">BU90-CC90</f>
        <v>2.03789803078221E-006</v>
      </c>
      <c r="CE90" s="57" t="n">
        <f aca="false">BK90-BR90-BS90-BT90-CC90</f>
        <v>0.00103864997261917</v>
      </c>
      <c r="CF90" s="19" t="n">
        <f aca="false">BX90*c_stroke_fatal+BY90*c_stroke_major+BZ90*c_stroke_minor+BS90*c_ich+BT90*c_major_bleed+CC90*c_mi_fatal+CD90*c_mi_nonfatal+BV90*c_tia+BW90*c_minor_bleed</f>
        <v>1.38658901195583</v>
      </c>
      <c r="CG90" s="57" t="n">
        <f aca="false">dt*(CD90*dec_mi+CB90*dec_major_bleed+BW90*dec_minor_bleed+BV90*dec_tia)</f>
        <v>4.67236052651059E-007</v>
      </c>
      <c r="CH90" s="57" t="n">
        <f aca="false">I90*BJ90+BX90+BS90-CA90+BT90-CB90+CC90</f>
        <v>0.00025866820658644</v>
      </c>
      <c r="CI90" s="57" t="n">
        <f aca="false">1-EXP(LN(1-E90)*dt)</f>
        <v>0.0843380562700268</v>
      </c>
      <c r="CJ90" s="57" t="n">
        <f aca="false">J90*(1-CI90)</f>
        <v>0.0118679607176748</v>
      </c>
      <c r="CK90" s="57" t="n">
        <f aca="false">(1-EXP(-r_stroke*F90*rr_asa_stroke*dt))</f>
        <v>0.0151895516905537</v>
      </c>
      <c r="CL90" s="57" t="n">
        <f aca="false">(1-EXP(-r_ich*rr_asa_ich*dt))</f>
        <v>0.00102357767802375</v>
      </c>
      <c r="CM90" s="57" t="n">
        <f aca="false">(1-EXP(-r_mb*rr_asa_mb*dt))</f>
        <v>0.00951809672747972</v>
      </c>
      <c r="CN90" s="57" t="n">
        <f aca="false">(1-EXP(-r_mi*rr_asa_mi*dt))</f>
        <v>0.00213413516393479</v>
      </c>
      <c r="CO90" s="57" t="n">
        <f aca="false">(1-EXP(-r_tia*rr_asa_tia*dt))</f>
        <v>0.00312764565589152</v>
      </c>
      <c r="CP90" s="57" t="n">
        <f aca="false">(1-EXP(-r_minor*rr_asa_minor*dt))</f>
        <v>0.0278181950466747</v>
      </c>
      <c r="CQ90" s="57" t="n">
        <f aca="false">CJ90*CK90</f>
        <v>0.000180269002782583</v>
      </c>
      <c r="CR90" s="57" t="n">
        <f aca="false">CJ90*CL90</f>
        <v>1.21477796742746E-005</v>
      </c>
      <c r="CS90" s="57" t="n">
        <f aca="false">CJ90*CM90</f>
        <v>0.000112960398068759</v>
      </c>
      <c r="CT90" s="57" t="n">
        <f aca="false">CJ90*CN90</f>
        <v>2.53278322917867E-005</v>
      </c>
      <c r="CU90" s="57" t="n">
        <f aca="false">CJ90*CO90</f>
        <v>3.71187757829269E-005</v>
      </c>
      <c r="CV90" s="57" t="n">
        <f aca="false">CJ90*CP90</f>
        <v>0.000330145246050552</v>
      </c>
      <c r="CW90" s="57" t="n">
        <f aca="false">CQ90*f_stroke_fatal</f>
        <v>4.27237536594721E-005</v>
      </c>
      <c r="CX90" s="57" t="n">
        <f aca="false">CQ90*(1-f_stroke_fatal)*f_stroke_major</f>
        <v>4.58025679579958E-005</v>
      </c>
      <c r="CY90" s="57" t="n">
        <f aca="false">CQ90*(1-f_stroke_fatal)*(1-f_stroke_major)</f>
        <v>9.17426811651148E-005</v>
      </c>
      <c r="CZ90" s="57" t="n">
        <f aca="false">CR90*(1-f_bleed_fatal)</f>
        <v>1.11273661816356E-005</v>
      </c>
      <c r="DA90" s="57" t="n">
        <f aca="false">CS90*(1-f_bleed_fatal)</f>
        <v>0.000103471724630983</v>
      </c>
      <c r="DB90" s="57" t="n">
        <f aca="false">CT90*f_mi_fatal</f>
        <v>3.06466770730619E-006</v>
      </c>
      <c r="DC90" s="57" t="n">
        <f aca="false">CT90-DB90</f>
        <v>2.22631645844805E-005</v>
      </c>
      <c r="DD90" s="57" t="n">
        <f aca="false">CJ90-CQ90-CR90-CS90-DB90</f>
        <v>0.0115595188694419</v>
      </c>
      <c r="DE90" s="19" t="n">
        <f aca="false">CW90*c_stroke_fatal+CX90*c_stroke_major+CY90*c_stroke_minor+CR90*c_ich+CS90*c_major_bleed+DB90*c_mi_fatal+DC90*c_mi_nonfatal+CU90*c_tia+CV90*c_minor_bleed</f>
        <v>8.25863145637048</v>
      </c>
      <c r="DF90" s="57" t="n">
        <f aca="false">dt*(DC90*dec_mi+DA90*dec_major_bleed+CV90*dec_minor_bleed+CU90*dec_tia)</f>
        <v>5.10435408585229E-006</v>
      </c>
      <c r="DG90" s="57" t="n">
        <f aca="false">J90*CI90+CW90+CR90-CZ90+CS90-DA90+DB90</f>
        <v>0.00114940915902328</v>
      </c>
      <c r="DH90" s="57" t="n">
        <f aca="false">AG90</f>
        <v>0.0227081687719979</v>
      </c>
      <c r="DI90" s="57" t="n">
        <f aca="false">AB90+AC90+BF90+BA90+BB90+BC90+CY90+CZ90</f>
        <v>0.00218540336147822</v>
      </c>
      <c r="DJ90" s="57" t="n">
        <f aca="false">AA90+AZ90+BY90+CX90+CE90+BZ90+CA90+CB90</f>
        <v>0.00117511310469372</v>
      </c>
      <c r="DK90" s="57" t="n">
        <f aca="false">AD90+DD90+DA90</f>
        <v>0.0118043810153129</v>
      </c>
      <c r="DL90" s="57" t="n">
        <f aca="false">K90+AJ90+BI90+CH90+DG90</f>
        <v>0.962126933746517</v>
      </c>
      <c r="DM90" s="58" t="n">
        <f aca="false">SUM(DH90:DL90)</f>
        <v>1</v>
      </c>
      <c r="DN90" s="19" t="n">
        <f aca="false">dt*(G90*Apixaban!$H$2+(H90+I90+J90)*c_aspirin)</f>
        <v>2.04171315927825</v>
      </c>
      <c r="DO90" s="19" t="n">
        <f aca="false">dt*(H90*c_lt_minor_stroke+I90*c_lt_major_stroke)</f>
        <v>15.3682440065483</v>
      </c>
      <c r="DP90" s="19" t="n">
        <f aca="false">AH90+BG90+CF90+DE90</f>
        <v>20.8034431716486</v>
      </c>
      <c r="DQ90" s="19" t="n">
        <f aca="false">DN90+DO90+DP90</f>
        <v>38.2134003374751</v>
      </c>
      <c r="DR90" s="57" t="n">
        <f aca="false">dt*(G90*(u_af-dec_per_year_over_70*MAX(B90-ref_age,0))+H90*(u_minor_stroke-dec_per_year_over_70*MAX(B90-ref_age,0))+I90*(u_major_stroke-dec_per_year_over_70*MAX(B90-ref_age,0))+J90*(u_af-dec_per_year_over_70*MAX(B90-ref_age,0)))-AI90-BH90-CG90-DF90</f>
        <v>0.00821902653871103</v>
      </c>
      <c r="DS90" s="57" t="n">
        <f aca="false">dt*(G90+H90+I90+J90)</f>
        <v>0.0104861133533736</v>
      </c>
      <c r="DT90" s="19" t="n">
        <f aca="false">DQ90*C90</f>
        <v>27.9530239707563</v>
      </c>
      <c r="DU90" s="19" t="n">
        <f aca="false">DN90*C90</f>
        <v>1.49350898843576</v>
      </c>
      <c r="DV90" s="19" t="n">
        <f aca="false">DP90*C90</f>
        <v>15.2176760119689</v>
      </c>
      <c r="DW90" s="19" t="n">
        <f aca="false">DO90*C90</f>
        <v>11.2418389703516</v>
      </c>
      <c r="DX90" s="57" t="n">
        <f aca="false">DR90*C90</f>
        <v>0.00601220105575277</v>
      </c>
      <c r="DY90" s="57" t="n">
        <f aca="false">DS90*C90</f>
        <v>0.00767057041085834</v>
      </c>
      <c r="DZ90" s="57" t="n">
        <f aca="false">T90+AS90+BR90+CQ90</f>
        <v>0.000454710243124427</v>
      </c>
      <c r="EA90" s="57" t="n">
        <f aca="false">U90+AT90+BS90+CR90</f>
        <v>3.4775001120875E-005</v>
      </c>
      <c r="EB90" s="57" t="n">
        <f aca="false">V90+AU90+BT90+CS90</f>
        <v>0.000296869309834325</v>
      </c>
      <c r="EC90" s="57" t="n">
        <f aca="false">G90*dt*C90</f>
        <v>0.00460496497671718</v>
      </c>
    </row>
    <row r="91" customFormat="false" ht="15" hidden="false" customHeight="false" outlineLevel="0" collapsed="false">
      <c r="A91" s="8" t="n">
        <v>85</v>
      </c>
      <c r="B91" s="54" t="n">
        <f aca="false">start_age+A91*dt</f>
        <v>91.25</v>
      </c>
      <c r="C91" s="16" t="n">
        <f aca="false">(1+disc_rate)^-(A91*dt)</f>
        <v>0.728780262573475</v>
      </c>
      <c r="D91" s="55" t="n">
        <f aca="false">IF(A91*dt&gt;=wane_start,(1-wane_decay)^(A91*dt-wane_start),1)</f>
        <v>1</v>
      </c>
      <c r="E91" s="25" t="n">
        <f aca="false">MIN(p_nonvasc_death*MIN(EXP(gomp_int+gomp_slope*INT(B91)),1)/qx_ref,0.999)</f>
        <v>0.297023740462546</v>
      </c>
      <c r="F91" s="55" t="n">
        <f aca="false">rr_stroke_per_decade^((B91-ref_age)/10)</f>
        <v>2.36697638739445</v>
      </c>
      <c r="G91" s="57" t="n">
        <f aca="false">DH90</f>
        <v>0.0227081687719979</v>
      </c>
      <c r="H91" s="57" t="n">
        <f aca="false">DI90</f>
        <v>0.00218540336147822</v>
      </c>
      <c r="I91" s="57" t="n">
        <f aca="false">DJ90</f>
        <v>0.00117511310469372</v>
      </c>
      <c r="J91" s="57" t="n">
        <f aca="false">DK90</f>
        <v>0.0118043810153129</v>
      </c>
      <c r="K91" s="57" t="n">
        <f aca="false">DL90</f>
        <v>0.962126933746517</v>
      </c>
      <c r="L91" s="57" t="n">
        <f aca="false">1-EXP(LN(1-E91)*dt)</f>
        <v>0.0843380562700268</v>
      </c>
      <c r="M91" s="57" t="n">
        <f aca="false">G91*(1-L91)</f>
        <v>0.0207930059563159</v>
      </c>
      <c r="N91" s="57" t="n">
        <f aca="false">IF(Apixaban!$B$2=1,EXP(LN(or_apx_stroke)*D91)*(1-EXP(-r_stroke*F91*dt))/(1-(1-EXP(-r_stroke*F91*dt))+EXP(LN(or_apx_stroke)*D91)*(1-EXP(-r_stroke*F91*dt))),(1-EXP(-r_stroke*F91*dt)))</f>
        <v>0.00751925896565901</v>
      </c>
      <c r="O91" s="57" t="n">
        <f aca="false">IF(Apixaban!$B$2=1,EXP(LN(or_apx_ich)*D91)*(1-EXP(-r_ich*dt))/(1-(1-EXP(-r_ich*dt))+EXP(LN(or_apx_ich)*D91)*(1-EXP(-r_ich*dt))),(1-EXP(-r_ich*dt)))</f>
        <v>0.000843513249640701</v>
      </c>
      <c r="P91" s="57" t="n">
        <f aca="false">IF(Apixaban!$B$2=1,EXP(LN(or_apx_mb)*D91)*(1-EXP(-r_mb*dt))/(1-(1-EXP(-r_mb*dt))+EXP(LN(or_apx_mb)*D91)*(1-EXP(-r_mb*dt))),(1-EXP(-r_mb*dt)))</f>
        <v>0.00669446907979895</v>
      </c>
      <c r="Q91" s="57" t="n">
        <f aca="false">IF(Apixaban!$B$2=1,EXP(LN(or_apx_mi)*D91)*(1-EXP(-r_mi*dt))/(1-(1-EXP(-r_mi*dt))+EXP(LN(or_apx_mi)*D91)*(1-EXP(-r_mi*dt))),(1-EXP(-r_mi*dt)))</f>
        <v>0.00132321915530843</v>
      </c>
      <c r="R91" s="57" t="n">
        <f aca="false">(1-EXP(-r_tia*dt))</f>
        <v>0.0020060281549299</v>
      </c>
      <c r="S91" s="57" t="n">
        <f aca="false">(1-EXP(-r_minor*dt))</f>
        <v>0.0437937690785545</v>
      </c>
      <c r="T91" s="57" t="n">
        <f aca="false">M91*N91</f>
        <v>0.000156347996460029</v>
      </c>
      <c r="U91" s="57" t="n">
        <f aca="false">M91*O91</f>
        <v>1.75391760240105E-005</v>
      </c>
      <c r="V91" s="57" t="n">
        <f aca="false">M91*P91</f>
        <v>0.000139198135450632</v>
      </c>
      <c r="W91" s="57" t="n">
        <f aca="false">M91*Q91</f>
        <v>2.75137037778394E-005</v>
      </c>
      <c r="X91" s="57" t="n">
        <f aca="false">M91*R91</f>
        <v>4.17113553739947E-005</v>
      </c>
      <c r="Y91" s="57" t="n">
        <f aca="false">M91*S91</f>
        <v>0.000910604101299906</v>
      </c>
      <c r="Z91" s="57" t="n">
        <f aca="false">T91*f_stroke_fatal</f>
        <v>3.7054475161027E-005</v>
      </c>
      <c r="AA91" s="57" t="n">
        <f aca="false">T91*(1-f_stroke_fatal)*f_stroke_major</f>
        <v>3.97247425925678E-005</v>
      </c>
      <c r="AB91" s="57" t="n">
        <f aca="false">T91*(1-f_stroke_fatal)*(1-f_stroke_major)</f>
        <v>7.95687787064346E-005</v>
      </c>
      <c r="AC91" s="57" t="n">
        <f aca="false">U91*(1-f_bleed_fatal)</f>
        <v>1.60658852379936E-005</v>
      </c>
      <c r="AD91" s="57" t="n">
        <f aca="false">V91*(1-f_bleed_fatal)</f>
        <v>0.000127505492072779</v>
      </c>
      <c r="AE91" s="57" t="n">
        <f aca="false">W91*f_mi_fatal</f>
        <v>3.32915815711857E-006</v>
      </c>
      <c r="AF91" s="57" t="n">
        <f aca="false">W91-AE91</f>
        <v>2.41845456207209E-005</v>
      </c>
      <c r="AG91" s="57" t="n">
        <f aca="false">M91-T91-U91-V91-AE91</f>
        <v>0.0204765914902241</v>
      </c>
      <c r="AH91" s="19" t="n">
        <f aca="false">Z91*c_stroke_fatal+AA91*c_stroke_major+AB91*c_stroke_minor+U91*c_ich+V91*c_major_bleed+AE91*c_mi_fatal+AF91*c_mi_nonfatal+X91*c_tia+Y91*c_minor_bleed</f>
        <v>7.79717933556699</v>
      </c>
      <c r="AI91" s="57" t="n">
        <f aca="false">dt*(AF91*dec_mi+AD91*dec_major_bleed+Y91*dec_minor_bleed+X91*dec_tia)</f>
        <v>7.7219240984265E-006</v>
      </c>
      <c r="AJ91" s="57" t="n">
        <f aca="false">G91*L91+Z91+U91-AC91+V91-AD91+AE91</f>
        <v>0.00196871238316404</v>
      </c>
      <c r="AK91" s="57" t="n">
        <f aca="false">1-EXP(LN(1-E91)*hr_death_prior_stroke*dt)</f>
        <v>0.183434778849147</v>
      </c>
      <c r="AL91" s="57" t="n">
        <f aca="false">H91*(1-AK91)</f>
        <v>0.00178452437916928</v>
      </c>
      <c r="AM91" s="57" t="n">
        <f aca="false">(1-EXP(-r_stroke*F91*rr_stroke_prior*rr_asa_stroke*dt))</f>
        <v>0.0334444231297811</v>
      </c>
      <c r="AN91" s="57" t="n">
        <f aca="false">(1-EXP(-r_ich*rr_asa_ich*dt))</f>
        <v>0.00102357767802375</v>
      </c>
      <c r="AO91" s="57" t="n">
        <f aca="false">(1-EXP(-r_mb*rr_asa_mb*dt))</f>
        <v>0.00951809672747972</v>
      </c>
      <c r="AP91" s="57" t="n">
        <f aca="false">(1-EXP(-r_mi*rr_asa_mi*dt))</f>
        <v>0.00213413516393479</v>
      </c>
      <c r="AQ91" s="57" t="n">
        <f aca="false">(1-EXP(-r_tia*rr_asa_tia*dt))</f>
        <v>0.00312764565589152</v>
      </c>
      <c r="AR91" s="57" t="n">
        <f aca="false">(1-EXP(-r_minor*rr_asa_minor*dt))</f>
        <v>0.0278181950466747</v>
      </c>
      <c r="AS91" s="57" t="n">
        <f aca="false">AL91*AM91</f>
        <v>5.96823884223474E-005</v>
      </c>
      <c r="AT91" s="57" t="n">
        <f aca="false">AL91*AN91</f>
        <v>1.82659932040686E-006</v>
      </c>
      <c r="AU91" s="57" t="n">
        <f aca="false">AL91*AO91</f>
        <v>1.69852756534789E-005</v>
      </c>
      <c r="AV91" s="57" t="n">
        <f aca="false">AL91*AP91</f>
        <v>3.80841622848406E-006</v>
      </c>
      <c r="AW91" s="57" t="n">
        <f aca="false">AL91*AQ91</f>
        <v>5.58135992234131E-006</v>
      </c>
      <c r="AX91" s="57" t="n">
        <f aca="false">AL91*AR91</f>
        <v>4.96422472452771E-005</v>
      </c>
      <c r="AY91" s="57" t="n">
        <f aca="false">AS91*f_stroke_fatal_recur</f>
        <v>2.22072199080712E-005</v>
      </c>
      <c r="AZ91" s="57" t="n">
        <f aca="false">AS91*(1-f_stroke_fatal_recur)*f_stroke_major</f>
        <v>1.2479231115254E-005</v>
      </c>
      <c r="BA91" s="57" t="n">
        <f aca="false">AS91*(1-f_stroke_fatal_recur)*(1-f_stroke_major)</f>
        <v>2.49959373990222E-005</v>
      </c>
      <c r="BB91" s="57" t="n">
        <f aca="false">AT91*(1-f_bleed_fatal)</f>
        <v>1.67316497749268E-006</v>
      </c>
      <c r="BC91" s="57" t="n">
        <f aca="false">AU91*(1-f_bleed_fatal)</f>
        <v>1.55585124985867E-005</v>
      </c>
      <c r="BD91" s="57" t="n">
        <f aca="false">AV91*f_mi_fatal</f>
        <v>4.60818363646572E-007</v>
      </c>
      <c r="BE91" s="57" t="n">
        <f aca="false">AV91-BD91</f>
        <v>3.34759786483749E-006</v>
      </c>
      <c r="BF91" s="57" t="n">
        <f aca="false">AL91-AS91-AT91-AU91-BD91</f>
        <v>0.0017055692974094</v>
      </c>
      <c r="BG91" s="19" t="n">
        <f aca="false">AY91*c_stroke_fatal+AZ91*c_stroke_major+BA91*c_stroke_minor+AT91*c_ich+AU91*c_major_bleed+BD91*c_mi_fatal+BE91*c_mi_nonfatal+AW91*c_tia+AX91*c_minor_bleed</f>
        <v>2.29811729658938</v>
      </c>
      <c r="BH91" s="57" t="n">
        <f aca="false">dt*(BE91*dec_mi+BC91*dec_major_bleed+AX91*dec_minor_bleed+AW91*dec_tia)</f>
        <v>7.67515542291104E-007</v>
      </c>
      <c r="BI91" s="57" t="n">
        <f aca="false">H91*AK91+AY91+AT91-BB91+AU91-BC91+BD91</f>
        <v>0.000425127218078462</v>
      </c>
      <c r="BJ91" s="57" t="n">
        <f aca="false">1-EXP(LN(1-E91)*hr_death_prior_stroke*dt)</f>
        <v>0.183434778849147</v>
      </c>
      <c r="BK91" s="57" t="n">
        <f aca="false">I91*(1-BJ91)</f>
        <v>0.000959556492211491</v>
      </c>
      <c r="BL91" s="57" t="n">
        <f aca="false">(1-EXP(-r_stroke*F91*rr_stroke_prior*rr_asa_stroke*dt))</f>
        <v>0.0334444231297811</v>
      </c>
      <c r="BM91" s="57" t="n">
        <f aca="false">(1-EXP(-r_ich*rr_asa_ich*dt))</f>
        <v>0.00102357767802375</v>
      </c>
      <c r="BN91" s="57" t="n">
        <f aca="false">(1-EXP(-r_mb*rr_asa_mb*dt))</f>
        <v>0.00951809672747972</v>
      </c>
      <c r="BO91" s="57" t="n">
        <f aca="false">(1-EXP(-r_mi*rr_asa_mi*dt))</f>
        <v>0.00213413516393479</v>
      </c>
      <c r="BP91" s="57" t="n">
        <f aca="false">(1-EXP(-r_tia*rr_asa_tia*dt))</f>
        <v>0.00312764565589152</v>
      </c>
      <c r="BQ91" s="57" t="n">
        <f aca="false">(1-EXP(-r_minor*rr_asa_minor*dt))</f>
        <v>0.0278181950466747</v>
      </c>
      <c r="BR91" s="57" t="n">
        <f aca="false">BK91*BL91</f>
        <v>3.20918133424496E-005</v>
      </c>
      <c r="BS91" s="57" t="n">
        <f aca="false">BK91*BM91</f>
        <v>9.82180606230448E-007</v>
      </c>
      <c r="BT91" s="57" t="n">
        <f aca="false">BK91*BN91</f>
        <v>9.13315150835011E-006</v>
      </c>
      <c r="BU91" s="57" t="n">
        <f aca="false">BK91*BO91</f>
        <v>2.04782325181046E-006</v>
      </c>
      <c r="BV91" s="57" t="n">
        <f aca="false">BK91*BP91</f>
        <v>3.00115269444777E-006</v>
      </c>
      <c r="BW91" s="57" t="n">
        <f aca="false">BK91*BQ91</f>
        <v>2.66931296586423E-005</v>
      </c>
      <c r="BX91" s="57" t="n">
        <f aca="false">BR91*f_stroke_fatal_recur</f>
        <v>1.19410428265921E-005</v>
      </c>
      <c r="BY91" s="57" t="n">
        <f aca="false">BR91*(1-f_stroke_fatal_recur)*f_stroke_major</f>
        <v>6.71020658178056E-006</v>
      </c>
      <c r="BZ91" s="57" t="n">
        <f aca="false">BR91*(1-f_stroke_fatal_recur)*(1-f_stroke_major)</f>
        <v>1.3440563934077E-005</v>
      </c>
      <c r="CA91" s="57" t="n">
        <f aca="false">BS91*(1-f_bleed_fatal)</f>
        <v>8.99677435307091E-007</v>
      </c>
      <c r="CB91" s="57" t="n">
        <f aca="false">BT91*(1-f_bleed_fatal)</f>
        <v>8.3659667816487E-006</v>
      </c>
      <c r="CC91" s="57" t="n">
        <f aca="false">BU91*f_mi_fatal</f>
        <v>2.47786613469066E-007</v>
      </c>
      <c r="CD91" s="57" t="n">
        <f aca="false">BU91-CC91</f>
        <v>1.8000366383414E-006</v>
      </c>
      <c r="CE91" s="57" t="n">
        <f aca="false">BK91-BR91-BS91-BT91-CC91</f>
        <v>0.000917101560140992</v>
      </c>
      <c r="CF91" s="19" t="n">
        <f aca="false">BX91*c_stroke_fatal+BY91*c_stroke_major+BZ91*c_stroke_minor+BS91*c_ich+BT91*c_major_bleed+CC91*c_mi_fatal+CD91*c_mi_nonfatal+BV91*c_tia+BW91*c_minor_bleed</f>
        <v>1.23572050768642</v>
      </c>
      <c r="CG91" s="57" t="n">
        <f aca="false">dt*(CD91*dec_mi+CB91*dec_major_bleed+BW91*dec_minor_bleed+BV91*dec_tia)</f>
        <v>4.12700734198706E-007</v>
      </c>
      <c r="CH91" s="57" t="n">
        <f aca="false">I91*BJ91+BX91+BS91-CA91+BT91-CB91+CC91</f>
        <v>0.000228595129819912</v>
      </c>
      <c r="CI91" s="57" t="n">
        <f aca="false">1-EXP(LN(1-E91)*dt)</f>
        <v>0.0843380562700268</v>
      </c>
      <c r="CJ91" s="57" t="n">
        <f aca="false">J91*(1-CI91)</f>
        <v>0.0108088224650106</v>
      </c>
      <c r="CK91" s="57" t="n">
        <f aca="false">(1-EXP(-r_stroke*F91*rr_asa_stroke*dt))</f>
        <v>0.01534311224621</v>
      </c>
      <c r="CL91" s="57" t="n">
        <f aca="false">(1-EXP(-r_ich*rr_asa_ich*dt))</f>
        <v>0.00102357767802375</v>
      </c>
      <c r="CM91" s="57" t="n">
        <f aca="false">(1-EXP(-r_mb*rr_asa_mb*dt))</f>
        <v>0.00951809672747972</v>
      </c>
      <c r="CN91" s="57" t="n">
        <f aca="false">(1-EXP(-r_mi*rr_asa_mi*dt))</f>
        <v>0.00213413516393479</v>
      </c>
      <c r="CO91" s="57" t="n">
        <f aca="false">(1-EXP(-r_tia*rr_asa_tia*dt))</f>
        <v>0.00312764565589152</v>
      </c>
      <c r="CP91" s="57" t="n">
        <f aca="false">(1-EXP(-r_minor*rr_asa_minor*dt))</f>
        <v>0.0278181950466747</v>
      </c>
      <c r="CQ91" s="57" t="n">
        <f aca="false">CJ91*CK91</f>
        <v>0.000165840976330014</v>
      </c>
      <c r="CR91" s="57" t="n">
        <f aca="false">CJ91*CL91</f>
        <v>1.10636694009065E-005</v>
      </c>
      <c r="CS91" s="57" t="n">
        <f aca="false">CJ91*CM91</f>
        <v>0.000102879417732127</v>
      </c>
      <c r="CT91" s="57" t="n">
        <f aca="false">CJ91*CN91</f>
        <v>2.30674881033075E-005</v>
      </c>
      <c r="CU91" s="57" t="n">
        <f aca="false">CJ91*CO91</f>
        <v>3.38061666279932E-005</v>
      </c>
      <c r="CV91" s="57" t="n">
        <f aca="false">CJ91*CP91</f>
        <v>0.000300681931556545</v>
      </c>
      <c r="CW91" s="57" t="n">
        <f aca="false">CQ91*f_stroke_fatal</f>
        <v>3.93043113902134E-005</v>
      </c>
      <c r="CX91" s="57" t="n">
        <f aca="false">CQ91*(1-f_stroke_fatal)*f_stroke_major</f>
        <v>4.21367094249537E-005</v>
      </c>
      <c r="CY91" s="57" t="n">
        <f aca="false">CQ91*(1-f_stroke_fatal)*(1-f_stroke_major)</f>
        <v>8.43999555148473E-005</v>
      </c>
      <c r="CZ91" s="57" t="n">
        <f aca="false">CR91*(1-f_bleed_fatal)</f>
        <v>1.01343211712303E-005</v>
      </c>
      <c r="DA91" s="57" t="n">
        <f aca="false">CS91*(1-f_bleed_fatal)</f>
        <v>9.42375466426284E-005</v>
      </c>
      <c r="DB91" s="57" t="n">
        <f aca="false">CT91*f_mi_fatal</f>
        <v>2.79116606050021E-006</v>
      </c>
      <c r="DC91" s="57" t="n">
        <f aca="false">CT91-DB91</f>
        <v>2.02763220428073E-005</v>
      </c>
      <c r="DD91" s="57" t="n">
        <f aca="false">CJ91-CQ91-CR91-CS91-DB91</f>
        <v>0.0105262472354871</v>
      </c>
      <c r="DE91" s="19" t="n">
        <f aca="false">CW91*c_stroke_fatal+CX91*c_stroke_major+CY91*c_stroke_minor+CR91*c_ich+CS91*c_major_bleed+DB91*c_mi_fatal+DC91*c_mi_nonfatal+CU91*c_tia+CV91*c_minor_bleed</f>
        <v>7.58292835153484</v>
      </c>
      <c r="DF91" s="57" t="n">
        <f aca="false">dt*(DC91*dec_mi+DA91*dec_major_bleed+CV91*dec_minor_bleed+CU91*dec_tia)</f>
        <v>4.64882370484778E-006</v>
      </c>
      <c r="DG91" s="57" t="n">
        <f aca="false">J91*CI91+CW91+CR91-CZ91+CS91-DA91+DB91</f>
        <v>0.00104722524707219</v>
      </c>
      <c r="DH91" s="57" t="n">
        <f aca="false">AG91</f>
        <v>0.0204765914902241</v>
      </c>
      <c r="DI91" s="57" t="n">
        <f aca="false">AB91+AC91+BF91+BA91+BB91+BC91+CY91+CZ91</f>
        <v>0.00193796585291501</v>
      </c>
      <c r="DJ91" s="57" t="n">
        <f aca="false">AA91+AZ91+BY91+CX91+CE91+BZ91+CA91+CB91</f>
        <v>0.00104085865800658</v>
      </c>
      <c r="DK91" s="57" t="n">
        <f aca="false">AD91+DD91+DA91</f>
        <v>0.0107479902742025</v>
      </c>
      <c r="DL91" s="57" t="n">
        <f aca="false">K91+AJ91+BI91+CH91+DG91</f>
        <v>0.965796593724651</v>
      </c>
      <c r="DM91" s="58" t="n">
        <f aca="false">SUM(DH91:DL91)</f>
        <v>1</v>
      </c>
      <c r="DN91" s="19" t="n">
        <f aca="false">dt*(G91*Apixaban!$H$2+(H91+I91+J91)*c_aspirin)</f>
        <v>1.84167659451842</v>
      </c>
      <c r="DO91" s="19" t="n">
        <f aca="false">dt*(H91*c_lt_minor_stroke+I91*c_lt_major_stroke)</f>
        <v>13.5797702668714</v>
      </c>
      <c r="DP91" s="19" t="n">
        <f aca="false">AH91+BG91+CF91+DE91</f>
        <v>18.9139454913776</v>
      </c>
      <c r="DQ91" s="19" t="n">
        <f aca="false">DN91+DO91+DP91</f>
        <v>34.3353923527674</v>
      </c>
      <c r="DR91" s="57" t="n">
        <f aca="false">dt*(G91*(u_af-dec_per_year_over_70*MAX(B91-ref_age,0))+H91*(u_minor_stroke-dec_per_year_over_70*MAX(B91-ref_age,0))+I91*(u_major_stroke-dec_per_year_over_70*MAX(B91-ref_age,0))+J91*(u_af-dec_per_year_over_70*MAX(B91-ref_age,0)))-AI91-BH91-CG91-DF91</f>
        <v>0.00742436596008636</v>
      </c>
      <c r="DS91" s="57" t="n">
        <f aca="false">dt*(G91+H91+I91+J91)</f>
        <v>0.0094682665633707</v>
      </c>
      <c r="DT91" s="19" t="n">
        <f aca="false">DQ91*C91</f>
        <v>25.0229562544131</v>
      </c>
      <c r="DU91" s="19" t="n">
        <f aca="false">DN91*C91</f>
        <v>1.34217755212856</v>
      </c>
      <c r="DV91" s="19" t="n">
        <f aca="false">DP91*C91</f>
        <v>13.7841101615066</v>
      </c>
      <c r="DW91" s="19" t="n">
        <f aca="false">DO91*C91</f>
        <v>9.89666854077799</v>
      </c>
      <c r="DX91" s="57" t="n">
        <f aca="false">DR91*C91</f>
        <v>0.00541073137383331</v>
      </c>
      <c r="DY91" s="57" t="n">
        <f aca="false">DS91*C91</f>
        <v>0.00690028579216895</v>
      </c>
      <c r="DZ91" s="57" t="n">
        <f aca="false">T91+AS91+BR91+CQ91</f>
        <v>0.000413963174554841</v>
      </c>
      <c r="EA91" s="57" t="n">
        <f aca="false">U91+AT91+BS91+CR91</f>
        <v>3.14116253515543E-005</v>
      </c>
      <c r="EB91" s="57" t="n">
        <f aca="false">V91+AU91+BT91+CS91</f>
        <v>0.000268195980344588</v>
      </c>
      <c r="EC91" s="57" t="n">
        <f aca="false">G91*dt*C91</f>
        <v>0.00413731630005486</v>
      </c>
    </row>
    <row r="92" customFormat="false" ht="15" hidden="false" customHeight="false" outlineLevel="0" collapsed="false">
      <c r="A92" s="8" t="n">
        <v>86</v>
      </c>
      <c r="B92" s="54" t="n">
        <f aca="false">start_age+A92*dt</f>
        <v>91.5</v>
      </c>
      <c r="C92" s="16" t="n">
        <f aca="false">(1+disc_rate)^-(A92*dt)</f>
        <v>0.726072673000338</v>
      </c>
      <c r="D92" s="55" t="n">
        <f aca="false">IF(A92*dt&gt;=wane_start,(1-wane_decay)^(A92*dt-wane_start),1)</f>
        <v>1</v>
      </c>
      <c r="E92" s="25" t="n">
        <f aca="false">MIN(p_nonvasc_death*MIN(EXP(gomp_int+gomp_slope*INT(B92)),1)/qx_ref,0.999)</f>
        <v>0.297023740462546</v>
      </c>
      <c r="F92" s="55" t="n">
        <f aca="false">rr_stroke_per_decade^((B92-ref_age)/10)</f>
        <v>2.39109156260281</v>
      </c>
      <c r="G92" s="57" t="n">
        <f aca="false">DH91</f>
        <v>0.0204765914902241</v>
      </c>
      <c r="H92" s="57" t="n">
        <f aca="false">DI91</f>
        <v>0.00193796585291501</v>
      </c>
      <c r="I92" s="57" t="n">
        <f aca="false">DJ91</f>
        <v>0.00104085865800658</v>
      </c>
      <c r="J92" s="57" t="n">
        <f aca="false">DK91</f>
        <v>0.0107479902742025</v>
      </c>
      <c r="K92" s="57" t="n">
        <f aca="false">DL91</f>
        <v>0.965796593724651</v>
      </c>
      <c r="L92" s="57" t="n">
        <f aca="false">1-EXP(LN(1-E92)*dt)</f>
        <v>0.0843380562700268</v>
      </c>
      <c r="M92" s="57" t="n">
        <f aca="false">G92*(1-L92)</f>
        <v>0.0187496355649032</v>
      </c>
      <c r="N92" s="57" t="n">
        <f aca="false">IF(Apixaban!$B$2=1,EXP(LN(or_apx_stroke)*D92)*(1-EXP(-r_stroke*F92*dt))/(1-(1-EXP(-r_stroke*F92*dt))+EXP(LN(or_apx_stroke)*D92)*(1-EXP(-r_stroke*F92*dt))),(1-EXP(-r_stroke*F92*dt)))</f>
        <v>0.00759565172879436</v>
      </c>
      <c r="O92" s="57" t="n">
        <f aca="false">IF(Apixaban!$B$2=1,EXP(LN(or_apx_ich)*D92)*(1-EXP(-r_ich*dt))/(1-(1-EXP(-r_ich*dt))+EXP(LN(or_apx_ich)*D92)*(1-EXP(-r_ich*dt))),(1-EXP(-r_ich*dt)))</f>
        <v>0.000843513249640701</v>
      </c>
      <c r="P92" s="57" t="n">
        <f aca="false">IF(Apixaban!$B$2=1,EXP(LN(or_apx_mb)*D92)*(1-EXP(-r_mb*dt))/(1-(1-EXP(-r_mb*dt))+EXP(LN(or_apx_mb)*D92)*(1-EXP(-r_mb*dt))),(1-EXP(-r_mb*dt)))</f>
        <v>0.00669446907979895</v>
      </c>
      <c r="Q92" s="57" t="n">
        <f aca="false">IF(Apixaban!$B$2=1,EXP(LN(or_apx_mi)*D92)*(1-EXP(-r_mi*dt))/(1-(1-EXP(-r_mi*dt))+EXP(LN(or_apx_mi)*D92)*(1-EXP(-r_mi*dt))),(1-EXP(-r_mi*dt)))</f>
        <v>0.00132321915530843</v>
      </c>
      <c r="R92" s="57" t="n">
        <f aca="false">(1-EXP(-r_tia*dt))</f>
        <v>0.0020060281549299</v>
      </c>
      <c r="S92" s="57" t="n">
        <f aca="false">(1-EXP(-r_minor*dt))</f>
        <v>0.0437937690785545</v>
      </c>
      <c r="T92" s="57" t="n">
        <f aca="false">M92*N92</f>
        <v>0.000142415701792821</v>
      </c>
      <c r="U92" s="57" t="n">
        <f aca="false">M92*O92</f>
        <v>1.58155660249304E-005</v>
      </c>
      <c r="V92" s="57" t="n">
        <f aca="false">M92*P92</f>
        <v>0.000125518855546743</v>
      </c>
      <c r="W92" s="57" t="n">
        <f aca="false">M92*Q92</f>
        <v>2.48098769345321E-005</v>
      </c>
      <c r="X92" s="57" t="n">
        <f aca="false">M92*R92</f>
        <v>3.76122968378708E-005</v>
      </c>
      <c r="Y92" s="57" t="n">
        <f aca="false">M92*S92</f>
        <v>0.000821117210236424</v>
      </c>
      <c r="Z92" s="57" t="n">
        <f aca="false">T92*f_stroke_fatal</f>
        <v>3.37525213248987E-005</v>
      </c>
      <c r="AA92" s="57" t="n">
        <f aca="false">T92*(1-f_stroke_fatal)*f_stroke_major</f>
        <v>3.61848390958183E-005</v>
      </c>
      <c r="AB92" s="57" t="n">
        <f aca="false">T92*(1-f_stroke_fatal)*(1-f_stroke_major)</f>
        <v>7.24783413721045E-005</v>
      </c>
      <c r="AC92" s="57" t="n">
        <f aca="false">U92*(1-f_bleed_fatal)</f>
        <v>1.44870584788362E-005</v>
      </c>
      <c r="AD92" s="57" t="n">
        <f aca="false">V92*(1-f_bleed_fatal)</f>
        <v>0.000114975271680817</v>
      </c>
      <c r="AE92" s="57" t="n">
        <f aca="false">W92*f_mi_fatal</f>
        <v>3.00199510907839E-006</v>
      </c>
      <c r="AF92" s="57" t="n">
        <f aca="false">W92-AE92</f>
        <v>2.18078818254537E-005</v>
      </c>
      <c r="AG92" s="57" t="n">
        <f aca="false">M92-T92-U92-V92-AE92</f>
        <v>0.0184628834464297</v>
      </c>
      <c r="AH92" s="19" t="n">
        <f aca="false">Z92*c_stroke_fatal+AA92*c_stroke_major+AB92*c_stroke_minor+U92*c_ich+V92*c_major_bleed+AE92*c_mi_fatal+AF92*c_mi_nonfatal+X92*c_tia+Y92*c_minor_bleed</f>
        <v>7.08385632570167</v>
      </c>
      <c r="AI92" s="57" t="n">
        <f aca="false">dt*(AF92*dec_mi+AD92*dec_major_bleed+Y92*dec_minor_bleed+X92*dec_tia)</f>
        <v>6.96307513254777E-006</v>
      </c>
      <c r="AJ92" s="57" t="n">
        <f aca="false">G92*L92+Z92+U92-AC92+V92-AD92+AE92</f>
        <v>0.00177558253316687</v>
      </c>
      <c r="AK92" s="57" t="n">
        <f aca="false">1-EXP(LN(1-E92)*hr_death_prior_stroke*dt)</f>
        <v>0.183434778849147</v>
      </c>
      <c r="AL92" s="57" t="n">
        <f aca="false">H92*(1-AK92)</f>
        <v>0.00158247551526835</v>
      </c>
      <c r="AM92" s="57" t="n">
        <f aca="false">(1-EXP(-r_stroke*F92*rr_stroke_prior*rr_asa_stroke*dt))</f>
        <v>0.0337793403120517</v>
      </c>
      <c r="AN92" s="57" t="n">
        <f aca="false">(1-EXP(-r_ich*rr_asa_ich*dt))</f>
        <v>0.00102357767802375</v>
      </c>
      <c r="AO92" s="57" t="n">
        <f aca="false">(1-EXP(-r_mb*rr_asa_mb*dt))</f>
        <v>0.00951809672747972</v>
      </c>
      <c r="AP92" s="57" t="n">
        <f aca="false">(1-EXP(-r_mi*rr_asa_mi*dt))</f>
        <v>0.00213413516393479</v>
      </c>
      <c r="AQ92" s="57" t="n">
        <f aca="false">(1-EXP(-r_tia*rr_asa_tia*dt))</f>
        <v>0.00312764565589152</v>
      </c>
      <c r="AR92" s="57" t="n">
        <f aca="false">(1-EXP(-r_minor*rr_asa_minor*dt))</f>
        <v>0.0278181950466747</v>
      </c>
      <c r="AS92" s="57" t="n">
        <f aca="false">AL92*AM92</f>
        <v>5.34549789657387E-005</v>
      </c>
      <c r="AT92" s="57" t="n">
        <f aca="false">AL92*AN92</f>
        <v>1.6197866134478E-006</v>
      </c>
      <c r="AU92" s="57" t="n">
        <f aca="false">AL92*AO92</f>
        <v>1.50621550231924E-005</v>
      </c>
      <c r="AV92" s="57" t="n">
        <f aca="false">AL92*AP92</f>
        <v>3.3772166432E-006</v>
      </c>
      <c r="AW92" s="57" t="n">
        <f aca="false">AL92*AQ92</f>
        <v>4.94942267088374E-006</v>
      </c>
      <c r="AX92" s="57" t="n">
        <f aca="false">AL92*AR92</f>
        <v>4.40216125403219E-005</v>
      </c>
      <c r="AY92" s="57" t="n">
        <f aca="false">AS92*f_stroke_fatal_recur</f>
        <v>1.98900631233617E-005</v>
      </c>
      <c r="AZ92" s="57" t="n">
        <f aca="false">AS92*(1-f_stroke_fatal_recur)*f_stroke_major</f>
        <v>1.11771169755115E-005</v>
      </c>
      <c r="BA92" s="57" t="n">
        <f aca="false">AS92*(1-f_stroke_fatal_recur)*(1-f_stroke_major)</f>
        <v>2.23877988668655E-005</v>
      </c>
      <c r="BB92" s="57" t="n">
        <f aca="false">AT92*(1-f_bleed_fatal)</f>
        <v>1.48372453791819E-006</v>
      </c>
      <c r="BC92" s="57" t="n">
        <f aca="false">AU92*(1-f_bleed_fatal)</f>
        <v>1.37969340012443E-005</v>
      </c>
      <c r="BD92" s="57" t="n">
        <f aca="false">AV92*f_mi_fatal</f>
        <v>4.086432138272E-007</v>
      </c>
      <c r="BE92" s="57" t="n">
        <f aca="false">AV92-BD92</f>
        <v>2.9685734293728E-006</v>
      </c>
      <c r="BF92" s="57" t="n">
        <f aca="false">AL92-AS92-AT92-AU92-BD92</f>
        <v>0.00151192995145214</v>
      </c>
      <c r="BG92" s="19" t="n">
        <f aca="false">AY92*c_stroke_fatal+AZ92*c_stroke_major+BA92*c_stroke_minor+AT92*c_ich+AU92*c_major_bleed+BD92*c_mi_fatal+BE92*c_mi_nonfatal+AW92*c_tia+AX92*c_minor_bleed</f>
        <v>2.05619205126262</v>
      </c>
      <c r="BH92" s="57" t="n">
        <f aca="false">dt*(BE92*dec_mi+BC92*dec_major_bleed+AX92*dec_minor_bleed+AW92*dec_tia)</f>
        <v>6.8061527622782E-007</v>
      </c>
      <c r="BI92" s="57" t="n">
        <f aca="false">H92*AK92+AY92+AT92-BB92+AU92-BC92+BD92</f>
        <v>0.000377190327081329</v>
      </c>
      <c r="BJ92" s="57" t="n">
        <f aca="false">1-EXP(LN(1-E92)*hr_death_prior_stroke*dt)</f>
        <v>0.183434778849147</v>
      </c>
      <c r="BK92" s="57" t="n">
        <f aca="false">I92*(1-BJ92)</f>
        <v>0.000849928980261924</v>
      </c>
      <c r="BL92" s="57" t="n">
        <f aca="false">(1-EXP(-r_stroke*F92*rr_stroke_prior*rr_asa_stroke*dt))</f>
        <v>0.0337793403120517</v>
      </c>
      <c r="BM92" s="57" t="n">
        <f aca="false">(1-EXP(-r_ich*rr_asa_ich*dt))</f>
        <v>0.00102357767802375</v>
      </c>
      <c r="BN92" s="57" t="n">
        <f aca="false">(1-EXP(-r_mb*rr_asa_mb*dt))</f>
        <v>0.00951809672747972</v>
      </c>
      <c r="BO92" s="57" t="n">
        <f aca="false">(1-EXP(-r_mi*rr_asa_mi*dt))</f>
        <v>0.00213413516393479</v>
      </c>
      <c r="BP92" s="57" t="n">
        <f aca="false">(1-EXP(-r_tia*rr_asa_tia*dt))</f>
        <v>0.00312764565589152</v>
      </c>
      <c r="BQ92" s="57" t="n">
        <f aca="false">(1-EXP(-r_minor*rr_asa_minor*dt))</f>
        <v>0.0278181950466747</v>
      </c>
      <c r="BR92" s="57" t="n">
        <f aca="false">BK92*BL92</f>
        <v>2.87100402653426E-005</v>
      </c>
      <c r="BS92" s="57" t="n">
        <f aca="false">BK92*BM92</f>
        <v>8.6996833210159E-007</v>
      </c>
      <c r="BT92" s="57" t="n">
        <f aca="false">BK92*BN92</f>
        <v>8.08970624562119E-006</v>
      </c>
      <c r="BU92" s="57" t="n">
        <f aca="false">BK92*BO92</f>
        <v>1.81386332362421E-006</v>
      </c>
      <c r="BV92" s="57" t="n">
        <f aca="false">BK92*BP92</f>
        <v>2.65827668293252E-006</v>
      </c>
      <c r="BW92" s="57" t="n">
        <f aca="false">BK92*BQ92</f>
        <v>2.36434901487475E-005</v>
      </c>
      <c r="BX92" s="57" t="n">
        <f aca="false">BR92*f_stroke_fatal_recur</f>
        <v>1.06827188823313E-005</v>
      </c>
      <c r="BY92" s="57" t="n">
        <f aca="false">BR92*(1-f_stroke_fatal_recur)*f_stroke_major</f>
        <v>6.00309802054274E-006</v>
      </c>
      <c r="BZ92" s="57" t="n">
        <f aca="false">BR92*(1-f_stroke_fatal_recur)*(1-f_stroke_major)</f>
        <v>1.20242233624685E-005</v>
      </c>
      <c r="CA92" s="57" t="n">
        <f aca="false">BS92*(1-f_bleed_fatal)</f>
        <v>7.96890992205057E-007</v>
      </c>
      <c r="CB92" s="57" t="n">
        <f aca="false">BT92*(1-f_bleed_fatal)</f>
        <v>7.41017092098901E-006</v>
      </c>
      <c r="CC92" s="57" t="n">
        <f aca="false">BU92*f_mi_fatal</f>
        <v>2.19477462158529E-007</v>
      </c>
      <c r="CD92" s="57" t="n">
        <f aca="false">BU92-CC92</f>
        <v>1.59438586146568E-006</v>
      </c>
      <c r="CE92" s="57" t="n">
        <f aca="false">BK92-BR92-BS92-BT92-CC92</f>
        <v>0.0008120397879567</v>
      </c>
      <c r="CF92" s="19" t="n">
        <f aca="false">BX92*c_stroke_fatal+BY92*c_stroke_major+BZ92*c_stroke_minor+BS92*c_ich+BT92*c_major_bleed+CC92*c_mi_fatal+CD92*c_mi_nonfatal+BV92*c_tia+BW92*c_minor_bleed</f>
        <v>1.10435655812088</v>
      </c>
      <c r="CG92" s="57" t="n">
        <f aca="false">dt*(CD92*dec_mi+CB92*dec_major_bleed+BW92*dec_minor_bleed+BV92*dec_tia)</f>
        <v>3.65550456922492E-007</v>
      </c>
      <c r="CH92" s="57" t="n">
        <f aca="false">I92*BJ92+BX92+BS92-CA92+BT92-CB92+CC92</f>
        <v>0.000202584486753675</v>
      </c>
      <c r="CI92" s="57" t="n">
        <f aca="false">1-EXP(LN(1-E92)*dt)</f>
        <v>0.0843380562700268</v>
      </c>
      <c r="CJ92" s="57" t="n">
        <f aca="false">J92*(1-CI92)</f>
        <v>0.00984152566566711</v>
      </c>
      <c r="CK92" s="57" t="n">
        <f aca="false">(1-EXP(-r_stroke*F92*rr_asa_stroke*dt))</f>
        <v>0.0154982129923326</v>
      </c>
      <c r="CL92" s="57" t="n">
        <f aca="false">(1-EXP(-r_ich*rr_asa_ich*dt))</f>
        <v>0.00102357767802375</v>
      </c>
      <c r="CM92" s="57" t="n">
        <f aca="false">(1-EXP(-r_mb*rr_asa_mb*dt))</f>
        <v>0.00951809672747972</v>
      </c>
      <c r="CN92" s="57" t="n">
        <f aca="false">(1-EXP(-r_mi*rr_asa_mi*dt))</f>
        <v>0.00213413516393479</v>
      </c>
      <c r="CO92" s="57" t="n">
        <f aca="false">(1-EXP(-r_tia*rr_asa_tia*dt))</f>
        <v>0.00312764565589152</v>
      </c>
      <c r="CP92" s="57" t="n">
        <f aca="false">(1-EXP(-r_minor*rr_asa_minor*dt))</f>
        <v>0.0278181950466747</v>
      </c>
      <c r="CQ92" s="57" t="n">
        <f aca="false">CJ92*CK92</f>
        <v>0.000152526060936016</v>
      </c>
      <c r="CR92" s="57" t="n">
        <f aca="false">CJ92*CL92</f>
        <v>1.00735659890746E-005</v>
      </c>
      <c r="CS92" s="57" t="n">
        <f aca="false">CJ92*CM92</f>
        <v>9.36725932317937E-005</v>
      </c>
      <c r="CT92" s="57" t="n">
        <f aca="false">CJ92*CN92</f>
        <v>2.10031459898669E-005</v>
      </c>
      <c r="CU92" s="57" t="n">
        <f aca="false">CJ92*CO92</f>
        <v>3.07808049955686E-005</v>
      </c>
      <c r="CV92" s="57" t="n">
        <f aca="false">CJ92*CP92</f>
        <v>0.000273773480524383</v>
      </c>
      <c r="CW92" s="57" t="n">
        <f aca="false">CQ92*f_stroke_fatal</f>
        <v>3.61486764418359E-005</v>
      </c>
      <c r="CX92" s="57" t="n">
        <f aca="false">CQ92*(1-f_stroke_fatal)*f_stroke_major</f>
        <v>3.87536690365621E-005</v>
      </c>
      <c r="CY92" s="57" t="n">
        <f aca="false">CQ92*(1-f_stroke_fatal)*(1-f_stroke_major)</f>
        <v>7.76237154576184E-005</v>
      </c>
      <c r="CZ92" s="57" t="n">
        <f aca="false">CR92*(1-f_bleed_fatal)</f>
        <v>9.22738644599237E-006</v>
      </c>
      <c r="DA92" s="57" t="n">
        <f aca="false">CS92*(1-f_bleed_fatal)</f>
        <v>8.58040954003231E-005</v>
      </c>
      <c r="DB92" s="57" t="n">
        <f aca="false">CT92*f_mi_fatal</f>
        <v>2.5413806647739E-006</v>
      </c>
      <c r="DC92" s="57" t="n">
        <f aca="false">CT92-DB92</f>
        <v>1.8461765325093E-005</v>
      </c>
      <c r="DD92" s="57" t="n">
        <f aca="false">CJ92-CQ92-CR92-CS92-DB92</f>
        <v>0.00958271206484545</v>
      </c>
      <c r="DE92" s="19" t="n">
        <f aca="false">CW92*c_stroke_fatal+CX92*c_stroke_major+CY92*c_stroke_minor+CR92*c_ich+CS92*c_major_bleed+DB92*c_mi_fatal+DC92*c_mi_nonfatal+CU92*c_tia+CV92*c_minor_bleed</f>
        <v>6.9607192730865</v>
      </c>
      <c r="DF92" s="57" t="n">
        <f aca="false">dt*(DC92*dec_mi+DA92*dec_major_bleed+CV92*dec_minor_bleed+CU92*dec_tia)</f>
        <v>4.23279390095672E-006</v>
      </c>
      <c r="DG92" s="57" t="n">
        <f aca="false">J92*CI92+CW92+CR92-CZ92+CS92-DA92+DB92</f>
        <v>0.000953869343016553</v>
      </c>
      <c r="DH92" s="57" t="n">
        <f aca="false">AG92</f>
        <v>0.0184628834464297</v>
      </c>
      <c r="DI92" s="57" t="n">
        <f aca="false">AB92+AC92+BF92+BA92+BB92+BC92+CY92+CZ92</f>
        <v>0.00172341491061272</v>
      </c>
      <c r="DJ92" s="57" t="n">
        <f aca="false">AA92+AZ92+BY92+CX92+CE92+BZ92+CA92+CB92</f>
        <v>0.000924389796360797</v>
      </c>
      <c r="DK92" s="57" t="n">
        <f aca="false">AD92+DD92+DA92</f>
        <v>0.00978349143192659</v>
      </c>
      <c r="DL92" s="57" t="n">
        <f aca="false">K92+AJ92+BI92+CH92+DG92</f>
        <v>0.96910582041467</v>
      </c>
      <c r="DM92" s="58" t="n">
        <f aca="false">SUM(DH92:DL92)</f>
        <v>1</v>
      </c>
      <c r="DN92" s="19" t="n">
        <f aca="false">dt*(G92*Apixaban!$H$2+(H92+I92+J92)*c_aspirin)</f>
        <v>1.66120083583926</v>
      </c>
      <c r="DO92" s="19" t="n">
        <f aca="false">dt*(H92*c_lt_minor_stroke+I92*c_lt_major_stroke)</f>
        <v>12.0343645762813</v>
      </c>
      <c r="DP92" s="19" t="n">
        <f aca="false">AH92+BG92+CF92+DE92</f>
        <v>17.2051242081717</v>
      </c>
      <c r="DQ92" s="19" t="n">
        <f aca="false">DN92+DO92+DP92</f>
        <v>30.9006896202922</v>
      </c>
      <c r="DR92" s="57" t="n">
        <f aca="false">dt*(G92*(u_af-dec_per_year_over_70*MAX(B92-ref_age,0))+H92*(u_minor_stroke-dec_per_year_over_70*MAX(B92-ref_age,0))+I92*(u_major_stroke-dec_per_year_over_70*MAX(B92-ref_age,0))+J92*(u_af-dec_per_year_over_70*MAX(B92-ref_age,0)))-AI92-BH92-CG92-DF92</f>
        <v>0.00670733720783284</v>
      </c>
      <c r="DS92" s="57" t="n">
        <f aca="false">dt*(G92+H92+I92+J92)</f>
        <v>0.00855085156883705</v>
      </c>
      <c r="DT92" s="19" t="n">
        <f aca="false">DQ92*C92</f>
        <v>22.4361463101594</v>
      </c>
      <c r="DU92" s="19" t="n">
        <f aca="false">DN92*C92</f>
        <v>1.20615253126821</v>
      </c>
      <c r="DV92" s="19" t="n">
        <f aca="false">DP92*C92</f>
        <v>12.49217052313</v>
      </c>
      <c r="DW92" s="19" t="n">
        <f aca="false">DO92*C92</f>
        <v>8.73782325576114</v>
      </c>
      <c r="DX92" s="57" t="n">
        <f aca="false">DR92*C92</f>
        <v>0.00487001425520582</v>
      </c>
      <c r="DY92" s="57" t="n">
        <f aca="false">DS92*C92</f>
        <v>0.00620853965501465</v>
      </c>
      <c r="DZ92" s="57" t="n">
        <f aca="false">T92+AS92+BR92+CQ92</f>
        <v>0.000377106781959919</v>
      </c>
      <c r="EA92" s="57" t="n">
        <f aca="false">U92+AT92+BS92+CR92</f>
        <v>2.83788869595544E-005</v>
      </c>
      <c r="EB92" s="57" t="n">
        <f aca="false">V92+AU92+BT92+CS92</f>
        <v>0.000242343310047351</v>
      </c>
      <c r="EC92" s="57" t="n">
        <f aca="false">G92*dt*C92</f>
        <v>0.00371687337931075</v>
      </c>
    </row>
    <row r="93" customFormat="false" ht="15" hidden="false" customHeight="false" outlineLevel="0" collapsed="false">
      <c r="A93" s="8" t="n">
        <v>87</v>
      </c>
      <c r="B93" s="54" t="n">
        <f aca="false">start_age+A93*dt</f>
        <v>91.75</v>
      </c>
      <c r="C93" s="16" t="n">
        <f aca="false">(1+disc_rate)^-(A93*dt)</f>
        <v>0.72337514275739</v>
      </c>
      <c r="D93" s="55" t="n">
        <f aca="false">IF(A93*dt&gt;=wane_start,(1-wane_decay)^(A93*dt-wane_start),1)</f>
        <v>1</v>
      </c>
      <c r="E93" s="25" t="n">
        <f aca="false">MIN(p_nonvasc_death*MIN(EXP(gomp_int+gomp_slope*INT(B93)),1)/qx_ref,0.999)</f>
        <v>0.297023740462546</v>
      </c>
      <c r="F93" s="55" t="n">
        <f aca="false">rr_stroke_per_decade^((B93-ref_age)/10)</f>
        <v>2.41545242749291</v>
      </c>
      <c r="G93" s="57" t="n">
        <f aca="false">DH92</f>
        <v>0.0184628834464297</v>
      </c>
      <c r="H93" s="57" t="n">
        <f aca="false">DI92</f>
        <v>0.00172341491061272</v>
      </c>
      <c r="I93" s="57" t="n">
        <f aca="false">DJ92</f>
        <v>0.000924389796360797</v>
      </c>
      <c r="J93" s="57" t="n">
        <f aca="false">DK92</f>
        <v>0.00978349143192659</v>
      </c>
      <c r="K93" s="57" t="n">
        <f aca="false">DL92</f>
        <v>0.96910582041467</v>
      </c>
      <c r="L93" s="57" t="n">
        <f aca="false">1-EXP(LN(1-E93)*dt)</f>
        <v>0.0843380562700268</v>
      </c>
      <c r="M93" s="57" t="n">
        <f aca="false">G93*(1-L93)</f>
        <v>0.0169057597434177</v>
      </c>
      <c r="N93" s="57" t="n">
        <f aca="false">IF(Apixaban!$B$2=1,EXP(LN(or_apx_stroke)*D93)*(1-EXP(-r_stroke*F93*dt))/(1-(1-EXP(-r_stroke*F93*dt))+EXP(LN(or_apx_stroke)*D93)*(1-EXP(-r_stroke*F93*dt))),(1-EXP(-r_stroke*F93*dt)))</f>
        <v>0.00767281839642151</v>
      </c>
      <c r="O93" s="57" t="n">
        <f aca="false">IF(Apixaban!$B$2=1,EXP(LN(or_apx_ich)*D93)*(1-EXP(-r_ich*dt))/(1-(1-EXP(-r_ich*dt))+EXP(LN(or_apx_ich)*D93)*(1-EXP(-r_ich*dt))),(1-EXP(-r_ich*dt)))</f>
        <v>0.000843513249640701</v>
      </c>
      <c r="P93" s="57" t="n">
        <f aca="false">IF(Apixaban!$B$2=1,EXP(LN(or_apx_mb)*D93)*(1-EXP(-r_mb*dt))/(1-(1-EXP(-r_mb*dt))+EXP(LN(or_apx_mb)*D93)*(1-EXP(-r_mb*dt))),(1-EXP(-r_mb*dt)))</f>
        <v>0.00669446907979895</v>
      </c>
      <c r="Q93" s="57" t="n">
        <f aca="false">IF(Apixaban!$B$2=1,EXP(LN(or_apx_mi)*D93)*(1-EXP(-r_mi*dt))/(1-(1-EXP(-r_mi*dt))+EXP(LN(or_apx_mi)*D93)*(1-EXP(-r_mi*dt))),(1-EXP(-r_mi*dt)))</f>
        <v>0.00132321915530843</v>
      </c>
      <c r="R93" s="57" t="n">
        <f aca="false">(1-EXP(-r_tia*dt))</f>
        <v>0.0020060281549299</v>
      </c>
      <c r="S93" s="57" t="n">
        <f aca="false">(1-EXP(-r_minor*dt))</f>
        <v>0.0437937690785545</v>
      </c>
      <c r="T93" s="57" t="n">
        <f aca="false">M93*N93</f>
        <v>0.000129714824364778</v>
      </c>
      <c r="U93" s="57" t="n">
        <f aca="false">M93*O93</f>
        <v>1.42602323388152E-005</v>
      </c>
      <c r="V93" s="57" t="n">
        <f aca="false">M93*P93</f>
        <v>0.00011317508587282</v>
      </c>
      <c r="W93" s="57" t="n">
        <f aca="false">M93*Q93</f>
        <v>2.23700251275324E-005</v>
      </c>
      <c r="X93" s="57" t="n">
        <f aca="false">M93*R93</f>
        <v>3.39134300257764E-005</v>
      </c>
      <c r="Y93" s="57" t="n">
        <f aca="false">M93*S93</f>
        <v>0.000740366938300758</v>
      </c>
      <c r="Z93" s="57" t="n">
        <f aca="false">T93*f_stroke_fatal</f>
        <v>3.07424133744523E-005</v>
      </c>
      <c r="AA93" s="57" t="n">
        <f aca="false">T93*(1-f_stroke_fatal)*f_stroke_major</f>
        <v>3.29578128597784E-005</v>
      </c>
      <c r="AB93" s="57" t="n">
        <f aca="false">T93*(1-f_stroke_fatal)*(1-f_stroke_major)</f>
        <v>6.6014598130547E-005</v>
      </c>
      <c r="AC93" s="57" t="n">
        <f aca="false">U93*(1-f_bleed_fatal)</f>
        <v>1.30623728223547E-005</v>
      </c>
      <c r="AD93" s="57" t="n">
        <f aca="false">V93*(1-f_bleed_fatal)</f>
        <v>0.000103668378659503</v>
      </c>
      <c r="AE93" s="57" t="n">
        <f aca="false">W93*f_mi_fatal</f>
        <v>2.70677304043143E-006</v>
      </c>
      <c r="AF93" s="57" t="n">
        <f aca="false">W93-AE93</f>
        <v>1.9663252087101E-005</v>
      </c>
      <c r="AG93" s="57" t="n">
        <f aca="false">M93-T93-U93-V93-AE93</f>
        <v>0.0166459028278009</v>
      </c>
      <c r="AH93" s="19" t="n">
        <f aca="false">Z93*c_stroke_fatal+AA93*c_stroke_major+AB93*c_stroke_minor+U93*c_ich+V93*c_major_bleed+AE93*c_mi_fatal+AF93*c_mi_nonfatal+X93*c_tia+Y93*c_minor_bleed</f>
        <v>6.43541648751479</v>
      </c>
      <c r="AI93" s="57" t="n">
        <f aca="false">dt*(AF93*dec_mi+AD93*dec_major_bleed+Y93*dec_minor_bleed+X93*dec_tia)</f>
        <v>6.27831270953168E-006</v>
      </c>
      <c r="AJ93" s="57" t="n">
        <f aca="false">G93*L93+Z93+U93-AC93+V93-AD93+AE93</f>
        <v>0.00160127745615659</v>
      </c>
      <c r="AK93" s="57" t="n">
        <f aca="false">1-EXP(LN(1-E93)*hr_death_prior_stroke*dt)</f>
        <v>0.183434778849147</v>
      </c>
      <c r="AL93" s="57" t="n">
        <f aca="false">H93*(1-AK93)</f>
        <v>0.00140728067761915</v>
      </c>
      <c r="AM93" s="57" t="n">
        <f aca="false">(1-EXP(-r_stroke*F93*rr_stroke_prior*rr_asa_stroke*dt))</f>
        <v>0.0341175518597983</v>
      </c>
      <c r="AN93" s="57" t="n">
        <f aca="false">(1-EXP(-r_ich*rr_asa_ich*dt))</f>
        <v>0.00102357767802375</v>
      </c>
      <c r="AO93" s="57" t="n">
        <f aca="false">(1-EXP(-r_mb*rr_asa_mb*dt))</f>
        <v>0.00951809672747972</v>
      </c>
      <c r="AP93" s="57" t="n">
        <f aca="false">(1-EXP(-r_mi*rr_asa_mi*dt))</f>
        <v>0.00213413516393479</v>
      </c>
      <c r="AQ93" s="57" t="n">
        <f aca="false">(1-EXP(-r_tia*rr_asa_tia*dt))</f>
        <v>0.00312764565589152</v>
      </c>
      <c r="AR93" s="57" t="n">
        <f aca="false">(1-EXP(-r_minor*rr_asa_minor*dt))</f>
        <v>0.0278181950466747</v>
      </c>
      <c r="AS93" s="57" t="n">
        <f aca="false">AL93*AM93</f>
        <v>4.80129714999635E-005</v>
      </c>
      <c r="AT93" s="57" t="n">
        <f aca="false">AL93*AN93</f>
        <v>1.4404610883251E-006</v>
      </c>
      <c r="AU93" s="57" t="n">
        <f aca="false">AL93*AO93</f>
        <v>1.33946336122923E-005</v>
      </c>
      <c r="AV93" s="57" t="n">
        <f aca="false">AL93*AP93</f>
        <v>3.00332717963302E-006</v>
      </c>
      <c r="AW93" s="57" t="n">
        <f aca="false">AL93*AQ93</f>
        <v>4.40147529797562E-006</v>
      </c>
      <c r="AX93" s="57" t="n">
        <f aca="false">AL93*AR93</f>
        <v>3.91480083754261E-005</v>
      </c>
      <c r="AY93" s="57" t="n">
        <f aca="false">AS93*f_stroke_fatal_recur</f>
        <v>1.78651465654214E-005</v>
      </c>
      <c r="AZ93" s="57" t="n">
        <f aca="false">AS93*(1-f_stroke_fatal_recur)*f_stroke_major</f>
        <v>1.00392257032025E-005</v>
      </c>
      <c r="BA93" s="57" t="n">
        <f aca="false">AS93*(1-f_stroke_fatal_recur)*(1-f_stroke_major)</f>
        <v>2.01085992313396E-005</v>
      </c>
      <c r="BB93" s="57" t="n">
        <f aca="false">AT93*(1-f_bleed_fatal)</f>
        <v>1.31946235690579E-006</v>
      </c>
      <c r="BC93" s="57" t="n">
        <f aca="false">AU93*(1-f_bleed_fatal)</f>
        <v>1.22694843888597E-005</v>
      </c>
      <c r="BD93" s="57" t="n">
        <f aca="false">AV93*f_mi_fatal</f>
        <v>3.63402588735595E-007</v>
      </c>
      <c r="BE93" s="57" t="n">
        <f aca="false">AV93-BD93</f>
        <v>2.63992459089742E-006</v>
      </c>
      <c r="BF93" s="57" t="n">
        <f aca="false">AL93-AS93-AT93-AU93-BD93</f>
        <v>0.00134406920882984</v>
      </c>
      <c r="BG93" s="19" t="n">
        <f aca="false">AY93*c_stroke_fatal+AZ93*c_stroke_major+BA93*c_stroke_minor+AT93*c_ich+AU93*c_major_bleed+BD93*c_mi_fatal+BE93*c_mi_nonfatal+AW93*c_tia+AX93*c_minor_bleed</f>
        <v>1.84496315658743</v>
      </c>
      <c r="BH93" s="57" t="n">
        <f aca="false">dt*(BE93*dec_mi+BC93*dec_major_bleed+AX93*dec_minor_bleed+AW93*dec_tia)</f>
        <v>6.05264800552326E-007</v>
      </c>
      <c r="BI93" s="57" t="n">
        <f aca="false">H93*AK93+AY93+AT93-BB93+AU93-BC93+BD93</f>
        <v>0.000335608930102574</v>
      </c>
      <c r="BJ93" s="57" t="n">
        <f aca="false">1-EXP(LN(1-E93)*hr_death_prior_stroke*dt)</f>
        <v>0.183434778849147</v>
      </c>
      <c r="BK93" s="57" t="n">
        <f aca="false">I93*(1-BJ93)</f>
        <v>0.000754824558494947</v>
      </c>
      <c r="BL93" s="57" t="n">
        <f aca="false">(1-EXP(-r_stroke*F93*rr_stroke_prior*rr_asa_stroke*dt))</f>
        <v>0.0341175518597983</v>
      </c>
      <c r="BM93" s="57" t="n">
        <f aca="false">(1-EXP(-r_ich*rr_asa_ich*dt))</f>
        <v>0.00102357767802375</v>
      </c>
      <c r="BN93" s="57" t="n">
        <f aca="false">(1-EXP(-r_mb*rr_asa_mb*dt))</f>
        <v>0.00951809672747972</v>
      </c>
      <c r="BO93" s="57" t="n">
        <f aca="false">(1-EXP(-r_mi*rr_asa_mi*dt))</f>
        <v>0.00213413516393479</v>
      </c>
      <c r="BP93" s="57" t="n">
        <f aca="false">(1-EXP(-r_tia*rr_asa_tia*dt))</f>
        <v>0.00312764565589152</v>
      </c>
      <c r="BQ93" s="57" t="n">
        <f aca="false">(1-EXP(-r_minor*rr_asa_minor*dt))</f>
        <v>0.0278181950466747</v>
      </c>
      <c r="BR93" s="57" t="n">
        <f aca="false">BK93*BL93</f>
        <v>2.57527660195007E-005</v>
      </c>
      <c r="BS93" s="57" t="n">
        <f aca="false">BK93*BM93</f>
        <v>7.72621568899557E-007</v>
      </c>
      <c r="BT93" s="57" t="n">
        <f aca="false">BK93*BN93</f>
        <v>7.18449316003208E-006</v>
      </c>
      <c r="BU93" s="57" t="n">
        <f aca="false">BK93*BO93</f>
        <v>1.61089763288562E-006</v>
      </c>
      <c r="BV93" s="57" t="n">
        <f aca="false">BK93*BP93</f>
        <v>2.36082375133695E-006</v>
      </c>
      <c r="BW93" s="57" t="n">
        <f aca="false">BK93*BQ93</f>
        <v>2.09978567942325E-005</v>
      </c>
      <c r="BX93" s="57" t="n">
        <f aca="false">BR93*f_stroke_fatal_recur</f>
        <v>9.582346708196E-006</v>
      </c>
      <c r="BY93" s="57" t="n">
        <f aca="false">BR93*(1-f_stroke_fatal_recur)*f_stroke_major</f>
        <v>5.38474963066445E-006</v>
      </c>
      <c r="BZ93" s="57" t="n">
        <f aca="false">BR93*(1-f_stroke_fatal_recur)*(1-f_stroke_major)</f>
        <v>1.07856696806402E-005</v>
      </c>
      <c r="CA93" s="57" t="n">
        <f aca="false">BS93*(1-f_bleed_fatal)</f>
        <v>7.07721357111994E-007</v>
      </c>
      <c r="CB93" s="57" t="n">
        <f aca="false">BT93*(1-f_bleed_fatal)</f>
        <v>6.58099573458938E-006</v>
      </c>
      <c r="CC93" s="57" t="n">
        <f aca="false">BU93*f_mi_fatal</f>
        <v>1.9491861357916E-007</v>
      </c>
      <c r="CD93" s="57" t="n">
        <f aca="false">BU93-CC93</f>
        <v>1.41597901930646E-006</v>
      </c>
      <c r="CE93" s="57" t="n">
        <f aca="false">BK93-BR93-BS93-BT93-CC93</f>
        <v>0.000720919759132935</v>
      </c>
      <c r="CF93" s="19" t="n">
        <f aca="false">BX93*c_stroke_fatal+BY93*c_stroke_major+BZ93*c_stroke_minor+BS93*c_ich+BT93*c_major_bleed+CC93*c_mi_fatal+CD93*c_mi_nonfatal+BV93*c_tia+BW93*c_minor_bleed</f>
        <v>0.989584751825486</v>
      </c>
      <c r="CG93" s="57" t="n">
        <f aca="false">dt*(CD93*dec_mi+CB93*dec_major_bleed+BW93*dec_minor_bleed+BV93*dec_tia)</f>
        <v>3.24646492427065E-007</v>
      </c>
      <c r="CH93" s="57" t="n">
        <f aca="false">I93*BJ93+BX93+BS93-CA93+BT93-CB93+CC93</f>
        <v>0.000180010900824856</v>
      </c>
      <c r="CI93" s="57" t="n">
        <f aca="false">1-EXP(LN(1-E93)*dt)</f>
        <v>0.0843380562700268</v>
      </c>
      <c r="CJ93" s="57" t="n">
        <f aca="false">J93*(1-CI93)</f>
        <v>0.00895837078102344</v>
      </c>
      <c r="CK93" s="57" t="n">
        <f aca="false">(1-EXP(-r_stroke*F93*rr_asa_stroke*dt))</f>
        <v>0.0156548691266555</v>
      </c>
      <c r="CL93" s="57" t="n">
        <f aca="false">(1-EXP(-r_ich*rr_asa_ich*dt))</f>
        <v>0.00102357767802375</v>
      </c>
      <c r="CM93" s="57" t="n">
        <f aca="false">(1-EXP(-r_mb*rr_asa_mb*dt))</f>
        <v>0.00951809672747972</v>
      </c>
      <c r="CN93" s="57" t="n">
        <f aca="false">(1-EXP(-r_mi*rr_asa_mi*dt))</f>
        <v>0.00213413516393479</v>
      </c>
      <c r="CO93" s="57" t="n">
        <f aca="false">(1-EXP(-r_tia*rr_asa_tia*dt))</f>
        <v>0.00312764565589152</v>
      </c>
      <c r="CP93" s="57" t="n">
        <f aca="false">(1-EXP(-r_minor*rr_asa_minor*dt))</f>
        <v>0.0278181950466747</v>
      </c>
      <c r="CQ93" s="57" t="n">
        <f aca="false">CJ93*CK93</f>
        <v>0.000140242122164976</v>
      </c>
      <c r="CR93" s="57" t="n">
        <f aca="false">CJ93*CL93</f>
        <v>9.16958836291574E-006</v>
      </c>
      <c r="CS93" s="57" t="n">
        <f aca="false">CJ93*CM93</f>
        <v>8.52666396144091E-005</v>
      </c>
      <c r="CT93" s="57" t="n">
        <f aca="false">CJ93*CN93</f>
        <v>1.91183740953481E-005</v>
      </c>
      <c r="CU93" s="57" t="n">
        <f aca="false">CJ93*CO93</f>
        <v>2.80186094571335E-005</v>
      </c>
      <c r="CV93" s="57" t="n">
        <f aca="false">CJ93*CP93</f>
        <v>0.000249205705686942</v>
      </c>
      <c r="CW93" s="57" t="n">
        <f aca="false">CQ93*f_stroke_fatal</f>
        <v>3.32373829530994E-005</v>
      </c>
      <c r="CX93" s="57" t="n">
        <f aca="false">CQ93*(1-f_stroke_fatal)*f_stroke_major</f>
        <v>3.5632578157555E-005</v>
      </c>
      <c r="CY93" s="57" t="n">
        <f aca="false">CQ93*(1-f_stroke_fatal)*(1-f_stroke_major)</f>
        <v>7.13721610543219E-005</v>
      </c>
      <c r="CZ93" s="57" t="n">
        <f aca="false">CR93*(1-f_bleed_fatal)</f>
        <v>8.39934294043082E-006</v>
      </c>
      <c r="DA93" s="57" t="n">
        <f aca="false">CS93*(1-f_bleed_fatal)</f>
        <v>7.81042418867987E-005</v>
      </c>
      <c r="DB93" s="57" t="n">
        <f aca="false">CT93*f_mi_fatal</f>
        <v>2.31332326553712E-006</v>
      </c>
      <c r="DC93" s="57" t="n">
        <f aca="false">CT93-DB93</f>
        <v>1.6805050829811E-005</v>
      </c>
      <c r="DD93" s="57" t="n">
        <f aca="false">CJ93-CQ93-CR93-CS93-DB93</f>
        <v>0.0087213791076156</v>
      </c>
      <c r="DE93" s="19" t="n">
        <f aca="false">CW93*c_stroke_fatal+CX93*c_stroke_major+CY93*c_stroke_minor+CR93*c_ich+CS93*c_major_bleed+DB93*c_mi_fatal+DC93*c_mi_nonfatal+CU93*c_tia+CV93*c_minor_bleed</f>
        <v>6.38793274177831</v>
      </c>
      <c r="DF93" s="57" t="n">
        <f aca="false">dt*(DC93*dec_mi+DA93*dec_major_bleed+CV93*dec_minor_bleed+CU93*dec_tia)</f>
        <v>3.85295313883171E-006</v>
      </c>
      <c r="DG93" s="57" t="n">
        <f aca="false">J93*CI93+CW93+CR93-CZ93+CS93-DA93+DB93</f>
        <v>0.000868604000271881</v>
      </c>
      <c r="DH93" s="57" t="n">
        <f aca="false">AG93</f>
        <v>0.0166459028278009</v>
      </c>
      <c r="DI93" s="57" t="n">
        <f aca="false">AB93+AC93+BF93+BA93+BB93+BC93+CY93+CZ93</f>
        <v>0.0015366152297546</v>
      </c>
      <c r="DJ93" s="57" t="n">
        <f aca="false">AA93+AZ93+BY93+CX93+CE93+BZ93+CA93+CB93</f>
        <v>0.000823008512256477</v>
      </c>
      <c r="DK93" s="57" t="n">
        <f aca="false">AD93+DD93+DA93</f>
        <v>0.0089031517281619</v>
      </c>
      <c r="DL93" s="57" t="n">
        <f aca="false">K93+AJ93+BI93+CH93+DG93</f>
        <v>0.972091321702026</v>
      </c>
      <c r="DM93" s="58" t="n">
        <f aca="false">SUM(DH93:DL93)</f>
        <v>1</v>
      </c>
      <c r="DN93" s="19" t="n">
        <f aca="false">dt*(G93*Apixaban!$H$2+(H93+I93+J93)*c_aspirin)</f>
        <v>1.49836607242835</v>
      </c>
      <c r="DO93" s="19" t="n">
        <f aca="false">dt*(H93*c_lt_minor_stroke+I93*c_lt_major_stroke)</f>
        <v>10.6939780088335</v>
      </c>
      <c r="DP93" s="19" t="n">
        <f aca="false">AH93+BG93+CF93+DE93</f>
        <v>15.657897137706</v>
      </c>
      <c r="DQ93" s="19" t="n">
        <f aca="false">DN93+DO93+DP93</f>
        <v>27.8502412189678</v>
      </c>
      <c r="DR93" s="57" t="n">
        <f aca="false">dt*(G93*(u_af-dec_per_year_over_70*MAX(B93-ref_age,0))+H93*(u_minor_stroke-dec_per_year_over_70*MAX(B93-ref_age,0))+I93*(u_major_stroke-dec_per_year_over_70*MAX(B93-ref_age,0))+J93*(u_af-dec_per_year_over_70*MAX(B93-ref_age,0)))-AI93-BH93-CG93-DF93</f>
        <v>0.00606011678359946</v>
      </c>
      <c r="DS93" s="57" t="n">
        <f aca="false">dt*(G93+H93+I93+J93)</f>
        <v>0.00772354489633244</v>
      </c>
      <c r="DT93" s="19" t="n">
        <f aca="false">DQ93*C93</f>
        <v>20.1461722175986</v>
      </c>
      <c r="DU93" s="19" t="n">
        <f aca="false">DN93*C93</f>
        <v>1.08388077154568</v>
      </c>
      <c r="DV93" s="19" t="n">
        <f aca="false">DP93*C93</f>
        <v>11.3265335772686</v>
      </c>
      <c r="DW93" s="19" t="n">
        <f aca="false">DO93*C93</f>
        <v>7.73575786878431</v>
      </c>
      <c r="DX93" s="57" t="n">
        <f aca="false">DR93*C93</f>
        <v>0.00438373784346272</v>
      </c>
      <c r="DY93" s="57" t="n">
        <f aca="false">DS93*C93</f>
        <v>0.00558702039197759</v>
      </c>
      <c r="DZ93" s="57" t="n">
        <f aca="false">T93+AS93+BR93+CQ93</f>
        <v>0.000343722684049218</v>
      </c>
      <c r="EA93" s="57" t="n">
        <f aca="false">U93+AT93+BS93+CR93</f>
        <v>2.56429033589556E-005</v>
      </c>
      <c r="EB93" s="57" t="n">
        <f aca="false">V93+AU93+BT93+CS93</f>
        <v>0.000219020852259553</v>
      </c>
      <c r="EC93" s="57" t="n">
        <f aca="false">G93*dt*C93</f>
        <v>0.00333889773719353</v>
      </c>
    </row>
    <row r="94" customFormat="false" ht="15" hidden="false" customHeight="false" outlineLevel="0" collapsed="false">
      <c r="A94" s="8" t="n">
        <v>88</v>
      </c>
      <c r="B94" s="54" t="n">
        <f aca="false">start_age+A94*dt</f>
        <v>92</v>
      </c>
      <c r="C94" s="16" t="n">
        <f aca="false">(1+disc_rate)^-(A94*dt)</f>
        <v>0.720687634471861</v>
      </c>
      <c r="D94" s="55" t="n">
        <f aca="false">IF(A94*dt&gt;=wane_start,(1-wane_decay)^(A94*dt-wane_start),1)</f>
        <v>1</v>
      </c>
      <c r="E94" s="25" t="n">
        <f aca="false">MIN(p_nonvasc_death*MIN(EXP(gomp_int+gomp_slope*INT(B94)),1)/qx_ref,0.999)</f>
        <v>0.329786546979476</v>
      </c>
      <c r="F94" s="55" t="n">
        <f aca="false">rr_stroke_per_decade^((B94-ref_age)/10)</f>
        <v>2.44006148519482</v>
      </c>
      <c r="G94" s="57" t="n">
        <f aca="false">DH93</f>
        <v>0.0166459028278009</v>
      </c>
      <c r="H94" s="57" t="n">
        <f aca="false">DI93</f>
        <v>0.0015366152297546</v>
      </c>
      <c r="I94" s="57" t="n">
        <f aca="false">DJ93</f>
        <v>0.000823008512256477</v>
      </c>
      <c r="J94" s="57" t="n">
        <f aca="false">DK93</f>
        <v>0.0089031517281619</v>
      </c>
      <c r="K94" s="57" t="n">
        <f aca="false">DL93</f>
        <v>0.972091321702026</v>
      </c>
      <c r="L94" s="57" t="n">
        <f aca="false">1-EXP(LN(1-E94)*dt)</f>
        <v>0.0951985554893469</v>
      </c>
      <c r="M94" s="57" t="n">
        <f aca="false">G94*(1-L94)</f>
        <v>0.0150612369237782</v>
      </c>
      <c r="N94" s="57" t="n">
        <f aca="false">IF(Apixaban!$B$2=1,EXP(LN(or_apx_stroke)*D94)*(1-EXP(-r_stroke*F94*dt))/(1-(1-EXP(-r_stroke*F94*dt))+EXP(LN(or_apx_stroke)*D94)*(1-EXP(-r_stroke*F94*dt))),(1-EXP(-r_stroke*F94*dt)))</f>
        <v>0.00775076676314197</v>
      </c>
      <c r="O94" s="57" t="n">
        <f aca="false">IF(Apixaban!$B$2=1,EXP(LN(or_apx_ich)*D94)*(1-EXP(-r_ich*dt))/(1-(1-EXP(-r_ich*dt))+EXP(LN(or_apx_ich)*D94)*(1-EXP(-r_ich*dt))),(1-EXP(-r_ich*dt)))</f>
        <v>0.000843513249640701</v>
      </c>
      <c r="P94" s="57" t="n">
        <f aca="false">IF(Apixaban!$B$2=1,EXP(LN(or_apx_mb)*D94)*(1-EXP(-r_mb*dt))/(1-(1-EXP(-r_mb*dt))+EXP(LN(or_apx_mb)*D94)*(1-EXP(-r_mb*dt))),(1-EXP(-r_mb*dt)))</f>
        <v>0.00669446907979895</v>
      </c>
      <c r="Q94" s="57" t="n">
        <f aca="false">IF(Apixaban!$B$2=1,EXP(LN(or_apx_mi)*D94)*(1-EXP(-r_mi*dt))/(1-(1-EXP(-r_mi*dt))+EXP(LN(or_apx_mi)*D94)*(1-EXP(-r_mi*dt))),(1-EXP(-r_mi*dt)))</f>
        <v>0.00132321915530843</v>
      </c>
      <c r="R94" s="57" t="n">
        <f aca="false">(1-EXP(-r_tia*dt))</f>
        <v>0.0020060281549299</v>
      </c>
      <c r="S94" s="57" t="n">
        <f aca="false">(1-EXP(-r_minor*dt))</f>
        <v>0.0437937690785545</v>
      </c>
      <c r="T94" s="57" t="n">
        <f aca="false">M94*N94</f>
        <v>0.000116736134560627</v>
      </c>
      <c r="U94" s="57" t="n">
        <f aca="false">M94*O94</f>
        <v>1.27043529011847E-005</v>
      </c>
      <c r="V94" s="57" t="n">
        <f aca="false">M94*P94</f>
        <v>0.000100826984889759</v>
      </c>
      <c r="W94" s="57" t="n">
        <f aca="false">M94*Q94</f>
        <v>1.99293172001819E-005</v>
      </c>
      <c r="X94" s="57" t="n">
        <f aca="false">M94*R94</f>
        <v>3.02132653171688E-005</v>
      </c>
      <c r="Y94" s="57" t="n">
        <f aca="false">M94*S94</f>
        <v>0.000659588331877341</v>
      </c>
      <c r="Z94" s="57" t="n">
        <f aca="false">T94*f_stroke_fatal</f>
        <v>2.76664638908685E-005</v>
      </c>
      <c r="AA94" s="57" t="n">
        <f aca="false">T94*(1-f_stroke_fatal)*f_stroke_major</f>
        <v>2.96602003330295E-005</v>
      </c>
      <c r="AB94" s="57" t="n">
        <f aca="false">T94*(1-f_stroke_fatal)*(1-f_stroke_major)</f>
        <v>5.94094703367287E-005</v>
      </c>
      <c r="AC94" s="57" t="n">
        <f aca="false">U94*(1-f_bleed_fatal)</f>
        <v>1.16371872574851E-005</v>
      </c>
      <c r="AD94" s="57" t="n">
        <f aca="false">V94*(1-f_bleed_fatal)</f>
        <v>9.23575181590197E-005</v>
      </c>
      <c r="AE94" s="57" t="n">
        <f aca="false">W94*f_mi_fatal</f>
        <v>2.41144738122201E-006</v>
      </c>
      <c r="AF94" s="57" t="n">
        <f aca="false">W94-AE94</f>
        <v>1.75178698189599E-005</v>
      </c>
      <c r="AG94" s="57" t="n">
        <f aca="false">M94-T94-U94-V94-AE94</f>
        <v>0.0148285580040454</v>
      </c>
      <c r="AH94" s="19" t="n">
        <f aca="false">Z94*c_stroke_fatal+AA94*c_stroke_major+AB94*c_stroke_minor+U94*c_ich+V94*c_major_bleed+AE94*c_mi_fatal+AF94*c_mi_nonfatal+X94*c_tia+Y94*c_minor_bleed</f>
        <v>5.77664927031714</v>
      </c>
      <c r="AI94" s="57" t="n">
        <f aca="false">dt*(AF94*dec_mi+AD94*dec_major_bleed+Y94*dec_minor_bleed+X94*dec_tia)</f>
        <v>5.5933100100184E-006</v>
      </c>
      <c r="AJ94" s="57" t="n">
        <f aca="false">G94*L94+Z94+U94-AC94+V94-AD94+AE94</f>
        <v>0.00162428044766921</v>
      </c>
      <c r="AK94" s="57" t="n">
        <f aca="false">1-EXP(LN(1-E94)*hr_death_prior_stroke*dt)</f>
        <v>0.205539048452053</v>
      </c>
      <c r="AL94" s="57" t="n">
        <f aca="false">H94*(1-AK94)</f>
        <v>0.0012207807975939</v>
      </c>
      <c r="AM94" s="57" t="n">
        <f aca="false">(1-EXP(-r_stroke*F94*rr_stroke_prior*rr_asa_stroke*dt))</f>
        <v>0.0344590889655114</v>
      </c>
      <c r="AN94" s="57" t="n">
        <f aca="false">(1-EXP(-r_ich*rr_asa_ich*dt))</f>
        <v>0.00102357767802375</v>
      </c>
      <c r="AO94" s="57" t="n">
        <f aca="false">(1-EXP(-r_mb*rr_asa_mb*dt))</f>
        <v>0.00951809672747972</v>
      </c>
      <c r="AP94" s="57" t="n">
        <f aca="false">(1-EXP(-r_mi*rr_asa_mi*dt))</f>
        <v>0.00213413516393479</v>
      </c>
      <c r="AQ94" s="57" t="n">
        <f aca="false">(1-EXP(-r_tia*rr_asa_tia*dt))</f>
        <v>0.00312764565589152</v>
      </c>
      <c r="AR94" s="57" t="n">
        <f aca="false">(1-EXP(-r_minor*rr_asa_minor*dt))</f>
        <v>0.0278181950466747</v>
      </c>
      <c r="AS94" s="57" t="n">
        <f aca="false">AL94*AM94</f>
        <v>4.20669941116763E-005</v>
      </c>
      <c r="AT94" s="57" t="n">
        <f aca="false">AL94*AN94</f>
        <v>1.24956397417714E-006</v>
      </c>
      <c r="AU94" s="57" t="n">
        <f aca="false">AL94*AO94</f>
        <v>1.16195097145486E-005</v>
      </c>
      <c r="AV94" s="57" t="n">
        <f aca="false">AL94*AP94</f>
        <v>2.60531122760151E-006</v>
      </c>
      <c r="AW94" s="57" t="n">
        <f aca="false">AL94*AQ94</f>
        <v>3.81816975839036E-006</v>
      </c>
      <c r="AX94" s="57" t="n">
        <f aca="false">AL94*AR94</f>
        <v>3.39599183367023E-005</v>
      </c>
      <c r="AY94" s="57" t="n">
        <f aca="false">AS94*f_stroke_fatal_recur</f>
        <v>1.56527078390136E-005</v>
      </c>
      <c r="AZ94" s="57" t="n">
        <f aca="false">AS94*(1-f_stroke_fatal_recur)*f_stroke_major</f>
        <v>8.79595732879667E-006</v>
      </c>
      <c r="BA94" s="57" t="n">
        <f aca="false">AS94*(1-f_stroke_fatal_recur)*(1-f_stroke_major)</f>
        <v>1.7618328943866E-005</v>
      </c>
      <c r="BB94" s="57" t="n">
        <f aca="false">AT94*(1-f_bleed_fatal)</f>
        <v>1.14460060034626E-006</v>
      </c>
      <c r="BC94" s="57" t="n">
        <f aca="false">AU94*(1-f_bleed_fatal)</f>
        <v>1.06434708985265E-005</v>
      </c>
      <c r="BD94" s="57" t="n">
        <f aca="false">AV94*f_mi_fatal</f>
        <v>3.15242658539783E-007</v>
      </c>
      <c r="BE94" s="57" t="n">
        <f aca="false">AV94-BD94</f>
        <v>2.29006856906173E-006</v>
      </c>
      <c r="BF94" s="57" t="n">
        <f aca="false">AL94-AS94-AT94-AU94-BD94</f>
        <v>0.00116552948713496</v>
      </c>
      <c r="BG94" s="19" t="n">
        <f aca="false">AY94*c_stroke_fatal+AZ94*c_stroke_major+BA94*c_stroke_minor+AT94*c_ich+AU94*c_major_bleed+BD94*c_mi_fatal+BE94*c_mi_nonfatal+AW94*c_tia+AX94*c_minor_bleed</f>
        <v>1.61483533525878</v>
      </c>
      <c r="BH94" s="57" t="n">
        <f aca="false">dt*(BE94*dec_mi+BC94*dec_major_bleed+AX94*dec_minor_bleed+AW94*dec_tia)</f>
        <v>5.25052079322123E-007</v>
      </c>
      <c r="BI94" s="57" t="n">
        <f aca="false">H94*AK94+AY94+AT94-BB94+AU94-BC94+BD94</f>
        <v>0.000332883384848099</v>
      </c>
      <c r="BJ94" s="57" t="n">
        <f aca="false">1-EXP(LN(1-E94)*hr_death_prior_stroke*dt)</f>
        <v>0.205539048452053</v>
      </c>
      <c r="BK94" s="57" t="n">
        <f aca="false">I94*(1-BJ94)</f>
        <v>0.000653848125779341</v>
      </c>
      <c r="BL94" s="57" t="n">
        <f aca="false">(1-EXP(-r_stroke*F94*rr_stroke_prior*rr_asa_stroke*dt))</f>
        <v>0.0344590889655114</v>
      </c>
      <c r="BM94" s="57" t="n">
        <f aca="false">(1-EXP(-r_ich*rr_asa_ich*dt))</f>
        <v>0.00102357767802375</v>
      </c>
      <c r="BN94" s="57" t="n">
        <f aca="false">(1-EXP(-r_mb*rr_asa_mb*dt))</f>
        <v>0.00951809672747972</v>
      </c>
      <c r="BO94" s="57" t="n">
        <f aca="false">(1-EXP(-r_mi*rr_asa_mi*dt))</f>
        <v>0.00213413516393479</v>
      </c>
      <c r="BP94" s="57" t="n">
        <f aca="false">(1-EXP(-r_tia*rr_asa_tia*dt))</f>
        <v>0.00312764565589152</v>
      </c>
      <c r="BQ94" s="57" t="n">
        <f aca="false">(1-EXP(-r_minor*rr_asa_minor*dt))</f>
        <v>0.0278181950466747</v>
      </c>
      <c r="BR94" s="57" t="n">
        <f aca="false">BK94*BL94</f>
        <v>2.25310107361632E-005</v>
      </c>
      <c r="BS94" s="57" t="n">
        <f aca="false">BK94*BM94</f>
        <v>6.69264346365396E-007</v>
      </c>
      <c r="BT94" s="57" t="n">
        <f aca="false">BK94*BN94</f>
        <v>6.22338970624909E-006</v>
      </c>
      <c r="BU94" s="57" t="n">
        <f aca="false">BK94*BO94</f>
        <v>1.39540027709855E-006</v>
      </c>
      <c r="BV94" s="57" t="n">
        <f aca="false">BK94*BP94</f>
        <v>2.04500525020657E-006</v>
      </c>
      <c r="BW94" s="57" t="n">
        <f aca="false">BK94*BQ94</f>
        <v>1.81888746938324E-005</v>
      </c>
      <c r="BX94" s="57" t="n">
        <f aca="false">BR94*f_stroke_fatal_recur</f>
        <v>8.38356378481896E-006</v>
      </c>
      <c r="BY94" s="57" t="n">
        <f aca="false">BR94*(1-f_stroke_fatal_recur)*f_stroke_major</f>
        <v>4.71109983479763E-006</v>
      </c>
      <c r="BZ94" s="57" t="n">
        <f aca="false">BR94*(1-f_stroke_fatal_recur)*(1-f_stroke_major)</f>
        <v>9.43634711654661E-006</v>
      </c>
      <c r="CA94" s="57" t="n">
        <f aca="false">BS94*(1-f_bleed_fatal)</f>
        <v>6.13046141270703E-007</v>
      </c>
      <c r="CB94" s="57" t="n">
        <f aca="false">BT94*(1-f_bleed_fatal)</f>
        <v>5.70062497092417E-006</v>
      </c>
      <c r="CC94" s="57" t="n">
        <f aca="false">BU94*f_mi_fatal</f>
        <v>1.68843433528924E-007</v>
      </c>
      <c r="CD94" s="57" t="n">
        <f aca="false">BU94-CC94</f>
        <v>1.22655684356962E-006</v>
      </c>
      <c r="CE94" s="57" t="n">
        <f aca="false">BK94-BR94-BS94-BT94-CC94</f>
        <v>0.000624255617557034</v>
      </c>
      <c r="CF94" s="19" t="n">
        <f aca="false">BX94*c_stroke_fatal+BY94*c_stroke_major+BZ94*c_stroke_minor+BS94*c_ich+BT94*c_major_bleed+CC94*c_mi_fatal+CD94*c_mi_nonfatal+BV94*c_tia+BW94*c_minor_bleed</f>
        <v>0.864903068169359</v>
      </c>
      <c r="CG94" s="57" t="n">
        <f aca="false">dt*(CD94*dec_mi+CB94*dec_major_bleed+BW94*dec_minor_bleed+BV94*dec_tia)</f>
        <v>2.81217003640581E-007</v>
      </c>
      <c r="CH94" s="57" t="n">
        <f aca="false">I94*BJ94+BX94+BS94-CA94+BT94-CB94+CC94</f>
        <v>0.000178291776635904</v>
      </c>
      <c r="CI94" s="57" t="n">
        <f aca="false">1-EXP(LN(1-E94)*dt)</f>
        <v>0.0951985554893469</v>
      </c>
      <c r="CJ94" s="57" t="n">
        <f aca="false">J94*(1-CI94)</f>
        <v>0.00805558454433841</v>
      </c>
      <c r="CK94" s="57" t="n">
        <f aca="false">(1-EXP(-r_stroke*F94*rr_asa_stroke*dt))</f>
        <v>0.0158130959917532</v>
      </c>
      <c r="CL94" s="57" t="n">
        <f aca="false">(1-EXP(-r_ich*rr_asa_ich*dt))</f>
        <v>0.00102357767802375</v>
      </c>
      <c r="CM94" s="57" t="n">
        <f aca="false">(1-EXP(-r_mb*rr_asa_mb*dt))</f>
        <v>0.00951809672747972</v>
      </c>
      <c r="CN94" s="57" t="n">
        <f aca="false">(1-EXP(-r_mi*rr_asa_mi*dt))</f>
        <v>0.00213413516393479</v>
      </c>
      <c r="CO94" s="57" t="n">
        <f aca="false">(1-EXP(-r_tia*rr_asa_tia*dt))</f>
        <v>0.00312764565589152</v>
      </c>
      <c r="CP94" s="57" t="n">
        <f aca="false">(1-EXP(-r_minor*rr_asa_minor*dt))</f>
        <v>0.0278181950466747</v>
      </c>
      <c r="CQ94" s="57" t="n">
        <f aca="false">CJ94*CK94</f>
        <v>0.000127383731669307</v>
      </c>
      <c r="CR94" s="57" t="n">
        <f aca="false">CJ94*CL94</f>
        <v>8.24551652301788E-006</v>
      </c>
      <c r="CS94" s="57" t="n">
        <f aca="false">CJ94*CM94</f>
        <v>7.66738328894036E-005</v>
      </c>
      <c r="CT94" s="57" t="n">
        <f aca="false">CJ94*CN94</f>
        <v>1.71917062421222E-005</v>
      </c>
      <c r="CU94" s="57" t="n">
        <f aca="false">CJ94*CO94</f>
        <v>2.51950140057669E-005</v>
      </c>
      <c r="CV94" s="57" t="n">
        <f aca="false">CJ94*CP94</f>
        <v>0.000224091822069384</v>
      </c>
      <c r="CW94" s="57" t="n">
        <f aca="false">CQ94*f_stroke_fatal</f>
        <v>3.01899444056256E-005</v>
      </c>
      <c r="CX94" s="57" t="n">
        <f aca="false">CQ94*(1-f_stroke_fatal)*f_stroke_major</f>
        <v>3.23655311588057E-005</v>
      </c>
      <c r="CY94" s="57" t="n">
        <f aca="false">CQ94*(1-f_stroke_fatal)*(1-f_stroke_major)</f>
        <v>6.48282561048752E-005</v>
      </c>
      <c r="CZ94" s="57" t="n">
        <f aca="false">CR94*(1-f_bleed_fatal)</f>
        <v>7.55289313508438E-006</v>
      </c>
      <c r="DA94" s="57" t="n">
        <f aca="false">CS94*(1-f_bleed_fatal)</f>
        <v>7.02332309266937E-005</v>
      </c>
      <c r="DB94" s="57" t="n">
        <f aca="false">CT94*f_mi_fatal</f>
        <v>2.08019645529679E-006</v>
      </c>
      <c r="DC94" s="57" t="n">
        <f aca="false">CT94-DB94</f>
        <v>1.51115097868254E-005</v>
      </c>
      <c r="DD94" s="57" t="n">
        <f aca="false">CJ94-CQ94-CR94-CS94-DB94</f>
        <v>0.00784120126680138</v>
      </c>
      <c r="DE94" s="19" t="n">
        <f aca="false">CW94*c_stroke_fatal+CX94*c_stroke_major+CY94*c_stroke_minor+CR94*c_ich+CS94*c_major_bleed+DB94*c_mi_fatal+DC94*c_mi_nonfatal+CU94*c_tia+CV94*c_minor_bleed</f>
        <v>5.79127805658973</v>
      </c>
      <c r="DF94" s="57" t="n">
        <f aca="false">dt*(DC94*dec_mi+DA94*dec_major_bleed+CV94*dec_minor_bleed+CU94*dec_tia)</f>
        <v>3.46466902452624E-006</v>
      </c>
      <c r="DG94" s="57" t="n">
        <f aca="false">J94*CI94+CW94+CR94-CZ94+CS94-DA94+DB94</f>
        <v>0.000886970550035061</v>
      </c>
      <c r="DH94" s="57" t="n">
        <f aca="false">AG94</f>
        <v>0.0148285580040454</v>
      </c>
      <c r="DI94" s="57" t="n">
        <f aca="false">AB94+AC94+BF94+BA94+BB94+BC94+CY94+CZ94</f>
        <v>0.00133836369441187</v>
      </c>
      <c r="DJ94" s="57" t="n">
        <f aca="false">AA94+AZ94+BY94+CX94+CE94+BZ94+CA94+CB94</f>
        <v>0.000715538424441205</v>
      </c>
      <c r="DK94" s="57" t="n">
        <f aca="false">AD94+DD94+DA94</f>
        <v>0.0080037920158871</v>
      </c>
      <c r="DL94" s="57" t="n">
        <f aca="false">K94+AJ94+BI94+CH94+DG94</f>
        <v>0.975113747861214</v>
      </c>
      <c r="DM94" s="58" t="n">
        <f aca="false">SUM(DH94:DL94)</f>
        <v>0.999999999999999</v>
      </c>
      <c r="DN94" s="19" t="n">
        <f aca="false">dt*(G94*Apixaban!$H$2+(H94+I94+J94)*c_aspirin)</f>
        <v>1.35144353739273</v>
      </c>
      <c r="DO94" s="19" t="n">
        <f aca="false">dt*(H94*c_lt_minor_stroke+I94*c_lt_major_stroke)</f>
        <v>9.52711378905356</v>
      </c>
      <c r="DP94" s="19" t="n">
        <f aca="false">AH94+BG94+CF94+DE94</f>
        <v>14.047665730335</v>
      </c>
      <c r="DQ94" s="19" t="n">
        <f aca="false">DN94+DO94+DP94</f>
        <v>24.9262230567813</v>
      </c>
      <c r="DR94" s="57" t="n">
        <f aca="false">dt*(G94*(u_af-dec_per_year_over_70*MAX(B94-ref_age,0))+H94*(u_minor_stroke-dec_per_year_over_70*MAX(B94-ref_age,0))+I94*(u_major_stroke-dec_per_year_over_70*MAX(B94-ref_age,0))+J94*(u_af-dec_per_year_over_70*MAX(B94-ref_age,0)))-AI94-BH94-CG94-DF94</f>
        <v>0.0054758534709528</v>
      </c>
      <c r="DS94" s="57" t="n">
        <f aca="false">dt*(G94+H94+I94+J94)</f>
        <v>0.00697716957449346</v>
      </c>
      <c r="DT94" s="19" t="n">
        <f aca="false">DQ94*C94</f>
        <v>17.9640207311097</v>
      </c>
      <c r="DU94" s="19" t="n">
        <f aca="false">DN94*C94</f>
        <v>0.97396864608585</v>
      </c>
      <c r="DV94" s="19" t="n">
        <f aca="false">DP94*C94</f>
        <v>10.1239789850466</v>
      </c>
      <c r="DW94" s="19" t="n">
        <f aca="false">DO94*C94</f>
        <v>6.86607309997725</v>
      </c>
      <c r="DX94" s="57" t="n">
        <f aca="false">DR94*C94</f>
        <v>0.0039463798846955</v>
      </c>
      <c r="DY94" s="57" t="n">
        <f aca="false">DS94*C94</f>
        <v>0.00502835983595073</v>
      </c>
      <c r="DZ94" s="57" t="n">
        <f aca="false">T94+AS94+BR94+CQ94</f>
        <v>0.000308717871077773</v>
      </c>
      <c r="EA94" s="57" t="n">
        <f aca="false">U94+AT94+BS94+CR94</f>
        <v>2.28686977447451E-005</v>
      </c>
      <c r="EB94" s="57" t="n">
        <f aca="false">V94+AU94+BT94+CS94</f>
        <v>0.000195343717199961</v>
      </c>
      <c r="EC94" s="57" t="n">
        <f aca="false">G94*dt*C94</f>
        <v>0.00299912408315407</v>
      </c>
    </row>
    <row r="95" customFormat="false" ht="15" hidden="false" customHeight="false" outlineLevel="0" collapsed="false">
      <c r="A95" s="8" t="n">
        <v>89</v>
      </c>
      <c r="B95" s="54" t="n">
        <f aca="false">start_age+A95*dt</f>
        <v>92.25</v>
      </c>
      <c r="C95" s="16" t="n">
        <f aca="false">(1+disc_rate)^-(A95*dt)</f>
        <v>0.718010110909828</v>
      </c>
      <c r="D95" s="55" t="n">
        <f aca="false">IF(A95*dt&gt;=wane_start,(1-wane_decay)^(A95*dt-wane_start),1)</f>
        <v>1</v>
      </c>
      <c r="E95" s="25" t="n">
        <f aca="false">MIN(p_nonvasc_death*MIN(EXP(gomp_int+gomp_slope*INT(B95)),1)/qx_ref,0.999)</f>
        <v>0.329786546979476</v>
      </c>
      <c r="F95" s="55" t="n">
        <f aca="false">rr_stroke_per_decade^((B95-ref_age)/10)</f>
        <v>2.46492126434091</v>
      </c>
      <c r="G95" s="57" t="n">
        <f aca="false">DH94</f>
        <v>0.0148285580040454</v>
      </c>
      <c r="H95" s="57" t="n">
        <f aca="false">DI94</f>
        <v>0.00133836369441187</v>
      </c>
      <c r="I95" s="57" t="n">
        <f aca="false">DJ94</f>
        <v>0.000715538424441205</v>
      </c>
      <c r="J95" s="57" t="n">
        <f aca="false">DK94</f>
        <v>0.0080037920158871</v>
      </c>
      <c r="K95" s="57" t="n">
        <f aca="false">DL94</f>
        <v>0.975113747861214</v>
      </c>
      <c r="L95" s="57" t="n">
        <f aca="false">1-EXP(LN(1-E95)*dt)</f>
        <v>0.0951985554893469</v>
      </c>
      <c r="M95" s="57" t="n">
        <f aca="false">G95*(1-L95)</f>
        <v>0.0134169007020703</v>
      </c>
      <c r="N95" s="57" t="n">
        <f aca="false">IF(Apixaban!$B$2=1,EXP(LN(or_apx_stroke)*D95)*(1-EXP(-r_stroke*F95*dt))/(1-(1-EXP(-r_stroke*F95*dt))+EXP(LN(or_apx_stroke)*D95)*(1-EXP(-r_stroke*F95*dt))),(1-EXP(-r_stroke*F95*dt)))</f>
        <v>0.00782950470112546</v>
      </c>
      <c r="O95" s="57" t="n">
        <f aca="false">IF(Apixaban!$B$2=1,EXP(LN(or_apx_ich)*D95)*(1-EXP(-r_ich*dt))/(1-(1-EXP(-r_ich*dt))+EXP(LN(or_apx_ich)*D95)*(1-EXP(-r_ich*dt))),(1-EXP(-r_ich*dt)))</f>
        <v>0.000843513249640701</v>
      </c>
      <c r="P95" s="57" t="n">
        <f aca="false">IF(Apixaban!$B$2=1,EXP(LN(or_apx_mb)*D95)*(1-EXP(-r_mb*dt))/(1-(1-EXP(-r_mb*dt))+EXP(LN(or_apx_mb)*D95)*(1-EXP(-r_mb*dt))),(1-EXP(-r_mb*dt)))</f>
        <v>0.00669446907979895</v>
      </c>
      <c r="Q95" s="57" t="n">
        <f aca="false">IF(Apixaban!$B$2=1,EXP(LN(or_apx_mi)*D95)*(1-EXP(-r_mi*dt))/(1-(1-EXP(-r_mi*dt))+EXP(LN(or_apx_mi)*D95)*(1-EXP(-r_mi*dt))),(1-EXP(-r_mi*dt)))</f>
        <v>0.00132321915530843</v>
      </c>
      <c r="R95" s="57" t="n">
        <f aca="false">(1-EXP(-r_tia*dt))</f>
        <v>0.0020060281549299</v>
      </c>
      <c r="S95" s="57" t="n">
        <f aca="false">(1-EXP(-r_minor*dt))</f>
        <v>0.0437937690785545</v>
      </c>
      <c r="T95" s="57" t="n">
        <f aca="false">M95*N95</f>
        <v>0.000105047687121393</v>
      </c>
      <c r="U95" s="57" t="n">
        <f aca="false">M95*O95</f>
        <v>1.13173335113099E-005</v>
      </c>
      <c r="V95" s="57" t="n">
        <f aca="false">M95*P95</f>
        <v>8.98190268967424E-005</v>
      </c>
      <c r="W95" s="57" t="n">
        <f aca="false">M95*Q95</f>
        <v>1.77535000138505E-005</v>
      </c>
      <c r="X95" s="57" t="n">
        <f aca="false">M95*R95</f>
        <v>2.69146805602517E-005</v>
      </c>
      <c r="Y95" s="57" t="n">
        <f aca="false">M95*S95</f>
        <v>0.000587576651096362</v>
      </c>
      <c r="Z95" s="57" t="n">
        <f aca="false">T95*f_stroke_fatal</f>
        <v>2.48963018477701E-005</v>
      </c>
      <c r="AA95" s="57" t="n">
        <f aca="false">T95*(1-f_stroke_fatal)*f_stroke_major</f>
        <v>2.66904112961164E-005</v>
      </c>
      <c r="AB95" s="57" t="n">
        <f aca="false">T95*(1-f_stroke_fatal)*(1-f_stroke_major)</f>
        <v>5.34609739775064E-005</v>
      </c>
      <c r="AC95" s="57" t="n">
        <f aca="false">U95*(1-f_bleed_fatal)</f>
        <v>1.03666774963599E-005</v>
      </c>
      <c r="AD95" s="57" t="n">
        <f aca="false">V95*(1-f_bleed_fatal)</f>
        <v>8.22742286374161E-005</v>
      </c>
      <c r="AE95" s="57" t="n">
        <f aca="false">W95*f_mi_fatal</f>
        <v>2.14817350167591E-006</v>
      </c>
      <c r="AF95" s="57" t="n">
        <f aca="false">W95-AE95</f>
        <v>1.56053265121746E-005</v>
      </c>
      <c r="AG95" s="57" t="n">
        <f aca="false">M95-T95-U95-V95-AE95</f>
        <v>0.0132085684810392</v>
      </c>
      <c r="AH95" s="19" t="n">
        <f aca="false">Z95*c_stroke_fatal+AA95*c_stroke_major+AB95*c_stroke_minor+U95*c_ich+V95*c_major_bleed+AE95*c_mi_fatal+AF95*c_mi_nonfatal+X95*c_tia+Y95*c_minor_bleed</f>
        <v>5.18500591935064</v>
      </c>
      <c r="AI95" s="57" t="n">
        <f aca="false">dt*(AF95*dec_mi+AD95*dec_major_bleed+Y95*dec_minor_bleed+X95*dec_tia)</f>
        <v>4.98265085265568E-006</v>
      </c>
      <c r="AJ95" s="57" t="n">
        <f aca="false">G95*L95+Z95+U95-AC95+V95-AD95+AE95</f>
        <v>0.00144719723159884</v>
      </c>
      <c r="AK95" s="57" t="n">
        <f aca="false">1-EXP(LN(1-E95)*hr_death_prior_stroke*dt)</f>
        <v>0.205539048452053</v>
      </c>
      <c r="AL95" s="57" t="n">
        <f aca="false">H95*(1-AK95)</f>
        <v>0.00106327769417968</v>
      </c>
      <c r="AM95" s="57" t="n">
        <f aca="false">(1-EXP(-r_stroke*F95*rr_stroke_prior*rr_asa_stroke*dt))</f>
        <v>0.0348039830922006</v>
      </c>
      <c r="AN95" s="57" t="n">
        <f aca="false">(1-EXP(-r_ich*rr_asa_ich*dt))</f>
        <v>0.00102357767802375</v>
      </c>
      <c r="AO95" s="57" t="n">
        <f aca="false">(1-EXP(-r_mb*rr_asa_mb*dt))</f>
        <v>0.00951809672747972</v>
      </c>
      <c r="AP95" s="57" t="n">
        <f aca="false">(1-EXP(-r_mi*rr_asa_mi*dt))</f>
        <v>0.00213413516393479</v>
      </c>
      <c r="AQ95" s="57" t="n">
        <f aca="false">(1-EXP(-r_tia*rr_asa_tia*dt))</f>
        <v>0.00312764565589152</v>
      </c>
      <c r="AR95" s="57" t="n">
        <f aca="false">(1-EXP(-r_minor*rr_asa_minor*dt))</f>
        <v>0.0278181950466747</v>
      </c>
      <c r="AS95" s="57" t="n">
        <f aca="false">AL95*AM95</f>
        <v>3.70062988905437E-005</v>
      </c>
      <c r="AT95" s="57" t="n">
        <f aca="false">AL95*AN95</f>
        <v>1.08834731330288E-006</v>
      </c>
      <c r="AU95" s="57" t="n">
        <f aca="false">AL95*AO95</f>
        <v>1.01203799413738E-005</v>
      </c>
      <c r="AV95" s="57" t="n">
        <f aca="false">AL95*AP95</f>
        <v>2.26917831617636E-006</v>
      </c>
      <c r="AW95" s="57" t="n">
        <f aca="false">AL95*AQ95</f>
        <v>3.32555586120744E-006</v>
      </c>
      <c r="AX95" s="57" t="n">
        <f aca="false">AL95*AR95</f>
        <v>2.95784662854689E-005</v>
      </c>
      <c r="AY95" s="57" t="n">
        <f aca="false">AS95*f_stroke_fatal_recur</f>
        <v>1.37696737541824E-005</v>
      </c>
      <c r="AZ95" s="57" t="n">
        <f aca="false">AS95*(1-f_stroke_fatal_recur)*f_stroke_major</f>
        <v>7.7377961704083E-006</v>
      </c>
      <c r="BA95" s="57" t="n">
        <f aca="false">AS95*(1-f_stroke_fatal_recur)*(1-f_stroke_major)</f>
        <v>1.5498828965953E-005</v>
      </c>
      <c r="BB95" s="57" t="n">
        <f aca="false">AT95*(1-f_bleed_fatal)</f>
        <v>9.9692613898544E-007</v>
      </c>
      <c r="BC95" s="57" t="n">
        <f aca="false">AU95*(1-f_bleed_fatal)</f>
        <v>9.27026802629842E-006</v>
      </c>
      <c r="BD95" s="57" t="n">
        <f aca="false">AV95*f_mi_fatal</f>
        <v>2.7457057625734E-007</v>
      </c>
      <c r="BE95" s="57" t="n">
        <f aca="false">AV95-BD95</f>
        <v>1.99460773991902E-006</v>
      </c>
      <c r="BF95" s="57" t="n">
        <f aca="false">AL95-AS95-AT95-AU95-BD95</f>
        <v>0.0010147880974582</v>
      </c>
      <c r="BG95" s="19" t="n">
        <f aca="false">AY95*c_stroke_fatal+AZ95*c_stroke_major+BA95*c_stroke_minor+AT95*c_ich+AU95*c_major_bleed+BD95*c_mi_fatal+BE95*c_mi_nonfatal+AW95*c_tia+AX95*c_minor_bleed</f>
        <v>1.41913621787071</v>
      </c>
      <c r="BH95" s="57" t="n">
        <f aca="false">dt*(BE95*dec_mi+BC95*dec_major_bleed+AX95*dec_minor_bleed+AW95*dec_tia)</f>
        <v>4.57310735331199E-007</v>
      </c>
      <c r="BI95" s="57" t="n">
        <f aca="false">H95*AK95+AY95+AT95-BB95+AU95-BC95+BD95</f>
        <v>0.000290071777652024</v>
      </c>
      <c r="BJ95" s="57" t="n">
        <f aca="false">1-EXP(LN(1-E95)*hr_death_prior_stroke*dt)</f>
        <v>0.205539048452053</v>
      </c>
      <c r="BK95" s="57" t="n">
        <f aca="false">I95*(1-BJ95)</f>
        <v>0.000568467337550678</v>
      </c>
      <c r="BL95" s="57" t="n">
        <f aca="false">(1-EXP(-r_stroke*F95*rr_stroke_prior*rr_asa_stroke*dt))</f>
        <v>0.0348039830922006</v>
      </c>
      <c r="BM95" s="57" t="n">
        <f aca="false">(1-EXP(-r_ich*rr_asa_ich*dt))</f>
        <v>0.00102357767802375</v>
      </c>
      <c r="BN95" s="57" t="n">
        <f aca="false">(1-EXP(-r_mb*rr_asa_mb*dt))</f>
        <v>0.00951809672747972</v>
      </c>
      <c r="BO95" s="57" t="n">
        <f aca="false">(1-EXP(-r_mi*rr_asa_mi*dt))</f>
        <v>0.00213413516393479</v>
      </c>
      <c r="BP95" s="57" t="n">
        <f aca="false">(1-EXP(-r_tia*rr_asa_tia*dt))</f>
        <v>0.00312764565589152</v>
      </c>
      <c r="BQ95" s="57" t="n">
        <f aca="false">(1-EXP(-r_minor*rr_asa_minor*dt))</f>
        <v>0.0278181950466747</v>
      </c>
      <c r="BR95" s="57" t="n">
        <f aca="false">BK95*BL95</f>
        <v>1.97849276045821E-005</v>
      </c>
      <c r="BS95" s="57" t="n">
        <f aca="false">BK95*BM95</f>
        <v>5.81870477402465E-007</v>
      </c>
      <c r="BT95" s="57" t="n">
        <f aca="false">BK95*BN95</f>
        <v>5.41072710522022E-006</v>
      </c>
      <c r="BU95" s="57" t="n">
        <f aca="false">BK95*BO95</f>
        <v>1.21318613461529E-006</v>
      </c>
      <c r="BV95" s="57" t="n">
        <f aca="false">BK95*BP95</f>
        <v>1.7779643988066E-006</v>
      </c>
      <c r="BW95" s="57" t="n">
        <f aca="false">BK95*BQ95</f>
        <v>1.58137352736486E-005</v>
      </c>
      <c r="BX95" s="57" t="n">
        <f aca="false">BR95*f_stroke_fatal_recur</f>
        <v>7.36177371238895E-006</v>
      </c>
      <c r="BY95" s="57" t="n">
        <f aca="false">BR95*(1-f_stroke_fatal_recur)*f_stroke_major</f>
        <v>4.13691024610031E-006</v>
      </c>
      <c r="BZ95" s="57" t="n">
        <f aca="false">BR95*(1-f_stroke_fatal_recur)*(1-f_stroke_major)</f>
        <v>8.28624364609282E-006</v>
      </c>
      <c r="CA95" s="57" t="n">
        <f aca="false">BS95*(1-f_bleed_fatal)</f>
        <v>5.32993357300658E-007</v>
      </c>
      <c r="CB95" s="57" t="n">
        <f aca="false">BT95*(1-f_bleed_fatal)</f>
        <v>4.95622602838172E-006</v>
      </c>
      <c r="CC95" s="57" t="n">
        <f aca="false">BU95*f_mi_fatal</f>
        <v>1.4679552228845E-007</v>
      </c>
      <c r="CD95" s="57" t="n">
        <f aca="false">BU95-CC95</f>
        <v>1.06639061232684E-006</v>
      </c>
      <c r="CE95" s="57" t="n">
        <f aca="false">BK95-BR95-BS95-BT95-CC95</f>
        <v>0.000542543016841185</v>
      </c>
      <c r="CF95" s="19" t="n">
        <f aca="false">BX95*c_stroke_fatal+BY95*c_stroke_major+BZ95*c_stroke_minor+BS95*c_ich+BT95*c_major_bleed+CC95*c_mi_fatal+CD95*c_mi_nonfatal+BV95*c_tia+BW95*c_minor_bleed</f>
        <v>0.75872238438811</v>
      </c>
      <c r="CG95" s="57" t="n">
        <f aca="false">dt*(CD95*dec_mi+CB95*dec_major_bleed+BW95*dec_minor_bleed+BV95*dec_tia)</f>
        <v>2.44495128196621E-007</v>
      </c>
      <c r="CH95" s="57" t="n">
        <f aca="false">I95*BJ95+BX95+BS95-CA95+BT95-CB95+CC95</f>
        <v>0.000155083034322144</v>
      </c>
      <c r="CI95" s="57" t="n">
        <f aca="false">1-EXP(LN(1-E95)*dt)</f>
        <v>0.0951985554893469</v>
      </c>
      <c r="CJ95" s="57" t="n">
        <f aca="false">J95*(1-CI95)</f>
        <v>0.00724184257753748</v>
      </c>
      <c r="CK95" s="57" t="n">
        <f aca="false">(1-EXP(-r_stroke*F95*rr_asa_stroke*dt))</f>
        <v>0.0159729090763145</v>
      </c>
      <c r="CL95" s="57" t="n">
        <f aca="false">(1-EXP(-r_ich*rr_asa_ich*dt))</f>
        <v>0.00102357767802375</v>
      </c>
      <c r="CM95" s="57" t="n">
        <f aca="false">(1-EXP(-r_mb*rr_asa_mb*dt))</f>
        <v>0.00951809672747972</v>
      </c>
      <c r="CN95" s="57" t="n">
        <f aca="false">(1-EXP(-r_mi*rr_asa_mi*dt))</f>
        <v>0.00213413516393479</v>
      </c>
      <c r="CO95" s="57" t="n">
        <f aca="false">(1-EXP(-r_tia*rr_asa_tia*dt))</f>
        <v>0.00312764565589152</v>
      </c>
      <c r="CP95" s="57" t="n">
        <f aca="false">(1-EXP(-r_minor*rr_asa_minor*dt))</f>
        <v>0.0278181950466747</v>
      </c>
      <c r="CQ95" s="57" t="n">
        <f aca="false">CJ95*CK95</f>
        <v>0.000115673293035989</v>
      </c>
      <c r="CR95" s="57" t="n">
        <f aca="false">CJ95*CL95</f>
        <v>7.41258841012931E-006</v>
      </c>
      <c r="CS95" s="57" t="n">
        <f aca="false">CJ95*CM95</f>
        <v>6.89285581381827E-005</v>
      </c>
      <c r="CT95" s="57" t="n">
        <f aca="false">CJ95*CN95</f>
        <v>1.54550708964029E-005</v>
      </c>
      <c r="CU95" s="57" t="n">
        <f aca="false">CJ95*CO95</f>
        <v>2.26499174782853E-005</v>
      </c>
      <c r="CV95" s="57" t="n">
        <f aca="false">CJ95*CP95</f>
        <v>0.000201454989319251</v>
      </c>
      <c r="CW95" s="57" t="n">
        <f aca="false">CQ95*f_stroke_fatal</f>
        <v>2.74145704495295E-005</v>
      </c>
      <c r="CX95" s="57" t="n">
        <f aca="false">CQ95*(1-f_stroke_fatal)*f_stroke_major</f>
        <v>2.93901546212912E-005</v>
      </c>
      <c r="CY95" s="57" t="n">
        <f aca="false">CQ95*(1-f_stroke_fatal)*(1-f_stroke_major)</f>
        <v>5.88685679651688E-005</v>
      </c>
      <c r="CZ95" s="57" t="n">
        <f aca="false">CR95*(1-f_bleed_fatal)</f>
        <v>6.78993098367845E-006</v>
      </c>
      <c r="DA95" s="57" t="n">
        <f aca="false">CS95*(1-f_bleed_fatal)</f>
        <v>6.31385592545754E-005</v>
      </c>
      <c r="DB95" s="57" t="n">
        <f aca="false">CT95*f_mi_fatal</f>
        <v>1.87006357846475E-006</v>
      </c>
      <c r="DC95" s="57" t="n">
        <f aca="false">CT95-DB95</f>
        <v>1.35850073179381E-005</v>
      </c>
      <c r="DD95" s="57" t="n">
        <f aca="false">CJ95-CQ95-CR95-CS95-DB95</f>
        <v>0.00704795807437471</v>
      </c>
      <c r="DE95" s="19" t="n">
        <f aca="false">CW95*c_stroke_fatal+CX95*c_stroke_major+CY95*c_stroke_minor+CR95*c_ich+CS95*c_major_bleed+DB95*c_mi_fatal+DC95*c_mi_nonfatal+CU95*c_tia+CV95*c_minor_bleed</f>
        <v>5.24902801910198</v>
      </c>
      <c r="DF95" s="57" t="n">
        <f aca="false">dt*(DC95*dec_mi+DA95*dec_major_bleed+CV95*dec_minor_bleed+CU95*dec_tia)</f>
        <v>3.11468243189421E-006</v>
      </c>
      <c r="DG95" s="57" t="n">
        <f aca="false">J95*CI95+CW95+CR95-CZ95+CS95-DA95+DB95</f>
        <v>0.000797646728687671</v>
      </c>
      <c r="DH95" s="57" t="n">
        <f aca="false">AG95</f>
        <v>0.0132085684810392</v>
      </c>
      <c r="DI95" s="57" t="n">
        <f aca="false">AB95+AC95+BF95+BA95+BB95+BC95+CY95+CZ95</f>
        <v>0.00117004027101215</v>
      </c>
      <c r="DJ95" s="57" t="n">
        <f aca="false">AA95+AZ95+BY95+CX95+CE95+BZ95+CA95+CB95</f>
        <v>0.000624273752206877</v>
      </c>
      <c r="DK95" s="57" t="n">
        <f aca="false">AD95+DD95+DA95</f>
        <v>0.0071933708622667</v>
      </c>
      <c r="DL95" s="57" t="n">
        <f aca="false">K95+AJ95+BI95+CH95+DG95</f>
        <v>0.977803746633475</v>
      </c>
      <c r="DM95" s="58" t="n">
        <f aca="false">SUM(DH95:DL95)</f>
        <v>0.999999999999999</v>
      </c>
      <c r="DN95" s="19" t="n">
        <f aca="false">dt*(G95*Apixaban!$H$2+(H95+I95+J95)*c_aspirin)</f>
        <v>1.20413700635669</v>
      </c>
      <c r="DO95" s="19" t="n">
        <f aca="false">dt*(H95*c_lt_minor_stroke+I95*c_lt_major_stroke)</f>
        <v>8.28953974907341</v>
      </c>
      <c r="DP95" s="19" t="n">
        <f aca="false">AH95+BG95+CF95+DE95</f>
        <v>12.6118925407114</v>
      </c>
      <c r="DQ95" s="19" t="n">
        <f aca="false">DN95+DO95+DP95</f>
        <v>22.1055692961415</v>
      </c>
      <c r="DR95" s="57" t="n">
        <f aca="false">dt*(G95*(u_af-dec_per_year_over_70*MAX(B95-ref_age,0))+H95*(u_minor_stroke-dec_per_year_over_70*MAX(B95-ref_age,0))+I95*(u_major_stroke-dec_per_year_over_70*MAX(B95-ref_age,0))+J95*(u_af-dec_per_year_over_70*MAX(B95-ref_age,0)))-AI95-BH95-CG95-DF95</f>
        <v>0.00488504731710139</v>
      </c>
      <c r="DS95" s="57" t="n">
        <f aca="false">dt*(G95+H95+I95+J95)</f>
        <v>0.00622156303469639</v>
      </c>
      <c r="DT95" s="19" t="n">
        <f aca="false">DQ95*C95</f>
        <v>15.8720222620475</v>
      </c>
      <c r="DU95" s="19" t="n">
        <f aca="false">DN95*C95</f>
        <v>0.864582545484793</v>
      </c>
      <c r="DV95" s="19" t="n">
        <f aca="false">DP95*C95</f>
        <v>9.05546636193905</v>
      </c>
      <c r="DW95" s="19" t="n">
        <f aca="false">DO95*C95</f>
        <v>5.95197335462363</v>
      </c>
      <c r="DX95" s="57" t="n">
        <f aca="false">DR95*C95</f>
        <v>0.00350751336595173</v>
      </c>
      <c r="DY95" s="57" t="n">
        <f aca="false">DS95*C95</f>
        <v>0.00446714516457484</v>
      </c>
      <c r="DZ95" s="57" t="n">
        <f aca="false">T95+AS95+BR95+CQ95</f>
        <v>0.000277512206652508</v>
      </c>
      <c r="EA95" s="57" t="n">
        <f aca="false">U95+AT95+BS95+CR95</f>
        <v>2.04001397121446E-005</v>
      </c>
      <c r="EB95" s="57" t="n">
        <f aca="false">V95+AU95+BT95+CS95</f>
        <v>0.000174278692081519</v>
      </c>
      <c r="EC95" s="57" t="n">
        <f aca="false">G95*dt*C95</f>
        <v>0.00266176364427937</v>
      </c>
    </row>
    <row r="96" customFormat="false" ht="15" hidden="false" customHeight="false" outlineLevel="0" collapsed="false">
      <c r="A96" s="8" t="n">
        <v>90</v>
      </c>
      <c r="B96" s="54" t="n">
        <f aca="false">start_age+A96*dt</f>
        <v>92.5</v>
      </c>
      <c r="C96" s="16" t="n">
        <f aca="false">(1+disc_rate)^-(A96*dt)</f>
        <v>0.715342534975703</v>
      </c>
      <c r="D96" s="55" t="n">
        <f aca="false">IF(A96*dt&gt;=wane_start,(1-wane_decay)^(A96*dt-wane_start),1)</f>
        <v>1</v>
      </c>
      <c r="E96" s="25" t="n">
        <f aca="false">MIN(p_nonvasc_death*MIN(EXP(gomp_int+gomp_slope*INT(B96)),1)/qx_ref,0.999)</f>
        <v>0.329786546979476</v>
      </c>
      <c r="F96" s="55" t="n">
        <f aca="false">rr_stroke_per_decade^((B96-ref_age)/10)</f>
        <v>2.49003431932572</v>
      </c>
      <c r="G96" s="57" t="n">
        <f aca="false">DH95</f>
        <v>0.0132085684810392</v>
      </c>
      <c r="H96" s="57" t="n">
        <f aca="false">DI95</f>
        <v>0.00117004027101215</v>
      </c>
      <c r="I96" s="57" t="n">
        <f aca="false">DJ95</f>
        <v>0.000624273752206877</v>
      </c>
      <c r="J96" s="57" t="n">
        <f aca="false">DK95</f>
        <v>0.0071933708622667</v>
      </c>
      <c r="K96" s="57" t="n">
        <f aca="false">DL95</f>
        <v>0.977803746633475</v>
      </c>
      <c r="L96" s="57" t="n">
        <f aca="false">1-EXP(LN(1-E96)*dt)</f>
        <v>0.0951985554893469</v>
      </c>
      <c r="M96" s="57" t="n">
        <f aca="false">G96*(1-L96)</f>
        <v>0.0119511318415621</v>
      </c>
      <c r="N96" s="57" t="n">
        <f aca="false">IF(Apixaban!$B$2=1,EXP(LN(or_apx_stroke)*D96)*(1-EXP(-r_stroke*F96*dt))/(1-(1-EXP(-r_stroke*F96*dt))+EXP(LN(or_apx_stroke)*D96)*(1-EXP(-r_stroke*F96*dt))),(1-EXP(-r_stroke*F96*dt)))</f>
        <v>0.00790904016086236</v>
      </c>
      <c r="O96" s="57" t="n">
        <f aca="false">IF(Apixaban!$B$2=1,EXP(LN(or_apx_ich)*D96)*(1-EXP(-r_ich*dt))/(1-(1-EXP(-r_ich*dt))+EXP(LN(or_apx_ich)*D96)*(1-EXP(-r_ich*dt))),(1-EXP(-r_ich*dt)))</f>
        <v>0.000843513249640701</v>
      </c>
      <c r="P96" s="57" t="n">
        <f aca="false">IF(Apixaban!$B$2=1,EXP(LN(or_apx_mb)*D96)*(1-EXP(-r_mb*dt))/(1-(1-EXP(-r_mb*dt))+EXP(LN(or_apx_mb)*D96)*(1-EXP(-r_mb*dt))),(1-EXP(-r_mb*dt)))</f>
        <v>0.00669446907979895</v>
      </c>
      <c r="Q96" s="57" t="n">
        <f aca="false">IF(Apixaban!$B$2=1,EXP(LN(or_apx_mi)*D96)*(1-EXP(-r_mi*dt))/(1-(1-EXP(-r_mi*dt))+EXP(LN(or_apx_mi)*D96)*(1-EXP(-r_mi*dt))),(1-EXP(-r_mi*dt)))</f>
        <v>0.00132321915530843</v>
      </c>
      <c r="R96" s="57" t="n">
        <f aca="false">(1-EXP(-r_tia*dt))</f>
        <v>0.0020060281549299</v>
      </c>
      <c r="S96" s="57" t="n">
        <f aca="false">(1-EXP(-r_minor*dt))</f>
        <v>0.0437937690785545</v>
      </c>
      <c r="T96" s="57" t="n">
        <f aca="false">M96*N96</f>
        <v>9.45219817026758E-005</v>
      </c>
      <c r="U96" s="57" t="n">
        <f aca="false">M96*O96</f>
        <v>1.00809380565605E-005</v>
      </c>
      <c r="V96" s="57" t="n">
        <f aca="false">M96*P96</f>
        <v>8.00064825819384E-005</v>
      </c>
      <c r="W96" s="57" t="n">
        <f aca="false">M96*Q96</f>
        <v>1.58139665803715E-005</v>
      </c>
      <c r="X96" s="57" t="n">
        <f aca="false">M96*R96</f>
        <v>2.39743069574528E-005</v>
      </c>
      <c r="Y96" s="57" t="n">
        <f aca="false">M96*S96</f>
        <v>0.000523385108096731</v>
      </c>
      <c r="Z96" s="57" t="n">
        <f aca="false">T96*f_stroke_fatal</f>
        <v>2.24017096635342E-005</v>
      </c>
      <c r="AA96" s="57" t="n">
        <f aca="false">T96*(1-f_stroke_fatal)*f_stroke_major</f>
        <v>2.40160505890342E-005</v>
      </c>
      <c r="AB96" s="57" t="n">
        <f aca="false">T96*(1-f_stroke_fatal)*(1-f_stroke_major)</f>
        <v>4.81042214501075E-005</v>
      </c>
      <c r="AC96" s="57" t="n">
        <f aca="false">U96*(1-f_bleed_fatal)</f>
        <v>9.23413925980944E-006</v>
      </c>
      <c r="AD96" s="57" t="n">
        <f aca="false">V96*(1-f_bleed_fatal)</f>
        <v>7.32859380450555E-005</v>
      </c>
      <c r="AE96" s="57" t="n">
        <f aca="false">W96*f_mi_fatal</f>
        <v>1.91348995622495E-006</v>
      </c>
      <c r="AF96" s="57" t="n">
        <f aca="false">W96-AE96</f>
        <v>1.39004766241466E-005</v>
      </c>
      <c r="AG96" s="57" t="n">
        <f aca="false">M96-T96-U96-V96-AE96</f>
        <v>0.0117646089492647</v>
      </c>
      <c r="AH96" s="19" t="n">
        <f aca="false">Z96*c_stroke_fatal+AA96*c_stroke_major+AB96*c_stroke_minor+U96*c_ich+V96*c_major_bleed+AE96*c_mi_fatal+AF96*c_mi_nonfatal+X96*c_tia+Y96*c_minor_bleed</f>
        <v>4.65367482144764</v>
      </c>
      <c r="AI96" s="57" t="n">
        <f aca="false">dt*(AF96*dec_mi+AD96*dec_major_bleed+Y96*dec_minor_bleed+X96*dec_tia)</f>
        <v>4.43830647500964E-006</v>
      </c>
      <c r="AJ96" s="57" t="n">
        <f aca="false">G96*L96+Z96+U96-AC96+V96-AD96+AE96</f>
        <v>0.00128931918243044</v>
      </c>
      <c r="AK96" s="57" t="n">
        <f aca="false">1-EXP(LN(1-E96)*hr_death_prior_stroke*dt)</f>
        <v>0.205539048452053</v>
      </c>
      <c r="AL96" s="57" t="n">
        <f aca="false">H96*(1-AK96)</f>
        <v>0.000929551307057734</v>
      </c>
      <c r="AM96" s="57" t="n">
        <f aca="false">(1-EXP(-r_stroke*F96*rr_stroke_prior*rr_asa_stroke*dt))</f>
        <v>0.0351522659752204</v>
      </c>
      <c r="AN96" s="57" t="n">
        <f aca="false">(1-EXP(-r_ich*rr_asa_ich*dt))</f>
        <v>0.00102357767802375</v>
      </c>
      <c r="AO96" s="57" t="n">
        <f aca="false">(1-EXP(-r_mb*rr_asa_mb*dt))</f>
        <v>0.00951809672747972</v>
      </c>
      <c r="AP96" s="57" t="n">
        <f aca="false">(1-EXP(-r_mi*rr_asa_mi*dt))</f>
        <v>0.00213413516393479</v>
      </c>
      <c r="AQ96" s="57" t="n">
        <f aca="false">(1-EXP(-r_tia*rr_asa_tia*dt))</f>
        <v>0.00312764565589152</v>
      </c>
      <c r="AR96" s="57" t="n">
        <f aca="false">(1-EXP(-r_minor*rr_asa_minor*dt))</f>
        <v>0.0278181950466747</v>
      </c>
      <c r="AS96" s="57" t="n">
        <f aca="false">AL96*AM96</f>
        <v>3.26758347833072E-005</v>
      </c>
      <c r="AT96" s="57" t="n">
        <f aca="false">AL96*AN96</f>
        <v>9.51467968482093E-007</v>
      </c>
      <c r="AU96" s="57" t="n">
        <f aca="false">AL96*AO96</f>
        <v>8.84755925373071E-006</v>
      </c>
      <c r="AV96" s="57" t="n">
        <f aca="false">AL96*AP96</f>
        <v>1.98378813107346E-006</v>
      </c>
      <c r="AW96" s="57" t="n">
        <f aca="false">AL96*AQ96</f>
        <v>2.90730710744741E-006</v>
      </c>
      <c r="AX96" s="57" t="n">
        <f aca="false">AL96*AR96</f>
        <v>2.58584395656235E-005</v>
      </c>
      <c r="AY96" s="57" t="n">
        <f aca="false">AS96*f_stroke_fatal_recur</f>
        <v>1.21583513645208E-005</v>
      </c>
      <c r="AZ96" s="57" t="n">
        <f aca="false">AS96*(1-f_stroke_fatal_recur)*f_stroke_major</f>
        <v>6.83232197845588E-006</v>
      </c>
      <c r="BA96" s="57" t="n">
        <f aca="false">AS96*(1-f_stroke_fatal_recur)*(1-f_stroke_major)</f>
        <v>1.36851614403305E-005</v>
      </c>
      <c r="BB96" s="57" t="n">
        <f aca="false">AT96*(1-f_bleed_fatal)</f>
        <v>8.71544659129598E-007</v>
      </c>
      <c r="BC96" s="57" t="n">
        <f aca="false">AU96*(1-f_bleed_fatal)</f>
        <v>8.10436427641733E-006</v>
      </c>
      <c r="BD96" s="57" t="n">
        <f aca="false">AV96*f_mi_fatal</f>
        <v>2.40038363859888E-007</v>
      </c>
      <c r="BE96" s="57" t="n">
        <f aca="false">AV96-BD96</f>
        <v>1.74374976721357E-006</v>
      </c>
      <c r="BF96" s="57" t="n">
        <f aca="false">AL96-AS96-AT96-AU96-BD96</f>
        <v>0.000886836406688354</v>
      </c>
      <c r="BG96" s="19" t="n">
        <f aca="false">AY96*c_stroke_fatal+AZ96*c_stroke_major+BA96*c_stroke_minor+AT96*c_ich+AU96*c_major_bleed+BD96*c_mi_fatal+BE96*c_mi_nonfatal+AW96*c_tia+AX96*c_minor_bleed</f>
        <v>1.25181680405335</v>
      </c>
      <c r="BH96" s="57" t="n">
        <f aca="false">dt*(BE96*dec_mi+BC96*dec_major_bleed+AX96*dec_minor_bleed+AW96*dec_tia)</f>
        <v>3.9979564518807E-007</v>
      </c>
      <c r="BI96" s="57" t="n">
        <f aca="false">H96*AK96+AY96+AT96-BB96+AU96-BC96+BD96</f>
        <v>0.000253710471969467</v>
      </c>
      <c r="BJ96" s="57" t="n">
        <f aca="false">1-EXP(LN(1-E96)*hr_death_prior_stroke*dt)</f>
        <v>0.205539048452053</v>
      </c>
      <c r="BK96" s="57" t="n">
        <f aca="false">I96*(1-BJ96)</f>
        <v>0.000495961119204682</v>
      </c>
      <c r="BL96" s="57" t="n">
        <f aca="false">(1-EXP(-r_stroke*F96*rr_stroke_prior*rr_asa_stroke*dt))</f>
        <v>0.0351522659752204</v>
      </c>
      <c r="BM96" s="57" t="n">
        <f aca="false">(1-EXP(-r_ich*rr_asa_ich*dt))</f>
        <v>0.00102357767802375</v>
      </c>
      <c r="BN96" s="57" t="n">
        <f aca="false">(1-EXP(-r_mb*rr_asa_mb*dt))</f>
        <v>0.00951809672747972</v>
      </c>
      <c r="BO96" s="57" t="n">
        <f aca="false">(1-EXP(-r_mi*rr_asa_mi*dt))</f>
        <v>0.00213413516393479</v>
      </c>
      <c r="BP96" s="57" t="n">
        <f aca="false">(1-EXP(-r_tia*rr_asa_tia*dt))</f>
        <v>0.00312764565589152</v>
      </c>
      <c r="BQ96" s="57" t="n">
        <f aca="false">(1-EXP(-r_minor*rr_asa_minor*dt))</f>
        <v>0.0278181950466747</v>
      </c>
      <c r="BR96" s="57" t="n">
        <f aca="false">BK96*BL96</f>
        <v>1.7434157175651E-005</v>
      </c>
      <c r="BS96" s="57" t="n">
        <f aca="false">BK96*BM96</f>
        <v>5.07654730785587E-007</v>
      </c>
      <c r="BT96" s="57" t="n">
        <f aca="false">BK96*BN96</f>
        <v>4.72060590565927E-006</v>
      </c>
      <c r="BU96" s="57" t="n">
        <f aca="false">BK96*BO96</f>
        <v>1.05844806443917E-006</v>
      </c>
      <c r="BV96" s="57" t="n">
        <f aca="false">BK96*BP96</f>
        <v>1.55119063997162E-006</v>
      </c>
      <c r="BW96" s="57" t="n">
        <f aca="false">BK96*BQ96</f>
        <v>1.37967431496029E-005</v>
      </c>
      <c r="BX96" s="57" t="n">
        <f aca="false">BR96*f_stroke_fatal_recur</f>
        <v>6.48707554348797E-006</v>
      </c>
      <c r="BY96" s="57" t="n">
        <f aca="false">BR96*(1-f_stroke_fatal_recur)*f_stroke_major</f>
        <v>3.64537818351028E-006</v>
      </c>
      <c r="BZ96" s="57" t="n">
        <f aca="false">BR96*(1-f_stroke_fatal_recur)*(1-f_stroke_major)</f>
        <v>7.30170344865272E-006</v>
      </c>
      <c r="CA96" s="57" t="n">
        <f aca="false">BS96*(1-f_bleed_fatal)</f>
        <v>4.65011733399598E-007</v>
      </c>
      <c r="CB96" s="57" t="n">
        <f aca="false">BT96*(1-f_bleed_fatal)</f>
        <v>4.32407500958389E-006</v>
      </c>
      <c r="CC96" s="57" t="n">
        <f aca="false">BU96*f_mi_fatal</f>
        <v>1.28072215797139E-007</v>
      </c>
      <c r="CD96" s="57" t="n">
        <f aca="false">BU96-CC96</f>
        <v>9.30375848642028E-007</v>
      </c>
      <c r="CE96" s="57" t="n">
        <f aca="false">BK96-BR96-BS96-BT96-CC96</f>
        <v>0.000473170629176789</v>
      </c>
      <c r="CF96" s="19" t="n">
        <f aca="false">BX96*c_stroke_fatal+BY96*c_stroke_major+BZ96*c_stroke_minor+BS96*c_ich+BT96*c_major_bleed+CC96*c_mi_fatal+CD96*c_mi_nonfatal+BV96*c_tia+BW96*c_minor_bleed</f>
        <v>0.667905535136819</v>
      </c>
      <c r="CG96" s="57" t="n">
        <f aca="false">dt*(CD96*dec_mi+CB96*dec_major_bleed+BW96*dec_minor_bleed+BV96*dec_tia)</f>
        <v>2.13310544705972E-007</v>
      </c>
      <c r="CH96" s="57" t="n">
        <f aca="false">I96*BJ96+BX96+BS96-CA96+BT96-CB96+CC96</f>
        <v>0.000135366954654941</v>
      </c>
      <c r="CI96" s="57" t="n">
        <f aca="false">1-EXP(LN(1-E96)*dt)</f>
        <v>0.0951985554893469</v>
      </c>
      <c r="CJ96" s="57" t="n">
        <f aca="false">J96*(1-CI96)</f>
        <v>0.00650857234707975</v>
      </c>
      <c r="CK96" s="57" t="n">
        <f aca="false">(1-EXP(-r_stroke*F96*rr_asa_stroke*dt))</f>
        <v>0.0161343240164265</v>
      </c>
      <c r="CL96" s="57" t="n">
        <f aca="false">(1-EXP(-r_ich*rr_asa_ich*dt))</f>
        <v>0.00102357767802375</v>
      </c>
      <c r="CM96" s="57" t="n">
        <f aca="false">(1-EXP(-r_mb*rr_asa_mb*dt))</f>
        <v>0.00951809672747972</v>
      </c>
      <c r="CN96" s="57" t="n">
        <f aca="false">(1-EXP(-r_mi*rr_asa_mi*dt))</f>
        <v>0.00213413516393479</v>
      </c>
      <c r="CO96" s="57" t="n">
        <f aca="false">(1-EXP(-r_tia*rr_asa_tia*dt))</f>
        <v>0.00312764565589152</v>
      </c>
      <c r="CP96" s="57" t="n">
        <f aca="false">(1-EXP(-r_minor*rr_asa_minor*dt))</f>
        <v>0.0278181950466747</v>
      </c>
      <c r="CQ96" s="57" t="n">
        <f aca="false">CJ96*CK96</f>
        <v>0.000105011415132138</v>
      </c>
      <c r="CR96" s="57" t="n">
        <f aca="false">CJ96*CL96</f>
        <v>6.66202937027346E-006</v>
      </c>
      <c r="CS96" s="57" t="n">
        <f aca="false">CJ96*CM96</f>
        <v>6.19492211573048E-005</v>
      </c>
      <c r="CT96" s="57" t="n">
        <f aca="false">CJ96*CN96</f>
        <v>1.38901731129165E-005</v>
      </c>
      <c r="CU96" s="57" t="n">
        <f aca="false">CJ96*CO96</f>
        <v>2.03565080273997E-005</v>
      </c>
      <c r="CV96" s="57" t="n">
        <f aca="false">CJ96*CP96</f>
        <v>0.000181056735026458</v>
      </c>
      <c r="CW96" s="57" t="n">
        <f aca="false">CQ96*f_stroke_fatal</f>
        <v>2.48877053863167E-005</v>
      </c>
      <c r="CX96" s="57" t="n">
        <f aca="false">CQ96*(1-f_stroke_fatal)*f_stroke_major</f>
        <v>2.66811953453585E-005</v>
      </c>
      <c r="CY96" s="57" t="n">
        <f aca="false">CQ96*(1-f_stroke_fatal)*(1-f_stroke_major)</f>
        <v>5.34425144004628E-005</v>
      </c>
      <c r="CZ96" s="57" t="n">
        <f aca="false">CR96*(1-f_bleed_fatal)</f>
        <v>6.10241890317049E-006</v>
      </c>
      <c r="DA96" s="57" t="n">
        <f aca="false">CS96*(1-f_bleed_fatal)</f>
        <v>5.67454865800912E-005</v>
      </c>
      <c r="DB96" s="57" t="n">
        <f aca="false">CT96*f_mi_fatal</f>
        <v>1.6807109466629E-006</v>
      </c>
      <c r="DC96" s="57" t="n">
        <f aca="false">CT96-DB96</f>
        <v>1.22094621662536E-005</v>
      </c>
      <c r="DD96" s="57" t="n">
        <f aca="false">CJ96-CQ96-CR96-CS96-DB96</f>
        <v>0.00633326897047337</v>
      </c>
      <c r="DE96" s="19" t="n">
        <f aca="false">CW96*c_stroke_fatal+CX96*c_stroke_major+CY96*c_stroke_minor+CR96*c_ich+CS96*c_major_bleed+DB96*c_mi_fatal+DC96*c_mi_nonfatal+CU96*c_tia+CV96*c_minor_bleed</f>
        <v>4.75635600001422</v>
      </c>
      <c r="DF96" s="57" t="n">
        <f aca="false">dt*(DC96*dec_mi+DA96*dec_major_bleed+CV96*dec_minor_bleed+CU96*dec_tia)</f>
        <v>2.79930635457905E-006</v>
      </c>
      <c r="DG96" s="57" t="n">
        <f aca="false">J96*CI96+CW96+CR96-CZ96+CS96-DA96+DB96</f>
        <v>0.000717130276564243</v>
      </c>
      <c r="DH96" s="57" t="n">
        <f aca="false">AG96</f>
        <v>0.0117646089492647</v>
      </c>
      <c r="DI96" s="57" t="n">
        <f aca="false">AB96+AC96+BF96+BA96+BB96+BC96+CY96+CZ96</f>
        <v>0.00102638077107778</v>
      </c>
      <c r="DJ96" s="57" t="n">
        <f aca="false">AA96+AZ96+BY96+CX96+CE96+BZ96+CA96+CB96</f>
        <v>0.000546436365464785</v>
      </c>
      <c r="DK96" s="57" t="n">
        <f aca="false">AD96+DD96+DA96</f>
        <v>0.00646330039509852</v>
      </c>
      <c r="DL96" s="57" t="n">
        <f aca="false">K96+AJ96+BI96+CH96+DG96</f>
        <v>0.980199273519094</v>
      </c>
      <c r="DM96" s="58" t="n">
        <f aca="false">SUM(DH96:DL96)</f>
        <v>0.999999999999999</v>
      </c>
      <c r="DN96" s="19" t="n">
        <f aca="false">dt*(G96*Apixaban!$H$2+(H96+I96+J96)*c_aspirin)</f>
        <v>1.07286833650059</v>
      </c>
      <c r="DO96" s="19" t="n">
        <f aca="false">dt*(H96*c_lt_minor_stroke+I96*c_lt_major_stroke)</f>
        <v>7.2386707781366</v>
      </c>
      <c r="DP96" s="19" t="n">
        <f aca="false">AH96+BG96+CF96+DE96</f>
        <v>11.329753160652</v>
      </c>
      <c r="DQ96" s="19" t="n">
        <f aca="false">DN96+DO96+DP96</f>
        <v>19.6412922752892</v>
      </c>
      <c r="DR96" s="57" t="n">
        <f aca="false">dt*(G96*(u_af-dec_per_year_over_70*MAX(B96-ref_age,0))+H96*(u_minor_stroke-dec_per_year_over_70*MAX(B96-ref_age,0))+I96*(u_major_stroke-dec_per_year_over_70*MAX(B96-ref_age,0))+J96*(u_af-dec_per_year_over_70*MAX(B96-ref_age,0)))-AI96-BH96-CG96-DF96</f>
        <v>0.00435862527300659</v>
      </c>
      <c r="DS96" s="57" t="n">
        <f aca="false">dt*(G96+H96+I96+J96)</f>
        <v>0.00554906334163123</v>
      </c>
      <c r="DT96" s="19" t="n">
        <f aca="false">DQ96*C96</f>
        <v>14.0502518064041</v>
      </c>
      <c r="DU96" s="19" t="n">
        <f aca="false">DN96*C96</f>
        <v>0.767468355527497</v>
      </c>
      <c r="DV96" s="19" t="n">
        <f aca="false">DP96*C96</f>
        <v>8.1046543465898</v>
      </c>
      <c r="DW96" s="19" t="n">
        <f aca="false">DO96*C96</f>
        <v>5.17812910428678</v>
      </c>
      <c r="DX96" s="57" t="n">
        <f aca="false">DR96*C96</f>
        <v>0.0031179100518017</v>
      </c>
      <c r="DY96" s="57" t="n">
        <f aca="false">DS96*C96</f>
        <v>0.00396948103754322</v>
      </c>
      <c r="DZ96" s="57" t="n">
        <f aca="false">T96+AS96+BR96+CQ96</f>
        <v>0.000249643388793772</v>
      </c>
      <c r="EA96" s="57" t="n">
        <f aca="false">U96+AT96+BS96+CR96</f>
        <v>1.82020901261017E-005</v>
      </c>
      <c r="EB96" s="57" t="n">
        <f aca="false">V96+AU96+BT96+CS96</f>
        <v>0.000155523868898633</v>
      </c>
      <c r="EC96" s="57" t="n">
        <f aca="false">G96*dt*C96</f>
        <v>0.00236216271515668</v>
      </c>
    </row>
    <row r="97" customFormat="false" ht="15" hidden="false" customHeight="false" outlineLevel="0" collapsed="false">
      <c r="A97" s="8" t="n">
        <v>91</v>
      </c>
      <c r="B97" s="54" t="n">
        <f aca="false">start_age+A97*dt</f>
        <v>92.75</v>
      </c>
      <c r="C97" s="16" t="n">
        <f aca="false">(1+disc_rate)^-(A97*dt)</f>
        <v>0.712684869711714</v>
      </c>
      <c r="D97" s="55" t="n">
        <f aca="false">IF(A97*dt&gt;=wane_start,(1-wane_decay)^(A97*dt-wane_start),1)</f>
        <v>1</v>
      </c>
      <c r="E97" s="25" t="n">
        <f aca="false">MIN(p_nonvasc_death*MIN(EXP(gomp_int+gomp_slope*INT(B97)),1)/qx_ref,0.999)</f>
        <v>0.329786546979476</v>
      </c>
      <c r="F97" s="55" t="n">
        <f aca="false">rr_stroke_per_decade^((B97-ref_age)/10)</f>
        <v>2.51540323056842</v>
      </c>
      <c r="G97" s="57" t="n">
        <f aca="false">DH96</f>
        <v>0.0117646089492647</v>
      </c>
      <c r="H97" s="57" t="n">
        <f aca="false">DI96</f>
        <v>0.00102638077107778</v>
      </c>
      <c r="I97" s="57" t="n">
        <f aca="false">DJ96</f>
        <v>0.000546436365464785</v>
      </c>
      <c r="J97" s="57" t="n">
        <f aca="false">DK96</f>
        <v>0.00646330039509852</v>
      </c>
      <c r="K97" s="57" t="n">
        <f aca="false">DL96</f>
        <v>0.980199273519094</v>
      </c>
      <c r="L97" s="57" t="n">
        <f aca="false">1-EXP(LN(1-E97)*dt)</f>
        <v>0.0951985554893469</v>
      </c>
      <c r="M97" s="57" t="n">
        <f aca="false">G97*(1-L97)</f>
        <v>0.0106446351713977</v>
      </c>
      <c r="N97" s="57" t="n">
        <f aca="false">IF(Apixaban!$B$2=1,EXP(LN(or_apx_stroke)*D97)*(1-EXP(-r_stroke*F97*dt))/(1-(1-EXP(-r_stroke*F97*dt))+EXP(LN(or_apx_stroke)*D97)*(1-EXP(-r_stroke*F97*dt))),(1-EXP(-r_stroke*F97*dt)))</f>
        <v>0.00798938117192368</v>
      </c>
      <c r="O97" s="57" t="n">
        <f aca="false">IF(Apixaban!$B$2=1,EXP(LN(or_apx_ich)*D97)*(1-EXP(-r_ich*dt))/(1-(1-EXP(-r_ich*dt))+EXP(LN(or_apx_ich)*D97)*(1-EXP(-r_ich*dt))),(1-EXP(-r_ich*dt)))</f>
        <v>0.000843513249640701</v>
      </c>
      <c r="P97" s="57" t="n">
        <f aca="false">IF(Apixaban!$B$2=1,EXP(LN(or_apx_mb)*D97)*(1-EXP(-r_mb*dt))/(1-(1-EXP(-r_mb*dt))+EXP(LN(or_apx_mb)*D97)*(1-EXP(-r_mb*dt))),(1-EXP(-r_mb*dt)))</f>
        <v>0.00669446907979895</v>
      </c>
      <c r="Q97" s="57" t="n">
        <f aca="false">IF(Apixaban!$B$2=1,EXP(LN(or_apx_mi)*D97)*(1-EXP(-r_mi*dt))/(1-(1-EXP(-r_mi*dt))+EXP(LN(or_apx_mi)*D97)*(1-EXP(-r_mi*dt))),(1-EXP(-r_mi*dt)))</f>
        <v>0.00132321915530843</v>
      </c>
      <c r="R97" s="57" t="n">
        <f aca="false">(1-EXP(-r_tia*dt))</f>
        <v>0.0020060281549299</v>
      </c>
      <c r="S97" s="57" t="n">
        <f aca="false">(1-EXP(-r_minor*dt))</f>
        <v>0.0437937690785545</v>
      </c>
      <c r="T97" s="57" t="n">
        <f aca="false">M97*N97</f>
        <v>8.50440478203612E-005</v>
      </c>
      <c r="U97" s="57" t="n">
        <f aca="false">M97*O97</f>
        <v>8.97889080466536E-006</v>
      </c>
      <c r="V97" s="57" t="n">
        <f aca="false">M97*P97</f>
        <v>7.12601810206622E-005</v>
      </c>
      <c r="W97" s="57" t="n">
        <f aca="false">M97*Q97</f>
        <v>1.40851851600632E-005</v>
      </c>
      <c r="X97" s="57" t="n">
        <f aca="false">M97*R97</f>
        <v>2.13534378527808E-005</v>
      </c>
      <c r="Y97" s="57" t="n">
        <f aca="false">M97*S97</f>
        <v>0.000466168694621649</v>
      </c>
      <c r="Z97" s="57" t="n">
        <f aca="false">T97*f_stroke_fatal</f>
        <v>2.01554393334256E-005</v>
      </c>
      <c r="AA97" s="57" t="n">
        <f aca="false">T97*(1-f_stroke_fatal)*f_stroke_major</f>
        <v>2.16079066261496E-005</v>
      </c>
      <c r="AB97" s="57" t="n">
        <f aca="false">T97*(1-f_stroke_fatal)*(1-f_stroke_major)</f>
        <v>4.3280701860786E-005</v>
      </c>
      <c r="AC97" s="57" t="n">
        <f aca="false">U97*(1-f_bleed_fatal)</f>
        <v>8.22466397707347E-006</v>
      </c>
      <c r="AD97" s="57" t="n">
        <f aca="false">V97*(1-f_bleed_fatal)</f>
        <v>6.52743258149266E-005</v>
      </c>
      <c r="AE97" s="57" t="n">
        <f aca="false">W97*f_mi_fatal</f>
        <v>1.70430740436765E-006</v>
      </c>
      <c r="AF97" s="57" t="n">
        <f aca="false">W97-AE97</f>
        <v>1.23808777556956E-005</v>
      </c>
      <c r="AG97" s="57" t="n">
        <f aca="false">M97-T97-U97-V97-AE97</f>
        <v>0.0104776477443476</v>
      </c>
      <c r="AH97" s="19" t="n">
        <f aca="false">Z97*c_stroke_fatal+AA97*c_stroke_major+AB97*c_stroke_minor+U97*c_ich+V97*c_major_bleed+AE97*c_mi_fatal+AF97*c_mi_nonfatal+X97*c_tia+Y97*c_minor_bleed</f>
        <v>4.17653314547381</v>
      </c>
      <c r="AI97" s="57" t="n">
        <f aca="false">dt*(AF97*dec_mi+AD97*dec_major_bleed+Y97*dec_minor_bleed+X97*dec_tia)</f>
        <v>3.95311120583826E-006</v>
      </c>
      <c r="AJ97" s="57" t="n">
        <f aca="false">G97*L97+Z97+U97-AC97+V97-AD97+AE97</f>
        <v>0.00114857360663817</v>
      </c>
      <c r="AK97" s="57" t="n">
        <f aca="false">1-EXP(LN(1-E97)*hr_death_prior_stroke*dt)</f>
        <v>0.205539048452053</v>
      </c>
      <c r="AL97" s="57" t="n">
        <f aca="false">H97*(1-AK97)</f>
        <v>0.00081541944404097</v>
      </c>
      <c r="AM97" s="57" t="n">
        <f aca="false">(1-EXP(-r_stroke*F97*rr_stroke_prior*rr_asa_stroke*dt))</f>
        <v>0.0355039696240991</v>
      </c>
      <c r="AN97" s="57" t="n">
        <f aca="false">(1-EXP(-r_ich*rr_asa_ich*dt))</f>
        <v>0.00102357767802375</v>
      </c>
      <c r="AO97" s="57" t="n">
        <f aca="false">(1-EXP(-r_mb*rr_asa_mb*dt))</f>
        <v>0.00951809672747972</v>
      </c>
      <c r="AP97" s="57" t="n">
        <f aca="false">(1-EXP(-r_mi*rr_asa_mi*dt))</f>
        <v>0.00213413516393479</v>
      </c>
      <c r="AQ97" s="57" t="n">
        <f aca="false">(1-EXP(-r_tia*rr_asa_tia*dt))</f>
        <v>0.00312764565589152</v>
      </c>
      <c r="AR97" s="57" t="n">
        <f aca="false">(1-EXP(-r_minor*rr_asa_minor*dt))</f>
        <v>0.0278181950466747</v>
      </c>
      <c r="AS97" s="57" t="n">
        <f aca="false">AL97*AM97</f>
        <v>2.89506271721303E-005</v>
      </c>
      <c r="AT97" s="57" t="n">
        <f aca="false">AL97*AN97</f>
        <v>8.3464514114687E-007</v>
      </c>
      <c r="AU97" s="57" t="n">
        <f aca="false">AL97*AO97</f>
        <v>7.76124114184968E-006</v>
      </c>
      <c r="AV97" s="57" t="n">
        <f aca="false">AL97*AP97</f>
        <v>1.74021530888399E-006</v>
      </c>
      <c r="AW97" s="57" t="n">
        <f aca="false">AL97*AQ97</f>
        <v>2.55034308188422E-006</v>
      </c>
      <c r="AX97" s="57" t="n">
        <f aca="false">AL97*AR97</f>
        <v>2.26834971391827E-005</v>
      </c>
      <c r="AY97" s="57" t="n">
        <f aca="false">AS97*f_stroke_fatal_recur</f>
        <v>1.0772238864478E-005</v>
      </c>
      <c r="AZ97" s="57" t="n">
        <f aca="false">AS97*(1-f_stroke_fatal_recur)*f_stroke_major</f>
        <v>6.05340330644824E-006</v>
      </c>
      <c r="BA97" s="57" t="n">
        <f aca="false">AS97*(1-f_stroke_fatal_recur)*(1-f_stroke_major)</f>
        <v>1.21249850012041E-005</v>
      </c>
      <c r="BB97" s="57" t="n">
        <f aca="false">AT97*(1-f_bleed_fatal)</f>
        <v>7.64534949290533E-007</v>
      </c>
      <c r="BC97" s="57" t="n">
        <f aca="false">AU97*(1-f_bleed_fatal)</f>
        <v>7.10929688593431E-006</v>
      </c>
      <c r="BD97" s="57" t="n">
        <f aca="false">AV97*f_mi_fatal</f>
        <v>2.10566052374963E-007</v>
      </c>
      <c r="BE97" s="57" t="n">
        <f aca="false">AV97-BD97</f>
        <v>1.52964925650903E-006</v>
      </c>
      <c r="BF97" s="57" t="n">
        <f aca="false">AL97-AS97-AT97-AU97-BD97</f>
        <v>0.000777662364533468</v>
      </c>
      <c r="BG97" s="19" t="n">
        <f aca="false">AY97*c_stroke_fatal+AZ97*c_stroke_major+BA97*c_stroke_minor+AT97*c_ich+AU97*c_major_bleed+BD97*c_mi_fatal+BE97*c_mi_nonfatal+AW97*c_tia+AX97*c_minor_bleed</f>
        <v>1.10800487011655</v>
      </c>
      <c r="BH97" s="57" t="n">
        <f aca="false">dt*(BE97*dec_mi+BC97*dec_major_bleed+AX97*dec_minor_bleed+AW97*dec_tia)</f>
        <v>3.50708067703259E-007</v>
      </c>
      <c r="BI97" s="57" t="n">
        <f aca="false">H97*AK97+AY97+AT97-BB97+AU97-BC97+BD97</f>
        <v>0.000222666186401437</v>
      </c>
      <c r="BJ97" s="57" t="n">
        <f aca="false">1-EXP(LN(1-E97)*hr_death_prior_stroke*dt)</f>
        <v>0.205539048452053</v>
      </c>
      <c r="BK97" s="57" t="n">
        <f aca="false">I97*(1-BJ97)</f>
        <v>0.000434122354867554</v>
      </c>
      <c r="BL97" s="57" t="n">
        <f aca="false">(1-EXP(-r_stroke*F97*rr_stroke_prior*rr_asa_stroke*dt))</f>
        <v>0.0355039696240991</v>
      </c>
      <c r="BM97" s="57" t="n">
        <f aca="false">(1-EXP(-r_ich*rr_asa_ich*dt))</f>
        <v>0.00102357767802375</v>
      </c>
      <c r="BN97" s="57" t="n">
        <f aca="false">(1-EXP(-r_mb*rr_asa_mb*dt))</f>
        <v>0.00951809672747972</v>
      </c>
      <c r="BO97" s="57" t="n">
        <f aca="false">(1-EXP(-r_mi*rr_asa_mi*dt))</f>
        <v>0.00213413516393479</v>
      </c>
      <c r="BP97" s="57" t="n">
        <f aca="false">(1-EXP(-r_tia*rr_asa_tia*dt))</f>
        <v>0.00312764565589152</v>
      </c>
      <c r="BQ97" s="57" t="n">
        <f aca="false">(1-EXP(-r_minor*rr_asa_minor*dt))</f>
        <v>0.0278181950466747</v>
      </c>
      <c r="BR97" s="57" t="n">
        <f aca="false">BK97*BL97</f>
        <v>1.541306690036E-005</v>
      </c>
      <c r="BS97" s="57" t="n">
        <f aca="false">BK97*BM97</f>
        <v>4.44357951973532E-007</v>
      </c>
      <c r="BT97" s="57" t="n">
        <f aca="false">BK97*BN97</f>
        <v>4.13201856519066E-006</v>
      </c>
      <c r="BU97" s="57" t="n">
        <f aca="false">BK97*BO97</f>
        <v>9.26475782973026E-007</v>
      </c>
      <c r="BV97" s="57" t="n">
        <f aca="false">BK97*BP97</f>
        <v>1.3577808973269E-006</v>
      </c>
      <c r="BW97" s="57" t="n">
        <f aca="false">BK97*BQ97</f>
        <v>1.20765003418274E-005</v>
      </c>
      <c r="BX97" s="57" t="n">
        <f aca="false">BR97*f_stroke_fatal_recur</f>
        <v>5.73504806295495E-006</v>
      </c>
      <c r="BY97" s="57" t="n">
        <f aca="false">BR97*(1-f_stroke_fatal_recur)*f_stroke_major</f>
        <v>3.22278027285588E-006</v>
      </c>
      <c r="BZ97" s="57" t="n">
        <f aca="false">BR97*(1-f_stroke_fatal_recur)*(1-f_stroke_major)</f>
        <v>6.45523856454917E-006</v>
      </c>
      <c r="CA97" s="57" t="n">
        <f aca="false">BS97*(1-f_bleed_fatal)</f>
        <v>4.07031884007755E-007</v>
      </c>
      <c r="CB97" s="57" t="n">
        <f aca="false">BT97*(1-f_bleed_fatal)</f>
        <v>3.78492900571464E-006</v>
      </c>
      <c r="CC97" s="57" t="n">
        <f aca="false">BU97*f_mi_fatal</f>
        <v>1.12103569739736E-007</v>
      </c>
      <c r="CD97" s="57" t="n">
        <f aca="false">BU97-CC97</f>
        <v>8.1437221323329E-007</v>
      </c>
      <c r="CE97" s="57" t="n">
        <f aca="false">BK97-BR97-BS97-BT97-CC97</f>
        <v>0.00041402080788029</v>
      </c>
      <c r="CF97" s="19" t="n">
        <f aca="false">BX97*c_stroke_fatal+BY97*c_stroke_major+BZ97*c_stroke_minor+BS97*c_ich+BT97*c_major_bleed+CC97*c_mi_fatal+CD97*c_mi_nonfatal+BV97*c_tia+BW97*c_minor_bleed</f>
        <v>0.589892339378099</v>
      </c>
      <c r="CG97" s="57" t="n">
        <f aca="false">dt*(CD97*dec_mi+CB97*dec_major_bleed+BW97*dec_minor_bleed+BV97*dec_tia)</f>
        <v>1.86713983012084E-007</v>
      </c>
      <c r="CH97" s="57" t="n">
        <f aca="false">I97*BJ97+BX97+BS97-CA97+BT97-CB97+CC97</f>
        <v>0.000118545577857367</v>
      </c>
      <c r="CI97" s="57" t="n">
        <f aca="false">1-EXP(LN(1-E97)*dt)</f>
        <v>0.0951985554893469</v>
      </c>
      <c r="CJ97" s="57" t="n">
        <f aca="false">J97*(1-CI97)</f>
        <v>0.00584800353379142</v>
      </c>
      <c r="CK97" s="57" t="n">
        <f aca="false">(1-EXP(-r_stroke*F97*rr_asa_stroke*dt))</f>
        <v>0.0162973565968672</v>
      </c>
      <c r="CL97" s="57" t="n">
        <f aca="false">(1-EXP(-r_ich*rr_asa_ich*dt))</f>
        <v>0.00102357767802375</v>
      </c>
      <c r="CM97" s="57" t="n">
        <f aca="false">(1-EXP(-r_mb*rr_asa_mb*dt))</f>
        <v>0.00951809672747972</v>
      </c>
      <c r="CN97" s="57" t="n">
        <f aca="false">(1-EXP(-r_mi*rr_asa_mi*dt))</f>
        <v>0.00213413516393479</v>
      </c>
      <c r="CO97" s="57" t="n">
        <f aca="false">(1-EXP(-r_tia*rr_asa_tia*dt))</f>
        <v>0.00312764565589152</v>
      </c>
      <c r="CP97" s="57" t="n">
        <f aca="false">(1-EXP(-r_minor*rr_asa_minor*dt))</f>
        <v>0.0278181950466747</v>
      </c>
      <c r="CQ97" s="57" t="n">
        <f aca="false">CJ97*CK97</f>
        <v>9.53069989699379E-005</v>
      </c>
      <c r="CR97" s="57" t="n">
        <f aca="false">CJ97*CL97</f>
        <v>5.98588587819288E-006</v>
      </c>
      <c r="CS97" s="57" t="n">
        <f aca="false">CJ97*CM97</f>
        <v>5.56618632972699E-005</v>
      </c>
      <c r="CT97" s="57" t="n">
        <f aca="false">CJ97*CN97</f>
        <v>1.24804299802792E-005</v>
      </c>
      <c r="CU97" s="57" t="n">
        <f aca="false">CJ97*CO97</f>
        <v>1.8290482848101E-005</v>
      </c>
      <c r="CV97" s="57" t="n">
        <f aca="false">CJ97*CP97</f>
        <v>0.000162680902936653</v>
      </c>
      <c r="CW97" s="57" t="n">
        <f aca="false">CQ97*f_stroke_fatal</f>
        <v>2.25877587558753E-005</v>
      </c>
      <c r="CX97" s="57" t="n">
        <f aca="false">CQ97*(1-f_stroke_fatal)*f_stroke_major</f>
        <v>2.42155069912829E-005</v>
      </c>
      <c r="CY97" s="57" t="n">
        <f aca="false">CQ97*(1-f_stroke_fatal)*(1-f_stroke_major)</f>
        <v>4.85037332227798E-005</v>
      </c>
      <c r="CZ97" s="57" t="n">
        <f aca="false">CR97*(1-f_bleed_fatal)</f>
        <v>5.48307146442468E-006</v>
      </c>
      <c r="DA97" s="57" t="n">
        <f aca="false">CS97*(1-f_bleed_fatal)</f>
        <v>5.09862667802992E-005</v>
      </c>
      <c r="DB97" s="57" t="n">
        <f aca="false">CT97*f_mi_fatal</f>
        <v>1.51013202761378E-006</v>
      </c>
      <c r="DC97" s="57" t="n">
        <f aca="false">CT97-DB97</f>
        <v>1.09702979526654E-005</v>
      </c>
      <c r="DD97" s="57" t="n">
        <f aca="false">CJ97-CQ97-CR97-CS97-DB97</f>
        <v>0.0056895386536184</v>
      </c>
      <c r="DE97" s="19" t="n">
        <f aca="false">CW97*c_stroke_fatal+CX97*c_stroke_major+CY97*c_stroke_minor+CR97*c_ich+CS97*c_major_bleed+DB97*c_mi_fatal+DC97*c_mi_nonfatal+CU97*c_tia+CV97*c_minor_bleed</f>
        <v>4.3088497699281</v>
      </c>
      <c r="DF97" s="57" t="n">
        <f aca="false">dt*(DC97*dec_mi+DA97*dec_major_bleed+CV97*dec_minor_bleed+CU97*dec_tia)</f>
        <v>2.5151988148504E-006</v>
      </c>
      <c r="DG97" s="57" t="n">
        <f aca="false">J97*CI97+CW97+CR97-CZ97+CS97-DA97+DB97</f>
        <v>0.000644573163021332</v>
      </c>
      <c r="DH97" s="57" t="n">
        <f aca="false">AG97</f>
        <v>0.0104776477443476</v>
      </c>
      <c r="DI97" s="57" t="n">
        <f aca="false">AB97+AC97+BF97+BA97+BB97+BC97+CY97+CZ97</f>
        <v>0.000903153351894961</v>
      </c>
      <c r="DJ97" s="57" t="n">
        <f aca="false">AA97+AZ97+BY97+CX97+CE97+BZ97+CA97+CB97</f>
        <v>0.000479767604531298</v>
      </c>
      <c r="DK97" s="57" t="n">
        <f aca="false">AD97+DD97+DA97</f>
        <v>0.00580579924621363</v>
      </c>
      <c r="DL97" s="57" t="n">
        <f aca="false">K97+AJ97+BI97+CH97+DG97</f>
        <v>0.982333632053012</v>
      </c>
      <c r="DM97" s="58" t="n">
        <f aca="false">SUM(DH97:DL97)</f>
        <v>0.999999999999999</v>
      </c>
      <c r="DN97" s="19" t="n">
        <f aca="false">dt*(G97*Apixaban!$H$2+(H97+I97+J97)*c_aspirin)</f>
        <v>0.955884689211225</v>
      </c>
      <c r="DO97" s="19" t="n">
        <f aca="false">dt*(H97*c_lt_minor_stroke+I97*c_lt_major_stroke)</f>
        <v>6.34213859350857</v>
      </c>
      <c r="DP97" s="19" t="n">
        <f aca="false">AH97+BG97+CF97+DE97</f>
        <v>10.1832801248966</v>
      </c>
      <c r="DQ97" s="19" t="n">
        <f aca="false">DN97+DO97+DP97</f>
        <v>17.4813034076164</v>
      </c>
      <c r="DR97" s="57" t="n">
        <f aca="false">dt*(G97*(u_af-dec_per_year_over_70*MAX(B97-ref_age,0))+H97*(u_minor_stroke-dec_per_year_over_70*MAX(B97-ref_age,0))+I97*(u_major_stroke-dec_per_year_over_70*MAX(B97-ref_age,0))+J97*(u_af-dec_per_year_over_70*MAX(B97-ref_age,0)))-AI97-BH97-CG97-DF97</f>
        <v>0.00388936966528819</v>
      </c>
      <c r="DS97" s="57" t="n">
        <f aca="false">dt*(G97+H97+I97+J97)</f>
        <v>0.00495018162022645</v>
      </c>
      <c r="DT97" s="19" t="n">
        <f aca="false">DQ97*C97</f>
        <v>12.458660441448</v>
      </c>
      <c r="DU97" s="19" t="n">
        <f aca="false">DN97*C97</f>
        <v>0.681244555189924</v>
      </c>
      <c r="DV97" s="19" t="n">
        <f aca="false">DP97*C97</f>
        <v>7.2574696690498</v>
      </c>
      <c r="DW97" s="19" t="n">
        <f aca="false">DO97*C97</f>
        <v>4.51994621720829</v>
      </c>
      <c r="DX97" s="57" t="n">
        <f aca="false">DR97*C97</f>
        <v>0.00277189491316661</v>
      </c>
      <c r="DY97" s="57" t="n">
        <f aca="false">DS97*C97</f>
        <v>0.00352791954306041</v>
      </c>
      <c r="DZ97" s="57" t="n">
        <f aca="false">T97+AS97+BR97+CQ97</f>
        <v>0.000224714740862789</v>
      </c>
      <c r="EA97" s="57" t="n">
        <f aca="false">U97+AT97+BS97+CR97</f>
        <v>1.62437797759786E-005</v>
      </c>
      <c r="EB97" s="57" t="n">
        <f aca="false">V97+AU97+BT97+CS97</f>
        <v>0.000138815304024972</v>
      </c>
      <c r="EC97" s="57" t="n">
        <f aca="false">G97*dt*C97</f>
        <v>0.002096114699054</v>
      </c>
    </row>
    <row r="98" customFormat="false" ht="15" hidden="false" customHeight="false" outlineLevel="0" collapsed="false">
      <c r="A98" s="8" t="n">
        <v>92</v>
      </c>
      <c r="B98" s="54" t="n">
        <f aca="false">start_age+A98*dt</f>
        <v>93</v>
      </c>
      <c r="C98" s="16" t="n">
        <f aca="false">(1+disc_rate)^-(A98*dt)</f>
        <v>0.7100370782974</v>
      </c>
      <c r="D98" s="55" t="n">
        <f aca="false">IF(A98*dt&gt;=wane_start,(1-wane_decay)^(A98*dt-wane_start),1)</f>
        <v>1</v>
      </c>
      <c r="E98" s="25" t="n">
        <f aca="false">MIN(p_nonvasc_death*MIN(EXP(gomp_int+gomp_slope*INT(B98)),1)/qx_ref,0.999)</f>
        <v>0.366163211059421</v>
      </c>
      <c r="F98" s="55" t="n">
        <f aca="false">rr_stroke_per_decade^((B98-ref_age)/10)</f>
        <v>2.54103060477792</v>
      </c>
      <c r="G98" s="57" t="n">
        <f aca="false">DH97</f>
        <v>0.0104776477443476</v>
      </c>
      <c r="H98" s="57" t="n">
        <f aca="false">DI97</f>
        <v>0.000903153351894961</v>
      </c>
      <c r="I98" s="57" t="n">
        <f aca="false">DJ97</f>
        <v>0.000479767604531298</v>
      </c>
      <c r="J98" s="57" t="n">
        <f aca="false">DK97</f>
        <v>0.00580579924621363</v>
      </c>
      <c r="K98" s="57" t="n">
        <f aca="false">DL97</f>
        <v>0.982333632053012</v>
      </c>
      <c r="L98" s="57" t="n">
        <f aca="false">1-EXP(LN(1-E98)*dt)</f>
        <v>0.10773396655429</v>
      </c>
      <c r="M98" s="57" t="n">
        <f aca="false">G98*(1-L98)</f>
        <v>0.00934884919269045</v>
      </c>
      <c r="N98" s="57" t="n">
        <f aca="false">IF(Apixaban!$B$2=1,EXP(LN(or_apx_stroke)*D98)*(1-EXP(-r_stroke*F98*dt))/(1-(1-EXP(-r_stroke*F98*dt))+EXP(LN(or_apx_stroke)*D98)*(1-EXP(-r_stroke*F98*dt))),(1-EXP(-r_stroke*F98*dt)))</f>
        <v>0.00807053584372675</v>
      </c>
      <c r="O98" s="57" t="n">
        <f aca="false">IF(Apixaban!$B$2=1,EXP(LN(or_apx_ich)*D98)*(1-EXP(-r_ich*dt))/(1-(1-EXP(-r_ich*dt))+EXP(LN(or_apx_ich)*D98)*(1-EXP(-r_ich*dt))),(1-EXP(-r_ich*dt)))</f>
        <v>0.000843513249640701</v>
      </c>
      <c r="P98" s="57" t="n">
        <f aca="false">IF(Apixaban!$B$2=1,EXP(LN(or_apx_mb)*D98)*(1-EXP(-r_mb*dt))/(1-(1-EXP(-r_mb*dt))+EXP(LN(or_apx_mb)*D98)*(1-EXP(-r_mb*dt))),(1-EXP(-r_mb*dt)))</f>
        <v>0.00669446907979895</v>
      </c>
      <c r="Q98" s="57" t="n">
        <f aca="false">IF(Apixaban!$B$2=1,EXP(LN(or_apx_mi)*D98)*(1-EXP(-r_mi*dt))/(1-(1-EXP(-r_mi*dt))+EXP(LN(or_apx_mi)*D98)*(1-EXP(-r_mi*dt))),(1-EXP(-r_mi*dt)))</f>
        <v>0.00132321915530843</v>
      </c>
      <c r="R98" s="57" t="n">
        <f aca="false">(1-EXP(-r_tia*dt))</f>
        <v>0.0020060281549299</v>
      </c>
      <c r="S98" s="57" t="n">
        <f aca="false">(1-EXP(-r_minor*dt))</f>
        <v>0.0437937690785545</v>
      </c>
      <c r="T98" s="57" t="n">
        <f aca="false">M98*N98</f>
        <v>7.54502225072041E-005</v>
      </c>
      <c r="U98" s="57" t="n">
        <f aca="false">M98*O98</f>
        <v>7.88587816292716E-006</v>
      </c>
      <c r="V98" s="57" t="n">
        <f aca="false">M98*P98</f>
        <v>6.25855818521696E-005</v>
      </c>
      <c r="W98" s="57" t="n">
        <f aca="false">M98*Q98</f>
        <v>1.23705763318577E-005</v>
      </c>
      <c r="X98" s="57" t="n">
        <f aca="false">M98*R98</f>
        <v>1.87540546967307E-005</v>
      </c>
      <c r="Y98" s="57" t="n">
        <f aca="false">M98*S98</f>
        <v>0.000409421342694916</v>
      </c>
      <c r="Z98" s="57" t="n">
        <f aca="false">T98*f_stroke_fatal</f>
        <v>1.78817027342074E-005</v>
      </c>
      <c r="AA98" s="57" t="n">
        <f aca="false">T98*(1-f_stroke_fatal)*f_stroke_major</f>
        <v>1.91703170844079E-005</v>
      </c>
      <c r="AB98" s="57" t="n">
        <f aca="false">T98*(1-f_stroke_fatal)*(1-f_stroke_major)</f>
        <v>3.83982026885888E-005</v>
      </c>
      <c r="AC98" s="57" t="n">
        <f aca="false">U98*(1-f_bleed_fatal)</f>
        <v>7.22346439724128E-006</v>
      </c>
      <c r="AD98" s="57" t="n">
        <f aca="false">V98*(1-f_bleed_fatal)</f>
        <v>5.73283929765874E-005</v>
      </c>
      <c r="AE98" s="57" t="n">
        <f aca="false">W98*f_mi_fatal</f>
        <v>1.49683973615479E-006</v>
      </c>
      <c r="AF98" s="57" t="n">
        <f aca="false">W98-AE98</f>
        <v>1.0873736595703E-005</v>
      </c>
      <c r="AG98" s="57" t="n">
        <f aca="false">M98-T98-U98-V98-AE98</f>
        <v>0.00920143067043199</v>
      </c>
      <c r="AH98" s="19" t="n">
        <f aca="false">Z98*c_stroke_fatal+AA98*c_stroke_major+AB98*c_stroke_minor+U98*c_ich+V98*c_major_bleed+AE98*c_mi_fatal+AF98*c_mi_nonfatal+X98*c_tia+Y98*c_minor_bleed</f>
        <v>3.69615033155783</v>
      </c>
      <c r="AI98" s="57" t="n">
        <f aca="false">dt*(AF98*dec_mi+AD98*dec_major_bleed+Y98*dec_minor_bleed+X98*dec_tia)</f>
        <v>3.47189357927652E-006</v>
      </c>
      <c r="AJ98" s="57" t="n">
        <f aca="false">G98*L98+Z98+U98-AC98+V98-AD98+AE98</f>
        <v>0.00115409669676881</v>
      </c>
      <c r="AK98" s="57" t="n">
        <f aca="false">1-EXP(LN(1-E98)*hr_death_prior_stroke*dt)</f>
        <v>0.230626843631477</v>
      </c>
      <c r="AL98" s="57" t="n">
        <f aca="false">H98*(1-AK98)</f>
        <v>0.000694861945032237</v>
      </c>
      <c r="AM98" s="57" t="n">
        <f aca="false">(1-EXP(-r_stroke*F98*rr_stroke_prior*rr_asa_stroke*dt))</f>
        <v>0.0358591263243664</v>
      </c>
      <c r="AN98" s="57" t="n">
        <f aca="false">(1-EXP(-r_ich*rr_asa_ich*dt))</f>
        <v>0.00102357767802375</v>
      </c>
      <c r="AO98" s="57" t="n">
        <f aca="false">(1-EXP(-r_mb*rr_asa_mb*dt))</f>
        <v>0.00951809672747972</v>
      </c>
      <c r="AP98" s="57" t="n">
        <f aca="false">(1-EXP(-r_mi*rr_asa_mi*dt))</f>
        <v>0.00213413516393479</v>
      </c>
      <c r="AQ98" s="57" t="n">
        <f aca="false">(1-EXP(-r_tia*rr_asa_tia*dt))</f>
        <v>0.00312764565589152</v>
      </c>
      <c r="AR98" s="57" t="n">
        <f aca="false">(1-EXP(-r_minor*rr_asa_minor*dt))</f>
        <v>0.0278181950466747</v>
      </c>
      <c r="AS98" s="57" t="n">
        <f aca="false">AL98*AM98</f>
        <v>2.49171422649059E-005</v>
      </c>
      <c r="AT98" s="57" t="n">
        <f aca="false">AL98*AN98</f>
        <v>7.11245176243161E-007</v>
      </c>
      <c r="AU98" s="57" t="n">
        <f aca="false">AL98*AO98</f>
        <v>6.61376320506153E-006</v>
      </c>
      <c r="AV98" s="57" t="n">
        <f aca="false">AL98*AP98</f>
        <v>1.48292931097342E-006</v>
      </c>
      <c r="AW98" s="57" t="n">
        <f aca="false">AL98*AQ98</f>
        <v>2.17328194382441E-006</v>
      </c>
      <c r="AX98" s="57" t="n">
        <f aca="false">AL98*AR98</f>
        <v>1.93298051174185E-005</v>
      </c>
      <c r="AY98" s="57" t="n">
        <f aca="false">AS98*f_stroke_fatal_recur</f>
        <v>9.27141946534884E-006</v>
      </c>
      <c r="AZ98" s="57" t="n">
        <f aca="false">AS98*(1-f_stroke_fatal_recur)*f_stroke_major</f>
        <v>5.21002569225251E-006</v>
      </c>
      <c r="BA98" s="57" t="n">
        <f aca="false">AS98*(1-f_stroke_fatal_recur)*(1-f_stroke_major)</f>
        <v>1.04356971073046E-005</v>
      </c>
      <c r="BB98" s="57" t="n">
        <f aca="false">AT98*(1-f_bleed_fatal)</f>
        <v>6.51500581438736E-007</v>
      </c>
      <c r="BC98" s="57" t="n">
        <f aca="false">AU98*(1-f_bleed_fatal)</f>
        <v>6.05820709583636E-006</v>
      </c>
      <c r="BD98" s="57" t="n">
        <f aca="false">AV98*f_mi_fatal</f>
        <v>1.79434446627784E-007</v>
      </c>
      <c r="BE98" s="57" t="n">
        <f aca="false">AV98-BD98</f>
        <v>1.30349486434564E-006</v>
      </c>
      <c r="BF98" s="57" t="n">
        <f aca="false">AL98-AS98-AT98-AU98-BD98</f>
        <v>0.000662440359939399</v>
      </c>
      <c r="BG98" s="19" t="n">
        <f aca="false">AY98*c_stroke_fatal+AZ98*c_stroke_major+BA98*c_stroke_minor+AT98*c_ich+AU98*c_major_bleed+BD98*c_mi_fatal+BE98*c_mi_nonfatal+AW98*c_tia+AX98*c_minor_bleed</f>
        <v>0.95269843741475</v>
      </c>
      <c r="BH98" s="57" t="n">
        <f aca="false">dt*(BE98*dec_mi+BC98*dec_major_bleed+AX98*dec_minor_bleed+AW98*dec_tia)</f>
        <v>2.98856854400126E-007</v>
      </c>
      <c r="BI98" s="57" t="n">
        <f aca="false">H98*AK98+AY98+AT98-BB98+AU98-BC98+BD98</f>
        <v>0.00021835756147873</v>
      </c>
      <c r="BJ98" s="57" t="n">
        <f aca="false">1-EXP(LN(1-E98)*hr_death_prior_stroke*dt)</f>
        <v>0.230626843631477</v>
      </c>
      <c r="BK98" s="57" t="n">
        <f aca="false">I98*(1-BJ98)</f>
        <v>0.00036912031622161</v>
      </c>
      <c r="BL98" s="57" t="n">
        <f aca="false">(1-EXP(-r_stroke*F98*rr_stroke_prior*rr_asa_stroke*dt))</f>
        <v>0.0358591263243664</v>
      </c>
      <c r="BM98" s="57" t="n">
        <f aca="false">(1-EXP(-r_ich*rr_asa_ich*dt))</f>
        <v>0.00102357767802375</v>
      </c>
      <c r="BN98" s="57" t="n">
        <f aca="false">(1-EXP(-r_mb*rr_asa_mb*dt))</f>
        <v>0.00951809672747972</v>
      </c>
      <c r="BO98" s="57" t="n">
        <f aca="false">(1-EXP(-r_mi*rr_asa_mi*dt))</f>
        <v>0.00213413516393479</v>
      </c>
      <c r="BP98" s="57" t="n">
        <f aca="false">(1-EXP(-r_tia*rr_asa_tia*dt))</f>
        <v>0.00312764565589152</v>
      </c>
      <c r="BQ98" s="57" t="n">
        <f aca="false">(1-EXP(-r_minor*rr_asa_minor*dt))</f>
        <v>0.0278181950466747</v>
      </c>
      <c r="BR98" s="57" t="n">
        <f aca="false">BK98*BL98</f>
        <v>1.32363320482808E-005</v>
      </c>
      <c r="BS98" s="57" t="n">
        <f aca="false">BK98*BM98</f>
        <v>3.77823316189507E-007</v>
      </c>
      <c r="BT98" s="57" t="n">
        <f aca="false">BK98*BN98</f>
        <v>3.51332287387519E-006</v>
      </c>
      <c r="BU98" s="57" t="n">
        <f aca="false">BK98*BO98</f>
        <v>7.87752646571269E-007</v>
      </c>
      <c r="BV98" s="57" t="n">
        <f aca="false">BK98*BP98</f>
        <v>1.15447755353182E-006</v>
      </c>
      <c r="BW98" s="57" t="n">
        <f aca="false">BK98*BQ98</f>
        <v>1.0268260952343E-005</v>
      </c>
      <c r="BX98" s="57" t="n">
        <f aca="false">BR98*f_stroke_fatal_recur</f>
        <v>4.9251067918448E-006</v>
      </c>
      <c r="BY98" s="57" t="n">
        <f aca="false">BR98*(1-f_stroke_fatal_recur)*f_stroke_major</f>
        <v>2.76763801039319E-006</v>
      </c>
      <c r="BZ98" s="57" t="n">
        <f aca="false">BR98*(1-f_stroke_fatal_recur)*(1-f_stroke_major)</f>
        <v>5.54358724604281E-006</v>
      </c>
      <c r="CA98" s="57" t="n">
        <f aca="false">BS98*(1-f_bleed_fatal)</f>
        <v>3.46086157629588E-007</v>
      </c>
      <c r="CB98" s="57" t="n">
        <f aca="false">BT98*(1-f_bleed_fatal)</f>
        <v>3.21820375246967E-006</v>
      </c>
      <c r="CC98" s="57" t="n">
        <f aca="false">BU98*f_mi_fatal</f>
        <v>9.53180702351235E-008</v>
      </c>
      <c r="CD98" s="57" t="n">
        <f aca="false">BU98-CC98</f>
        <v>6.92434576336145E-007</v>
      </c>
      <c r="CE98" s="57" t="n">
        <f aca="false">BK98-BR98-BS98-BT98-CC98</f>
        <v>0.00035189751991303</v>
      </c>
      <c r="CF98" s="19" t="n">
        <f aca="false">BX98*c_stroke_fatal+BY98*c_stroke_major+BZ98*c_stroke_minor+BS98*c_ich+BT98*c_major_bleed+CC98*c_mi_fatal+CD98*c_mi_nonfatal+BV98*c_tia+BW98*c_minor_bleed</f>
        <v>0.506086642097016</v>
      </c>
      <c r="CG98" s="57" t="n">
        <f aca="false">dt*(CD98*dec_mi+CB98*dec_major_bleed+BW98*dec_minor_bleed+BV98*dec_tia)</f>
        <v>1.58756911915866E-007</v>
      </c>
      <c r="CH98" s="57" t="n">
        <f aca="false">I98*BJ98+BX98+BS98-CA98+BT98-CB98+CC98</f>
        <v>0.000115994569451733</v>
      </c>
      <c r="CI98" s="57" t="n">
        <f aca="false">1-EXP(LN(1-E98)*dt)</f>
        <v>0.10773396655429</v>
      </c>
      <c r="CJ98" s="57" t="n">
        <f aca="false">J98*(1-CI98)</f>
        <v>0.00518031746440113</v>
      </c>
      <c r="CK98" s="57" t="n">
        <f aca="false">(1-EXP(-r_stroke*F98*rr_asa_stroke*dt))</f>
        <v>0.0164620227524066</v>
      </c>
      <c r="CL98" s="57" t="n">
        <f aca="false">(1-EXP(-r_ich*rr_asa_ich*dt))</f>
        <v>0.00102357767802375</v>
      </c>
      <c r="CM98" s="57" t="n">
        <f aca="false">(1-EXP(-r_mb*rr_asa_mb*dt))</f>
        <v>0.00951809672747972</v>
      </c>
      <c r="CN98" s="57" t="n">
        <f aca="false">(1-EXP(-r_mi*rr_asa_mi*dt))</f>
        <v>0.00213413516393479</v>
      </c>
      <c r="CO98" s="57" t="n">
        <f aca="false">(1-EXP(-r_tia*rr_asa_tia*dt))</f>
        <v>0.00312764565589152</v>
      </c>
      <c r="CP98" s="57" t="n">
        <f aca="false">(1-EXP(-r_minor*rr_asa_minor*dt))</f>
        <v>0.0278181950466747</v>
      </c>
      <c r="CQ98" s="57" t="n">
        <f aca="false">CJ98*CK98</f>
        <v>8.52785039636606E-005</v>
      </c>
      <c r="CR98" s="57" t="n">
        <f aca="false">CJ98*CL98</f>
        <v>5.30245732163757E-006</v>
      </c>
      <c r="CS98" s="57" t="n">
        <f aca="false">CJ98*CM98</f>
        <v>4.93067627052224E-005</v>
      </c>
      <c r="CT98" s="57" t="n">
        <f aca="false">CJ98*CN98</f>
        <v>1.1055497661124E-005</v>
      </c>
      <c r="CU98" s="57" t="n">
        <f aca="false">CJ98*CO98</f>
        <v>1.62021974136732E-005</v>
      </c>
      <c r="CV98" s="57" t="n">
        <f aca="false">CJ98*CP98</f>
        <v>0.000144107081628406</v>
      </c>
      <c r="CW98" s="57" t="n">
        <f aca="false">CQ98*f_stroke_fatal</f>
        <v>2.02110054393876E-005</v>
      </c>
      <c r="CX98" s="57" t="n">
        <f aca="false">CQ98*(1-f_stroke_fatal)*f_stroke_major</f>
        <v>2.16674770085829E-005</v>
      </c>
      <c r="CY98" s="57" t="n">
        <f aca="false">CQ98*(1-f_stroke_fatal)*(1-f_stroke_major)</f>
        <v>4.34000215156901E-005</v>
      </c>
      <c r="CZ98" s="57" t="n">
        <f aca="false">CR98*(1-f_bleed_fatal)</f>
        <v>4.85705090662001E-006</v>
      </c>
      <c r="DA98" s="57" t="n">
        <f aca="false">CS98*(1-f_bleed_fatal)</f>
        <v>4.51649946379837E-005</v>
      </c>
      <c r="DB98" s="57" t="n">
        <f aca="false">CT98*f_mi_fatal</f>
        <v>1.337715216996E-006</v>
      </c>
      <c r="DC98" s="57" t="n">
        <f aca="false">CT98-DB98</f>
        <v>9.71778244412796E-006</v>
      </c>
      <c r="DD98" s="57" t="n">
        <f aca="false">CJ98-CQ98-CR98-CS98-DB98</f>
        <v>0.00503909202519361</v>
      </c>
      <c r="DE98" s="19" t="n">
        <f aca="false">CW98*c_stroke_fatal+CX98*c_stroke_major+CY98*c_stroke_minor+CR98*c_ich+CS98*c_major_bleed+DB98*c_mi_fatal+DC98*c_mi_nonfatal+CU98*c_tia+CV98*c_minor_bleed</f>
        <v>3.84841119705605</v>
      </c>
      <c r="DF98" s="57" t="n">
        <f aca="false">dt*(DC98*dec_mi+DA98*dec_major_bleed+CV98*dec_minor_bleed+CU98*dec_tia)</f>
        <v>2.22803017674703E-006</v>
      </c>
      <c r="DG98" s="57" t="n">
        <f aca="false">J98*CI98+CW98+CR98-CZ98+CS98-DA98+DB98</f>
        <v>0.00065161767695114</v>
      </c>
      <c r="DH98" s="57" t="n">
        <f aca="false">AG98</f>
        <v>0.00920143067043199</v>
      </c>
      <c r="DI98" s="57" t="n">
        <f aca="false">AB98+AC98+BF98+BA98+BB98+BC98+CY98+CZ98</f>
        <v>0.000773464504232119</v>
      </c>
      <c r="DJ98" s="57" t="n">
        <f aca="false">AA98+AZ98+BY98+CX98+CE98+BZ98+CA98+CB98</f>
        <v>0.000409820854864808</v>
      </c>
      <c r="DK98" s="57" t="n">
        <f aca="false">AD98+DD98+DA98</f>
        <v>0.00514158541280818</v>
      </c>
      <c r="DL98" s="57" t="n">
        <f aca="false">K98+AJ98+BI98+CH98+DG98</f>
        <v>0.984473698557662</v>
      </c>
      <c r="DM98" s="58" t="n">
        <f aca="false">SUM(DH98:DL98)</f>
        <v>0.999999999999999</v>
      </c>
      <c r="DN98" s="19" t="n">
        <f aca="false">dt*(G98*Apixaban!$H$2+(H98+I98+J98)*c_aspirin)</f>
        <v>0.851627312424576</v>
      </c>
      <c r="DO98" s="19" t="n">
        <f aca="false">dt*(H98*c_lt_minor_stroke+I98*c_lt_major_stroke)</f>
        <v>5.5737571257551</v>
      </c>
      <c r="DP98" s="19" t="n">
        <f aca="false">AH98+BG98+CF98+DE98</f>
        <v>9.00334660812564</v>
      </c>
      <c r="DQ98" s="19" t="n">
        <f aca="false">DN98+DO98+DP98</f>
        <v>15.4287310463053</v>
      </c>
      <c r="DR98" s="57" t="n">
        <f aca="false">dt*(G98*(u_af-dec_per_year_over_70*MAX(B98-ref_age,0))+H98*(u_minor_stroke-dec_per_year_over_70*MAX(B98-ref_age,0))+I98*(u_major_stroke-dec_per_year_over_70*MAX(B98-ref_age,0))+J98*(u_af-dec_per_year_over_70*MAX(B98-ref_age,0)))-AI98-BH98-CG98-DF98</f>
        <v>0.0034710157393118</v>
      </c>
      <c r="DS98" s="57" t="n">
        <f aca="false">dt*(G98+H98+I98+J98)</f>
        <v>0.00441659198674688</v>
      </c>
      <c r="DT98" s="19" t="n">
        <f aca="false">DQ98*C98</f>
        <v>10.954971113955</v>
      </c>
      <c r="DU98" s="19" t="n">
        <f aca="false">DN98*C98</f>
        <v>0.604686968712213</v>
      </c>
      <c r="DV98" s="19" t="n">
        <f aca="false">DP98*C98</f>
        <v>6.39270992053234</v>
      </c>
      <c r="DW98" s="19" t="n">
        <f aca="false">DO98*C98</f>
        <v>3.95757422471046</v>
      </c>
      <c r="DX98" s="57" t="n">
        <f aca="false">DR98*C98</f>
        <v>0.00246454987426524</v>
      </c>
      <c r="DY98" s="57" t="n">
        <f aca="false">DS98*C98</f>
        <v>0.00313594407030146</v>
      </c>
      <c r="DZ98" s="57" t="n">
        <f aca="false">T98+AS98+BR98+CQ98</f>
        <v>0.000198882200784051</v>
      </c>
      <c r="EA98" s="57" t="n">
        <f aca="false">U98+AT98+BS98+CR98</f>
        <v>1.42774039769974E-005</v>
      </c>
      <c r="EB98" s="57" t="n">
        <f aca="false">V98+AU98+BT98+CS98</f>
        <v>0.000122019430636329</v>
      </c>
      <c r="EC98" s="57" t="n">
        <f aca="false">G98*dt*C98</f>
        <v>0.00185987959795648</v>
      </c>
    </row>
    <row r="99" customFormat="false" ht="15" hidden="false" customHeight="false" outlineLevel="0" collapsed="false">
      <c r="A99" s="8" t="n">
        <v>93</v>
      </c>
      <c r="B99" s="54" t="n">
        <f aca="false">start_age+A99*dt</f>
        <v>93.25</v>
      </c>
      <c r="C99" s="16" t="n">
        <f aca="false">(1+disc_rate)^-(A99*dt)</f>
        <v>0.707399124049092</v>
      </c>
      <c r="D99" s="55" t="n">
        <f aca="false">IF(A99*dt&gt;=wane_start,(1-wane_decay)^(A99*dt-wane_start),1)</f>
        <v>1</v>
      </c>
      <c r="E99" s="25" t="n">
        <f aca="false">MIN(p_nonvasc_death*MIN(EXP(gomp_int+gomp_slope*INT(B99)),1)/qx_ref,0.999)</f>
        <v>0.366163211059421</v>
      </c>
      <c r="F99" s="55" t="n">
        <f aca="false">rr_stroke_per_decade^((B99-ref_age)/10)</f>
        <v>2.56691907522079</v>
      </c>
      <c r="G99" s="57" t="n">
        <f aca="false">DH98</f>
        <v>0.00920143067043199</v>
      </c>
      <c r="H99" s="57" t="n">
        <f aca="false">DI98</f>
        <v>0.000773464504232119</v>
      </c>
      <c r="I99" s="57" t="n">
        <f aca="false">DJ98</f>
        <v>0.000409820854864808</v>
      </c>
      <c r="J99" s="57" t="n">
        <f aca="false">DK98</f>
        <v>0.00514158541280818</v>
      </c>
      <c r="K99" s="57" t="n">
        <f aca="false">DL98</f>
        <v>0.984473698557662</v>
      </c>
      <c r="L99" s="57" t="n">
        <f aca="false">1-EXP(LN(1-E99)*dt)</f>
        <v>0.10773396655429</v>
      </c>
      <c r="M99" s="57" t="n">
        <f aca="false">G99*(1-L99)</f>
        <v>0.00821012404633206</v>
      </c>
      <c r="N99" s="57" t="n">
        <f aca="false">IF(Apixaban!$B$2=1,EXP(LN(or_apx_stroke)*D99)*(1-EXP(-r_stroke*F99*dt))/(1-(1-EXP(-r_stroke*F99*dt))+EXP(LN(or_apx_stroke)*D99)*(1-EXP(-r_stroke*F99*dt))),(1-EXP(-r_stroke*F99*dt)))</f>
        <v>0.00815251236630887</v>
      </c>
      <c r="O99" s="57" t="n">
        <f aca="false">IF(Apixaban!$B$2=1,EXP(LN(or_apx_ich)*D99)*(1-EXP(-r_ich*dt))/(1-(1-EXP(-r_ich*dt))+EXP(LN(or_apx_ich)*D99)*(1-EXP(-r_ich*dt))),(1-EXP(-r_ich*dt)))</f>
        <v>0.000843513249640701</v>
      </c>
      <c r="P99" s="57" t="n">
        <f aca="false">IF(Apixaban!$B$2=1,EXP(LN(or_apx_mb)*D99)*(1-EXP(-r_mb*dt))/(1-(1-EXP(-r_mb*dt))+EXP(LN(or_apx_mb)*D99)*(1-EXP(-r_mb*dt))),(1-EXP(-r_mb*dt)))</f>
        <v>0.00669446907979895</v>
      </c>
      <c r="Q99" s="57" t="n">
        <f aca="false">IF(Apixaban!$B$2=1,EXP(LN(or_apx_mi)*D99)*(1-EXP(-r_mi*dt))/(1-(1-EXP(-r_mi*dt))+EXP(LN(or_apx_mi)*D99)*(1-EXP(-r_mi*dt))),(1-EXP(-r_mi*dt)))</f>
        <v>0.00132321915530843</v>
      </c>
      <c r="R99" s="57" t="n">
        <f aca="false">(1-EXP(-r_tia*dt))</f>
        <v>0.0020060281549299</v>
      </c>
      <c r="S99" s="57" t="n">
        <f aca="false">(1-EXP(-r_minor*dt))</f>
        <v>0.0437937690785545</v>
      </c>
      <c r="T99" s="57" t="n">
        <f aca="false">M99*N99</f>
        <v>6.69331378166519E-005</v>
      </c>
      <c r="U99" s="57" t="n">
        <f aca="false">M99*O99</f>
        <v>6.92534841427481E-006</v>
      </c>
      <c r="V99" s="57" t="n">
        <f aca="false">M99*P99</f>
        <v>5.49624215694838E-005</v>
      </c>
      <c r="W99" s="57" t="n">
        <f aca="false">M99*Q99</f>
        <v>1.08637934055649E-005</v>
      </c>
      <c r="X99" s="57" t="n">
        <f aca="false">M99*R99</f>
        <v>1.64697399924091E-005</v>
      </c>
      <c r="Y99" s="57" t="n">
        <f aca="false">M99*S99</f>
        <v>0.000359552276591353</v>
      </c>
      <c r="Z99" s="57" t="n">
        <f aca="false">T99*f_stroke_fatal</f>
        <v>1.58631536625465E-005</v>
      </c>
      <c r="AA99" s="57" t="n">
        <f aca="false">T99*(1-f_stroke_fatal)*f_stroke_major</f>
        <v>1.70063047233171E-005</v>
      </c>
      <c r="AB99" s="57" t="n">
        <f aca="false">T99*(1-f_stroke_fatal)*(1-f_stroke_major)</f>
        <v>3.40636794307883E-005</v>
      </c>
      <c r="AC99" s="57" t="n">
        <f aca="false">U99*(1-f_bleed_fatal)</f>
        <v>6.34361914747573E-006</v>
      </c>
      <c r="AD99" s="57" t="n">
        <f aca="false">V99*(1-f_bleed_fatal)</f>
        <v>5.03455781576472E-005</v>
      </c>
      <c r="AE99" s="57" t="n">
        <f aca="false">W99*f_mi_fatal</f>
        <v>1.31451900207336E-006</v>
      </c>
      <c r="AF99" s="57" t="n">
        <f aca="false">W99-AE99</f>
        <v>9.54927440349157E-006</v>
      </c>
      <c r="AG99" s="57" t="n">
        <f aca="false">M99-T99-U99-V99-AE99</f>
        <v>0.00807998861952957</v>
      </c>
      <c r="AH99" s="19" t="n">
        <f aca="false">Z99*c_stroke_fatal+AA99*c_stroke_major+AB99*c_stroke_minor+U99*c_ich+V99*c_major_bleed+AE99*c_mi_fatal+AF99*c_mi_nonfatal+X99*c_tia+Y99*c_minor_bleed</f>
        <v>3.27081239730662</v>
      </c>
      <c r="AI99" s="57" t="n">
        <f aca="false">dt*(AF99*dec_mi+AD99*dec_major_bleed+Y99*dec_minor_bleed+X99*dec_tia)</f>
        <v>3.04900382646143E-006</v>
      </c>
      <c r="AJ99" s="57" t="n">
        <f aca="false">G99*L99+Z99+U99-AC99+V99-AD99+AE99</f>
        <v>0.00101368286944319</v>
      </c>
      <c r="AK99" s="57" t="n">
        <f aca="false">1-EXP(LN(1-E99)*hr_death_prior_stroke*dt)</f>
        <v>0.230626843631477</v>
      </c>
      <c r="AL99" s="57" t="n">
        <f aca="false">H99*(1-AK99)</f>
        <v>0.00059508282696008</v>
      </c>
      <c r="AM99" s="57" t="n">
        <f aca="false">(1-EXP(-r_stroke*F99*rr_stroke_prior*rr_asa_stroke*dt))</f>
        <v>0.0362177686393814</v>
      </c>
      <c r="AN99" s="57" t="n">
        <f aca="false">(1-EXP(-r_ich*rr_asa_ich*dt))</f>
        <v>0.00102357767802375</v>
      </c>
      <c r="AO99" s="57" t="n">
        <f aca="false">(1-EXP(-r_mb*rr_asa_mb*dt))</f>
        <v>0.00951809672747972</v>
      </c>
      <c r="AP99" s="57" t="n">
        <f aca="false">(1-EXP(-r_mi*rr_asa_mi*dt))</f>
        <v>0.00213413516393479</v>
      </c>
      <c r="AQ99" s="57" t="n">
        <f aca="false">(1-EXP(-r_tia*rr_asa_tia*dt))</f>
        <v>0.00312764565589152</v>
      </c>
      <c r="AR99" s="57" t="n">
        <f aca="false">(1-EXP(-r_minor*rr_asa_minor*dt))</f>
        <v>0.0278181950466747</v>
      </c>
      <c r="AS99" s="57" t="n">
        <f aca="false">AL99*AM99</f>
        <v>2.15525721481092E-005</v>
      </c>
      <c r="AT99" s="57" t="n">
        <f aca="false">AL99*AN99</f>
        <v>6.09113498251605E-007</v>
      </c>
      <c r="AU99" s="57" t="n">
        <f aca="false">AL99*AO99</f>
        <v>5.66405590786812E-006</v>
      </c>
      <c r="AV99" s="57" t="n">
        <f aca="false">AL99*AP99</f>
        <v>1.26998718646923E-006</v>
      </c>
      <c r="AW99" s="57" t="n">
        <f aca="false">AL99*AQ99</f>
        <v>1.86120821863734E-006</v>
      </c>
      <c r="AX99" s="57" t="n">
        <f aca="false">AL99*AR99</f>
        <v>1.65541301493021E-005</v>
      </c>
      <c r="AY99" s="57" t="n">
        <f aca="false">AS99*f_stroke_fatal_recur</f>
        <v>8.01949657058996E-006</v>
      </c>
      <c r="AZ99" s="57" t="n">
        <f aca="false">AS99*(1-f_stroke_fatal_recur)*f_stroke_major</f>
        <v>4.50651416731391E-006</v>
      </c>
      <c r="BA99" s="57" t="n">
        <f aca="false">AS99*(1-f_stroke_fatal_recur)*(1-f_stroke_major)</f>
        <v>9.02656141020535E-006</v>
      </c>
      <c r="BB99" s="57" t="n">
        <f aca="false">AT99*(1-f_bleed_fatal)</f>
        <v>5.5794796439847E-007</v>
      </c>
      <c r="BC99" s="57" t="n">
        <f aca="false">AU99*(1-f_bleed_fatal)</f>
        <v>5.18827521160719E-006</v>
      </c>
      <c r="BD99" s="57" t="n">
        <f aca="false">AV99*f_mi_fatal</f>
        <v>1.53668449562777E-007</v>
      </c>
      <c r="BE99" s="57" t="n">
        <f aca="false">AV99-BD99</f>
        <v>1.11631873690645E-006</v>
      </c>
      <c r="BF99" s="57" t="n">
        <f aca="false">AL99-AS99-AT99-AU99-BD99</f>
        <v>0.000567103416956288</v>
      </c>
      <c r="BG99" s="19" t="n">
        <f aca="false">AY99*c_stroke_fatal+AZ99*c_stroke_major+BA99*c_stroke_minor+AT99*c_ich+AU99*c_major_bleed+BD99*c_mi_fatal+BE99*c_mi_nonfatal+AW99*c_tia+AX99*c_minor_bleed</f>
        <v>0.823253804124631</v>
      </c>
      <c r="BH99" s="57" t="n">
        <f aca="false">dt*(BE99*dec_mi+BC99*dec_major_bleed+AX99*dec_minor_bleed+AW99*dec_tia)</f>
        <v>2.55942325010435E-007</v>
      </c>
      <c r="BI99" s="57" t="n">
        <f aca="false">H99*AK99+AY99+AT99-BB99+AU99-BC99+BD99</f>
        <v>0.000187081788522306</v>
      </c>
      <c r="BJ99" s="57" t="n">
        <f aca="false">1-EXP(LN(1-E99)*hr_death_prior_stroke*dt)</f>
        <v>0.230626843631477</v>
      </c>
      <c r="BK99" s="57" t="n">
        <f aca="false">I99*(1-BJ99)</f>
        <v>0.000315305164652984</v>
      </c>
      <c r="BL99" s="57" t="n">
        <f aca="false">(1-EXP(-r_stroke*F99*rr_stroke_prior*rr_asa_stroke*dt))</f>
        <v>0.0362177686393814</v>
      </c>
      <c r="BM99" s="57" t="n">
        <f aca="false">(1-EXP(-r_ich*rr_asa_ich*dt))</f>
        <v>0.00102357767802375</v>
      </c>
      <c r="BN99" s="57" t="n">
        <f aca="false">(1-EXP(-r_mb*rr_asa_mb*dt))</f>
        <v>0.00951809672747972</v>
      </c>
      <c r="BO99" s="57" t="n">
        <f aca="false">(1-EXP(-r_mi*rr_asa_mi*dt))</f>
        <v>0.00213413516393479</v>
      </c>
      <c r="BP99" s="57" t="n">
        <f aca="false">(1-EXP(-r_tia*rr_asa_tia*dt))</f>
        <v>0.00312764565589152</v>
      </c>
      <c r="BQ99" s="57" t="n">
        <f aca="false">(1-EXP(-r_minor*rr_asa_minor*dt))</f>
        <v>0.0278181950466747</v>
      </c>
      <c r="BR99" s="57" t="n">
        <f aca="false">BK99*BL99</f>
        <v>1.14196495042038E-005</v>
      </c>
      <c r="BS99" s="57" t="n">
        <f aca="false">BK99*BM99</f>
        <v>3.22739328304396E-007</v>
      </c>
      <c r="BT99" s="57" t="n">
        <f aca="false">BK99*BN99</f>
        <v>3.00110505584102E-006</v>
      </c>
      <c r="BU99" s="57" t="n">
        <f aca="false">BK99*BO99</f>
        <v>6.72903839256182E-007</v>
      </c>
      <c r="BV99" s="57" t="n">
        <f aca="false">BK99*BP99</f>
        <v>9.86162828507066E-007</v>
      </c>
      <c r="BW99" s="57" t="n">
        <f aca="false">BK99*BQ99</f>
        <v>8.77122056954059E-006</v>
      </c>
      <c r="BX99" s="57" t="n">
        <f aca="false">BR99*f_stroke_fatal_recur</f>
        <v>4.24913738401921E-006</v>
      </c>
      <c r="BY99" s="57" t="n">
        <f aca="false">BR99*(1-f_stroke_fatal_recur)*f_stroke_major</f>
        <v>2.38778053602148E-006</v>
      </c>
      <c r="BZ99" s="57" t="n">
        <f aca="false">BR99*(1-f_stroke_fatal_recur)*(1-f_stroke_major)</f>
        <v>4.78273158416315E-006</v>
      </c>
      <c r="CA99" s="57" t="n">
        <f aca="false">BS99*(1-f_bleed_fatal)</f>
        <v>2.95629224726827E-007</v>
      </c>
      <c r="CB99" s="57" t="n">
        <f aca="false">BT99*(1-f_bleed_fatal)</f>
        <v>2.74901223115038E-006</v>
      </c>
      <c r="CC99" s="57" t="n">
        <f aca="false">BU99*f_mi_fatal</f>
        <v>8.14213645499981E-008</v>
      </c>
      <c r="CD99" s="57" t="n">
        <f aca="false">BU99-CC99</f>
        <v>5.91482474706184E-007</v>
      </c>
      <c r="CE99" s="57" t="n">
        <f aca="false">BK99-BR99-BS99-BT99-CC99</f>
        <v>0.000300480249400085</v>
      </c>
      <c r="CF99" s="19" t="n">
        <f aca="false">BX99*c_stroke_fatal+BY99*c_stroke_major+BZ99*c_stroke_minor+BS99*c_ich+BT99*c_major_bleed+CC99*c_mi_fatal+CD99*c_mi_nonfatal+BV99*c_tia+BW99*c_minor_bleed</f>
        <v>0.436201759655426</v>
      </c>
      <c r="CG99" s="57" t="n">
        <f aca="false">dt*(CD99*dec_mi+CB99*dec_major_bleed+BW99*dec_minor_bleed+BV99*dec_tia)</f>
        <v>1.35611268336091E-007</v>
      </c>
      <c r="CH99" s="57" t="n">
        <f aca="false">I99*BJ99+BX99+BS99-CA99+BT99-CB99+CC99</f>
        <v>9.91254518886618E-005</v>
      </c>
      <c r="CI99" s="57" t="n">
        <f aca="false">1-EXP(LN(1-E99)*dt)</f>
        <v>0.10773396655429</v>
      </c>
      <c r="CJ99" s="57" t="n">
        <f aca="false">J99*(1-CI99)</f>
        <v>0.00458766202190868</v>
      </c>
      <c r="CK99" s="57" t="n">
        <f aca="false">(1-EXP(-r_stroke*F99*rr_asa_stroke*dt))</f>
        <v>0.0166283385691183</v>
      </c>
      <c r="CL99" s="57" t="n">
        <f aca="false">(1-EXP(-r_ich*rr_asa_ich*dt))</f>
        <v>0.00102357767802375</v>
      </c>
      <c r="CM99" s="57" t="n">
        <f aca="false">(1-EXP(-r_mb*rr_asa_mb*dt))</f>
        <v>0.00951809672747972</v>
      </c>
      <c r="CN99" s="57" t="n">
        <f aca="false">(1-EXP(-r_mi*rr_asa_mi*dt))</f>
        <v>0.00213413516393479</v>
      </c>
      <c r="CO99" s="57" t="n">
        <f aca="false">(1-EXP(-r_tia*rr_asa_tia*dt))</f>
        <v>0.00312764565589152</v>
      </c>
      <c r="CP99" s="57" t="n">
        <f aca="false">(1-EXP(-r_minor*rr_asa_minor*dt))</f>
        <v>0.0278181950466747</v>
      </c>
      <c r="CQ99" s="57" t="n">
        <f aca="false">CJ99*CK99</f>
        <v>7.62851973409832E-005</v>
      </c>
      <c r="CR99" s="57" t="n">
        <f aca="false">CJ99*CL99</f>
        <v>4.69582843994301E-006</v>
      </c>
      <c r="CS99" s="57" t="n">
        <f aca="false">CJ99*CM99</f>
        <v>4.3665810877512E-005</v>
      </c>
      <c r="CT99" s="57" t="n">
        <f aca="false">CJ99*CN99</f>
        <v>9.7906908412035E-006</v>
      </c>
      <c r="CU99" s="57" t="n">
        <f aca="false">CJ99*CO99</f>
        <v>1.43485811935212E-005</v>
      </c>
      <c r="CV99" s="57" t="n">
        <f aca="false">CJ99*CP99</f>
        <v>0.000127620476933678</v>
      </c>
      <c r="CW99" s="57" t="n">
        <f aca="false">CQ99*f_stroke_fatal</f>
        <v>1.8079591769813E-005</v>
      </c>
      <c r="CX99" s="57" t="n">
        <f aca="false">CQ99*(1-f_stroke_fatal)*f_stroke_major</f>
        <v>1.93824666551997E-005</v>
      </c>
      <c r="CY99" s="57" t="n">
        <f aca="false">CQ99*(1-f_stroke_fatal)*(1-f_stroke_major)</f>
        <v>3.88231389159705E-005</v>
      </c>
      <c r="CZ99" s="57" t="n">
        <f aca="false">CR99*(1-f_bleed_fatal)</f>
        <v>4.3013788509878E-006</v>
      </c>
      <c r="DA99" s="57" t="n">
        <f aca="false">CS99*(1-f_bleed_fatal)</f>
        <v>3.9997882763801E-005</v>
      </c>
      <c r="DB99" s="57" t="n">
        <f aca="false">CT99*f_mi_fatal</f>
        <v>1.18467359178562E-006</v>
      </c>
      <c r="DC99" s="57" t="n">
        <f aca="false">CT99-DB99</f>
        <v>8.60601724941788E-006</v>
      </c>
      <c r="DD99" s="57" t="n">
        <f aca="false">CJ99-CQ99-CR99-CS99-DB99</f>
        <v>0.00446183051165846</v>
      </c>
      <c r="DE99" s="19" t="n">
        <f aca="false">CW99*c_stroke_fatal+CX99*c_stroke_major+CY99*c_stroke_minor+CR99*c_ich+CS99*c_major_bleed+DB99*c_mi_fatal+DC99*c_mi_nonfatal+CU99*c_tia+CV99*c_minor_bleed</f>
        <v>3.43632387577799</v>
      </c>
      <c r="DF99" s="57" t="n">
        <f aca="false">dt*(DC99*dec_mi+DA99*dec_major_bleed+CV99*dec_minor_bleed+CU99*dec_tia)</f>
        <v>1.97313185837936E-006</v>
      </c>
      <c r="DG99" s="57" t="n">
        <f aca="false">J99*CI99+CW99+CR99-CZ99+CS99-DA99+DB99</f>
        <v>0.000577250033963766</v>
      </c>
      <c r="DH99" s="57" t="n">
        <f aca="false">AG99</f>
        <v>0.00807998861952957</v>
      </c>
      <c r="DI99" s="57" t="n">
        <f aca="false">AB99+AC99+BF99+BA99+BB99+BC99+CY99+CZ99</f>
        <v>0.000665408017887721</v>
      </c>
      <c r="DJ99" s="57" t="n">
        <f aca="false">AA99+AZ99+BY99+CX99+CE99+BZ99+CA99+CB99</f>
        <v>0.000351590688521977</v>
      </c>
      <c r="DK99" s="57" t="n">
        <f aca="false">AD99+DD99+DA99</f>
        <v>0.00455217397257991</v>
      </c>
      <c r="DL99" s="57" t="n">
        <f aca="false">K99+AJ99+BI99+CH99+DG99</f>
        <v>0.98635083870148</v>
      </c>
      <c r="DM99" s="58" t="n">
        <f aca="false">SUM(DH99:DL99)</f>
        <v>0.999999999999999</v>
      </c>
      <c r="DN99" s="19" t="n">
        <f aca="false">dt*(G99*Apixaban!$H$2+(H99+I99+J99)*c_aspirin)</f>
        <v>0.748010703928827</v>
      </c>
      <c r="DO99" s="19" t="n">
        <f aca="false">dt*(H99*c_lt_minor_stroke+I99*c_lt_major_stroke)</f>
        <v>4.76650743419958</v>
      </c>
      <c r="DP99" s="19" t="n">
        <f aca="false">AH99+BG99+CF99+DE99</f>
        <v>7.96659183686466</v>
      </c>
      <c r="DQ99" s="19" t="n">
        <f aca="false">DN99+DO99+DP99</f>
        <v>13.4811099749931</v>
      </c>
      <c r="DR99" s="57" t="n">
        <f aca="false">dt*(G99*(u_af-dec_per_year_over_70*MAX(B99-ref_age,0))+H99*(u_minor_stroke-dec_per_year_over_70*MAX(B99-ref_age,0))+I99*(u_major_stroke-dec_per_year_over_70*MAX(B99-ref_age,0))+J99*(u_af-dec_per_year_over_70*MAX(B99-ref_age,0)))-AI99-BH99-CG99-DF99</f>
        <v>0.00305197674433474</v>
      </c>
      <c r="DS99" s="57" t="n">
        <f aca="false">dt*(G99+H99+I99+J99)</f>
        <v>0.00388157536058428</v>
      </c>
      <c r="DT99" s="19" t="n">
        <f aca="false">DQ99*C99</f>
        <v>9.53652538751956</v>
      </c>
      <c r="DU99" s="19" t="n">
        <f aca="false">DN99*C99</f>
        <v>0.529142116738597</v>
      </c>
      <c r="DV99" s="19" t="n">
        <f aca="false">DP99*C99</f>
        <v>5.6355600870547</v>
      </c>
      <c r="DW99" s="19" t="n">
        <f aca="false">DO99*C99</f>
        <v>3.37182318372626</v>
      </c>
      <c r="DX99" s="57" t="n">
        <f aca="false">DR99*C99</f>
        <v>0.00215896567556059</v>
      </c>
      <c r="DY99" s="57" t="n">
        <f aca="false">DS99*C99</f>
        <v>0.00274582301000785</v>
      </c>
      <c r="DZ99" s="57" t="n">
        <f aca="false">T99+AS99+BR99+CQ99</f>
        <v>0.000176190556809948</v>
      </c>
      <c r="EA99" s="57" t="n">
        <f aca="false">U99+AT99+BS99+CR99</f>
        <v>1.25530296807738E-005</v>
      </c>
      <c r="EB99" s="57" t="n">
        <f aca="false">V99+AU99+BT99+CS99</f>
        <v>0.000107293393410705</v>
      </c>
      <c r="EC99" s="57" t="n">
        <f aca="false">G99*dt*C99</f>
        <v>0.00162727099906551</v>
      </c>
    </row>
    <row r="100" customFormat="false" ht="15" hidden="false" customHeight="false" outlineLevel="0" collapsed="false">
      <c r="A100" s="8" t="n">
        <v>94</v>
      </c>
      <c r="B100" s="54" t="n">
        <f aca="false">start_age+A100*dt</f>
        <v>93.5</v>
      </c>
      <c r="C100" s="16" t="n">
        <f aca="false">(1+disc_rate)^-(A100*dt)</f>
        <v>0.704770970419412</v>
      </c>
      <c r="D100" s="55" t="n">
        <f aca="false">IF(A100*dt&gt;=wane_start,(1-wane_decay)^(A100*dt-wane_start),1)</f>
        <v>1</v>
      </c>
      <c r="E100" s="25" t="n">
        <f aca="false">MIN(p_nonvasc_death*MIN(EXP(gomp_int+gomp_slope*INT(B100)),1)/qx_ref,0.999)</f>
        <v>0.366163211059421</v>
      </c>
      <c r="F100" s="55" t="n">
        <f aca="false">rr_stroke_per_decade^((B100-ref_age)/10)</f>
        <v>2.59307130199174</v>
      </c>
      <c r="G100" s="57" t="n">
        <f aca="false">DH99</f>
        <v>0.00807998861952957</v>
      </c>
      <c r="H100" s="57" t="n">
        <f aca="false">DI99</f>
        <v>0.000665408017887721</v>
      </c>
      <c r="I100" s="57" t="n">
        <f aca="false">DJ99</f>
        <v>0.000351590688521977</v>
      </c>
      <c r="J100" s="57" t="n">
        <f aca="false">DK99</f>
        <v>0.00455217397257991</v>
      </c>
      <c r="K100" s="57" t="n">
        <f aca="false">DL99</f>
        <v>0.98635083870148</v>
      </c>
      <c r="L100" s="57" t="n">
        <f aca="false">1-EXP(LN(1-E100)*dt)</f>
        <v>0.10773396655429</v>
      </c>
      <c r="M100" s="57" t="n">
        <f aca="false">G100*(1-L100)</f>
        <v>0.00720949939583413</v>
      </c>
      <c r="N100" s="57" t="n">
        <f aca="false">IF(Apixaban!$B$2=1,EXP(LN(or_apx_stroke)*D100)*(1-EXP(-r_stroke*F100*dt))/(1-(1-EXP(-r_stroke*F100*dt))+EXP(LN(or_apx_stroke)*D100)*(1-EXP(-r_stroke*F100*dt))),(1-EXP(-r_stroke*F100*dt)))</f>
        <v>0.00823531901110788</v>
      </c>
      <c r="O100" s="57" t="n">
        <f aca="false">IF(Apixaban!$B$2=1,EXP(LN(or_apx_ich)*D100)*(1-EXP(-r_ich*dt))/(1-(1-EXP(-r_ich*dt))+EXP(LN(or_apx_ich)*D100)*(1-EXP(-r_ich*dt))),(1-EXP(-r_ich*dt)))</f>
        <v>0.000843513249640701</v>
      </c>
      <c r="P100" s="57" t="n">
        <f aca="false">IF(Apixaban!$B$2=1,EXP(LN(or_apx_mb)*D100)*(1-EXP(-r_mb*dt))/(1-(1-EXP(-r_mb*dt))+EXP(LN(or_apx_mb)*D100)*(1-EXP(-r_mb*dt))),(1-EXP(-r_mb*dt)))</f>
        <v>0.00669446907979895</v>
      </c>
      <c r="Q100" s="57" t="n">
        <f aca="false">IF(Apixaban!$B$2=1,EXP(LN(or_apx_mi)*D100)*(1-EXP(-r_mi*dt))/(1-(1-EXP(-r_mi*dt))+EXP(LN(or_apx_mi)*D100)*(1-EXP(-r_mi*dt))),(1-EXP(-r_mi*dt)))</f>
        <v>0.00132321915530843</v>
      </c>
      <c r="R100" s="57" t="n">
        <f aca="false">(1-EXP(-r_tia*dt))</f>
        <v>0.0020060281549299</v>
      </c>
      <c r="S100" s="57" t="n">
        <f aca="false">(1-EXP(-r_minor*dt))</f>
        <v>0.0437937690785545</v>
      </c>
      <c r="T100" s="57" t="n">
        <f aca="false">M100*N100</f>
        <v>5.93725274350836E-005</v>
      </c>
      <c r="U100" s="57" t="n">
        <f aca="false">M100*O100</f>
        <v>6.08130826366272E-006</v>
      </c>
      <c r="V100" s="57" t="n">
        <f aca="false">M100*P100</f>
        <v>4.82637707862408E-005</v>
      </c>
      <c r="W100" s="57" t="n">
        <f aca="false">M100*Q100</f>
        <v>9.53974770075227E-006</v>
      </c>
      <c r="X100" s="57" t="n">
        <f aca="false">M100*R100</f>
        <v>1.44624587709933E-005</v>
      </c>
      <c r="Y100" s="57" t="n">
        <f aca="false">M100*S100</f>
        <v>0.000315731151713138</v>
      </c>
      <c r="Z100" s="57" t="n">
        <f aca="false">T100*f_stroke_fatal</f>
        <v>1.40712890021148E-005</v>
      </c>
      <c r="AA100" s="57" t="n">
        <f aca="false">T100*(1-f_stroke_fatal)*f_stroke_major</f>
        <v>1.50853123981786E-005</v>
      </c>
      <c r="AB100" s="57" t="n">
        <f aca="false">T100*(1-f_stroke_fatal)*(1-f_stroke_major)</f>
        <v>3.02159260347902E-005</v>
      </c>
      <c r="AC100" s="57" t="n">
        <f aca="false">U100*(1-f_bleed_fatal)</f>
        <v>5.57047836951505E-006</v>
      </c>
      <c r="AD100" s="57" t="n">
        <f aca="false">V100*(1-f_bleed_fatal)</f>
        <v>4.42096140401966E-005</v>
      </c>
      <c r="AE100" s="57" t="n">
        <f aca="false">W100*f_mi_fatal</f>
        <v>1.15430947179102E-006</v>
      </c>
      <c r="AF100" s="57" t="n">
        <f aca="false">W100-AE100</f>
        <v>8.38543822896124E-006</v>
      </c>
      <c r="AG100" s="57" t="n">
        <f aca="false">M100-T100-U100-V100-AE100</f>
        <v>0.00709462747987735</v>
      </c>
      <c r="AH100" s="19" t="n">
        <f aca="false">Z100*c_stroke_fatal+AA100*c_stroke_major+AB100*c_stroke_minor+U100*c_ich+V100*c_major_bleed+AE100*c_mi_fatal+AF100*c_mi_nonfatal+X100*c_tia+Y100*c_minor_bleed</f>
        <v>2.89423337964962</v>
      </c>
      <c r="AI100" s="57" t="n">
        <f aca="false">dt*(AF100*dec_mi+AD100*dec_major_bleed+Y100*dec_minor_bleed+X100*dec_tia)</f>
        <v>2.67740062400034E-006</v>
      </c>
      <c r="AJ100" s="57" t="n">
        <f aca="false">G100*L100+Z100+U100-AC100+V100-AD100+AE100</f>
        <v>0.000890279808809539</v>
      </c>
      <c r="AK100" s="57" t="n">
        <f aca="false">1-EXP(LN(1-E100)*hr_death_prior_stroke*dt)</f>
        <v>0.230626843631477</v>
      </c>
      <c r="AL100" s="57" t="n">
        <f aca="false">H100*(1-AK100)</f>
        <v>0.000511947066995199</v>
      </c>
      <c r="AM100" s="57" t="n">
        <f aca="false">(1-EXP(-r_stroke*F100*rr_stroke_prior*rr_asa_stroke*dt))</f>
        <v>0.036579929412161</v>
      </c>
      <c r="AN100" s="57" t="n">
        <f aca="false">(1-EXP(-r_ich*rr_asa_ich*dt))</f>
        <v>0.00102357767802375</v>
      </c>
      <c r="AO100" s="57" t="n">
        <f aca="false">(1-EXP(-r_mb*rr_asa_mb*dt))</f>
        <v>0.00951809672747972</v>
      </c>
      <c r="AP100" s="57" t="n">
        <f aca="false">(1-EXP(-r_mi*rr_asa_mi*dt))</f>
        <v>0.00213413516393479</v>
      </c>
      <c r="AQ100" s="57" t="n">
        <f aca="false">(1-EXP(-r_tia*rr_asa_tia*dt))</f>
        <v>0.00312764565589152</v>
      </c>
      <c r="AR100" s="57" t="n">
        <f aca="false">(1-EXP(-r_minor*rr_asa_minor*dt))</f>
        <v>0.0278181950466747</v>
      </c>
      <c r="AS100" s="57" t="n">
        <f aca="false">AL100*AM100</f>
        <v>1.87269875734472E-005</v>
      </c>
      <c r="AT100" s="57" t="n">
        <f aca="false">AL100*AN100</f>
        <v>5.24017590106013E-007</v>
      </c>
      <c r="AU100" s="57" t="n">
        <f aca="false">AL100*AO100</f>
        <v>4.87276170300984E-006</v>
      </c>
      <c r="AV100" s="57" t="n">
        <f aca="false">AL100*AP100</f>
        <v>1.09256423774773E-006</v>
      </c>
      <c r="AW100" s="57" t="n">
        <f aca="false">AL100*AQ100</f>
        <v>1.60118902013394E-006</v>
      </c>
      <c r="AX100" s="57" t="n">
        <f aca="false">AL100*AR100</f>
        <v>1.42414433632455E-005</v>
      </c>
      <c r="AY100" s="57" t="n">
        <f aca="false">AS100*f_stroke_fatal_recur</f>
        <v>6.96812480620399E-006</v>
      </c>
      <c r="AZ100" s="57" t="n">
        <f aca="false">AS100*(1-f_stroke_fatal_recur)*f_stroke_major</f>
        <v>3.91570130149201E-006</v>
      </c>
      <c r="BA100" s="57" t="n">
        <f aca="false">AS100*(1-f_stroke_fatal_recur)*(1-f_stroke_major)</f>
        <v>7.84316146575125E-006</v>
      </c>
      <c r="BB100" s="57" t="n">
        <f aca="false">AT100*(1-f_bleed_fatal)</f>
        <v>4.80000112537108E-007</v>
      </c>
      <c r="BC100" s="57" t="n">
        <f aca="false">AU100*(1-f_bleed_fatal)</f>
        <v>4.46344971995701E-006</v>
      </c>
      <c r="BD100" s="57" t="n">
        <f aca="false">AV100*f_mi_fatal</f>
        <v>1.32200272767476E-007</v>
      </c>
      <c r="BE100" s="57" t="n">
        <f aca="false">AV100-BD100</f>
        <v>9.60363964980258E-007</v>
      </c>
      <c r="BF100" s="57" t="n">
        <f aca="false">AL100-AS100-AT100-AU100-BD100</f>
        <v>0.000487691099855868</v>
      </c>
      <c r="BG100" s="19" t="n">
        <f aca="false">AY100*c_stroke_fatal+AZ100*c_stroke_major+BA100*c_stroke_minor+AT100*c_ich+AU100*c_major_bleed+BD100*c_mi_fatal+BE100*c_mi_nonfatal+AW100*c_tia+AX100*c_minor_bleed</f>
        <v>0.714634265330818</v>
      </c>
      <c r="BH100" s="57" t="n">
        <f aca="false">dt*(BE100*dec_mi+BC100*dec_major_bleed+AX100*dec_minor_bleed+AW100*dec_tia)</f>
        <v>2.20186025663641E-007</v>
      </c>
      <c r="BI100" s="57" t="n">
        <f aca="false">H100*AK100+AY100+AT100-BB100+AU100-BC100+BD100</f>
        <v>0.000161014605432116</v>
      </c>
      <c r="BJ100" s="57" t="n">
        <f aca="false">1-EXP(LN(1-E100)*hr_death_prior_stroke*dt)</f>
        <v>0.230626843631477</v>
      </c>
      <c r="BK100" s="57" t="n">
        <f aca="false">I100*(1-BJ100)</f>
        <v>0.000270504437777936</v>
      </c>
      <c r="BL100" s="57" t="n">
        <f aca="false">(1-EXP(-r_stroke*F100*rr_stroke_prior*rr_asa_stroke*dt))</f>
        <v>0.036579929412161</v>
      </c>
      <c r="BM100" s="57" t="n">
        <f aca="false">(1-EXP(-r_ich*rr_asa_ich*dt))</f>
        <v>0.00102357767802375</v>
      </c>
      <c r="BN100" s="57" t="n">
        <f aca="false">(1-EXP(-r_mb*rr_asa_mb*dt))</f>
        <v>0.00951809672747972</v>
      </c>
      <c r="BO100" s="57" t="n">
        <f aca="false">(1-EXP(-r_mi*rr_asa_mi*dt))</f>
        <v>0.00213413516393479</v>
      </c>
      <c r="BP100" s="57" t="n">
        <f aca="false">(1-EXP(-r_tia*rr_asa_tia*dt))</f>
        <v>0.00312764565589152</v>
      </c>
      <c r="BQ100" s="57" t="n">
        <f aca="false">(1-EXP(-r_minor*rr_asa_minor*dt))</f>
        <v>0.0278181950466747</v>
      </c>
      <c r="BR100" s="57" t="n">
        <f aca="false">BK100*BL100</f>
        <v>9.8950332395932E-006</v>
      </c>
      <c r="BS100" s="57" t="n">
        <f aca="false">BK100*BM100</f>
        <v>2.76882304315858E-007</v>
      </c>
      <c r="BT100" s="57" t="n">
        <f aca="false">BK100*BN100</f>
        <v>2.57468740398291E-006</v>
      </c>
      <c r="BU100" s="57" t="n">
        <f aca="false">BK100*BO100</f>
        <v>5.77293032662304E-007</v>
      </c>
      <c r="BV100" s="57" t="n">
        <f aca="false">BK100*BP100</f>
        <v>8.46042029715539E-007</v>
      </c>
      <c r="BW100" s="57" t="n">
        <f aca="false">BK100*BQ100</f>
        <v>7.5249452110977E-006</v>
      </c>
      <c r="BX100" s="57" t="n">
        <f aca="false">BR100*f_stroke_fatal_recur</f>
        <v>3.68184291812023E-006</v>
      </c>
      <c r="BY100" s="57" t="n">
        <f aca="false">BR100*(1-f_stroke_fatal_recur)*f_stroke_major</f>
        <v>2.0689923770505E-006</v>
      </c>
      <c r="BZ100" s="57" t="n">
        <f aca="false">BR100*(1-f_stroke_fatal_recur)*(1-f_stroke_major)</f>
        <v>4.14419794442247E-006</v>
      </c>
      <c r="CA100" s="57" t="n">
        <f aca="false">BS100*(1-f_bleed_fatal)</f>
        <v>2.53624190753326E-007</v>
      </c>
      <c r="CB100" s="57" t="n">
        <f aca="false">BT100*(1-f_bleed_fatal)</f>
        <v>2.35841366204835E-006</v>
      </c>
      <c r="CC100" s="57" t="n">
        <f aca="false">BU100*f_mi_fatal</f>
        <v>6.98524569521387E-008</v>
      </c>
      <c r="CD100" s="57" t="n">
        <f aca="false">BU100-CC100</f>
        <v>5.07440575710165E-007</v>
      </c>
      <c r="CE100" s="57" t="n">
        <f aca="false">BK100-BR100-BS100-BT100-CC100</f>
        <v>0.000257687982373092</v>
      </c>
      <c r="CF100" s="19" t="n">
        <f aca="false">BX100*c_stroke_fatal+BY100*c_stroke_major+BZ100*c_stroke_minor+BS100*c_ich+BT100*c_major_bleed+CC100*c_mi_fatal+CD100*c_mi_nonfatal+BV100*c_tia+BW100*c_minor_bleed</f>
        <v>0.377601030697914</v>
      </c>
      <c r="CG100" s="57" t="n">
        <f aca="false">dt*(CD100*dec_mi+CB100*dec_major_bleed+BW100*dec_minor_bleed+BV100*dec_tia)</f>
        <v>1.16342686419297E-007</v>
      </c>
      <c r="CH100" s="57" t="n">
        <f aca="false">I100*BJ100+BX100+BS100-CA100+BT100-CB100+CC100</f>
        <v>8.50774779746109E-005</v>
      </c>
      <c r="CI100" s="57" t="n">
        <f aca="false">1-EXP(LN(1-E100)*dt)</f>
        <v>0.10773396655429</v>
      </c>
      <c r="CJ100" s="57" t="n">
        <f aca="false">J100*(1-CI100)</f>
        <v>0.00406175021406867</v>
      </c>
      <c r="CK100" s="57" t="n">
        <f aca="false">(1-EXP(-r_stroke*F100*rr_asa_stroke*dt))</f>
        <v>0.0167963202856978</v>
      </c>
      <c r="CL100" s="57" t="n">
        <f aca="false">(1-EXP(-r_ich*rr_asa_ich*dt))</f>
        <v>0.00102357767802375</v>
      </c>
      <c r="CM100" s="57" t="n">
        <f aca="false">(1-EXP(-r_mb*rr_asa_mb*dt))</f>
        <v>0.00951809672747972</v>
      </c>
      <c r="CN100" s="57" t="n">
        <f aca="false">(1-EXP(-r_mi*rr_asa_mi*dt))</f>
        <v>0.00213413516393479</v>
      </c>
      <c r="CO100" s="57" t="n">
        <f aca="false">(1-EXP(-r_tia*rr_asa_tia*dt))</f>
        <v>0.00312764565589152</v>
      </c>
      <c r="CP100" s="57" t="n">
        <f aca="false">(1-EXP(-r_minor*rr_asa_minor*dt))</f>
        <v>0.0278181950466747</v>
      </c>
      <c r="CQ100" s="57" t="n">
        <f aca="false">CJ100*CK100</f>
        <v>6.82224575159989E-005</v>
      </c>
      <c r="CR100" s="57" t="n">
        <f aca="false">CJ100*CL100</f>
        <v>4.15751685282887E-006</v>
      </c>
      <c r="CS100" s="57" t="n">
        <f aca="false">CJ100*CM100</f>
        <v>3.86601314203671E-005</v>
      </c>
      <c r="CT100" s="57" t="n">
        <f aca="false">CJ100*CN100</f>
        <v>8.66832395896362E-006</v>
      </c>
      <c r="CU100" s="57" t="n">
        <f aca="false">CJ100*CO100</f>
        <v>1.27037154123483E-005</v>
      </c>
      <c r="CV100" s="57" t="n">
        <f aca="false">CJ100*CP100</f>
        <v>0.000112990559685835</v>
      </c>
      <c r="CW100" s="57" t="n">
        <f aca="false">CQ100*f_stroke_fatal</f>
        <v>1.61687224312917E-005</v>
      </c>
      <c r="CX100" s="57" t="n">
        <f aca="false">CQ100*(1-f_stroke_fatal)*f_stroke_major</f>
        <v>1.73338937832075E-005</v>
      </c>
      <c r="CY100" s="57" t="n">
        <f aca="false">CQ100*(1-f_stroke_fatal)*(1-f_stroke_major)</f>
        <v>3.47198413014997E-005</v>
      </c>
      <c r="CZ100" s="57" t="n">
        <f aca="false">CR100*(1-f_bleed_fatal)</f>
        <v>3.80828543719124E-006</v>
      </c>
      <c r="DA100" s="57" t="n">
        <f aca="false">CS100*(1-f_bleed_fatal)</f>
        <v>3.54126803810563E-005</v>
      </c>
      <c r="DB100" s="57" t="n">
        <f aca="false">CT100*f_mi_fatal</f>
        <v>1.0488671990346E-006</v>
      </c>
      <c r="DC100" s="57" t="n">
        <f aca="false">CT100-DB100</f>
        <v>7.61945675992902E-006</v>
      </c>
      <c r="DD100" s="57" t="n">
        <f aca="false">CJ100-CQ100-CR100-CS100-DB100</f>
        <v>0.00394966124108044</v>
      </c>
      <c r="DE100" s="19" t="n">
        <f aca="false">CW100*c_stroke_fatal+CX100*c_stroke_major+CY100*c_stroke_minor+CR100*c_ich+CS100*c_major_bleed+DB100*c_mi_fatal+DC100*c_mi_nonfatal+CU100*c_tia+CV100*c_minor_bleed</f>
        <v>3.06760637443862</v>
      </c>
      <c r="DF100" s="57" t="n">
        <f aca="false">dt*(DC100*dec_mi+DA100*dec_major_bleed+CV100*dec_minor_bleed+CU100*dec_tia)</f>
        <v>1.74693966335901E-006</v>
      </c>
      <c r="DG100" s="57" t="n">
        <f aca="false">J100*CI100+CW100+CR100-CZ100+CS100-DA100+DB100</f>
        <v>0.000511238030596507</v>
      </c>
      <c r="DH100" s="57" t="n">
        <f aca="false">AG100</f>
        <v>0.00709462747987735</v>
      </c>
      <c r="DI100" s="57" t="n">
        <f aca="false">AB100+AC100+BF100+BA100+BB100+BC100+CY100+CZ100</f>
        <v>0.00057479224229711</v>
      </c>
      <c r="DJ100" s="57" t="n">
        <f aca="false">AA100+AZ100+BY100+CX100+CE100+BZ100+CA100+CB100</f>
        <v>0.000302848118030244</v>
      </c>
      <c r="DK100" s="57" t="n">
        <f aca="false">AD100+DD100+DA100</f>
        <v>0.0040292835355017</v>
      </c>
      <c r="DL100" s="57" t="n">
        <f aca="false">K100+AJ100+BI100+CH100+DG100</f>
        <v>0.987998448624293</v>
      </c>
      <c r="DM100" s="58" t="n">
        <f aca="false">SUM(DH100:DL100)</f>
        <v>0.999999999999999</v>
      </c>
      <c r="DN100" s="19" t="n">
        <f aca="false">dt*(G100*Apixaban!$H$2+(H100+I100+J100)*c_aspirin)</f>
        <v>0.656993400545363</v>
      </c>
      <c r="DO100" s="19" t="n">
        <f aca="false">dt*(H100*c_lt_minor_stroke+I100*c_lt_major_stroke)</f>
        <v>4.09423063988976</v>
      </c>
      <c r="DP100" s="19" t="n">
        <f aca="false">AH100+BG100+CF100+DE100</f>
        <v>7.05407505011698</v>
      </c>
      <c r="DQ100" s="19" t="n">
        <f aca="false">DN100+DO100+DP100</f>
        <v>11.8052990905521</v>
      </c>
      <c r="DR100" s="57" t="n">
        <f aca="false">dt*(G100*(u_af-dec_per_year_over_70*MAX(B100-ref_age,0))+H100*(u_minor_stroke-dec_per_year_over_70*MAX(B100-ref_age,0))+I100*(u_major_stroke-dec_per_year_over_70*MAX(B100-ref_age,0))+J100*(u_af-dec_per_year_over_70*MAX(B100-ref_age,0)))-AI100-BH100-CG100-DF100</f>
        <v>0.00268399606644493</v>
      </c>
      <c r="DS100" s="57" t="n">
        <f aca="false">dt*(G100+H100+I100+J100)</f>
        <v>0.00341229032462979</v>
      </c>
      <c r="DT100" s="19" t="n">
        <f aca="false">DQ100*C100</f>
        <v>8.32003209613979</v>
      </c>
      <c r="DU100" s="19" t="n">
        <f aca="false">DN100*C100</f>
        <v>0.463029876461505</v>
      </c>
      <c r="DV100" s="19" t="n">
        <f aca="false">DP100*C100</f>
        <v>4.9715073184823</v>
      </c>
      <c r="DW100" s="19" t="n">
        <f aca="false">DO100*C100</f>
        <v>2.88549490119599</v>
      </c>
      <c r="DX100" s="57" t="n">
        <f aca="false">DR100*C100</f>
        <v>0.00189160251235027</v>
      </c>
      <c r="DY100" s="57" t="n">
        <f aca="false">DS100*C100</f>
        <v>0.00240488316344211</v>
      </c>
      <c r="DZ100" s="57" t="n">
        <f aca="false">T100+AS100+BR100+CQ100</f>
        <v>0.000156217005764123</v>
      </c>
      <c r="EA100" s="57" t="n">
        <f aca="false">U100+AT100+BS100+CR100</f>
        <v>1.10397250109135E-005</v>
      </c>
      <c r="EB100" s="57" t="n">
        <f aca="false">V100+AU100+BT100+CS100</f>
        <v>9.43713513136006E-005</v>
      </c>
      <c r="EC100" s="57" t="n">
        <f aca="false">G100*dt*C100</f>
        <v>0.00142363535509091</v>
      </c>
    </row>
    <row r="101" customFormat="false" ht="15" hidden="false" customHeight="false" outlineLevel="0" collapsed="false">
      <c r="A101" s="8" t="n">
        <v>95</v>
      </c>
      <c r="B101" s="54" t="n">
        <f aca="false">start_age+A101*dt</f>
        <v>93.75</v>
      </c>
      <c r="C101" s="16" t="n">
        <f aca="false">(1+disc_rate)^-(A101*dt)</f>
        <v>0.702152580996763</v>
      </c>
      <c r="D101" s="55" t="n">
        <f aca="false">IF(A101*dt&gt;=wane_start,(1-wane_decay)^(A101*dt-wane_start),1)</f>
        <v>1</v>
      </c>
      <c r="E101" s="25" t="n">
        <f aca="false">MIN(p_nonvasc_death*MIN(EXP(gomp_int+gomp_slope*INT(B101)),1)/qx_ref,0.999)</f>
        <v>0.366163211059421</v>
      </c>
      <c r="F101" s="55" t="n">
        <f aca="false">rr_stroke_per_decade^((B101-ref_age)/10)</f>
        <v>2.61948997228702</v>
      </c>
      <c r="G101" s="57" t="n">
        <f aca="false">DH100</f>
        <v>0.00709462747987735</v>
      </c>
      <c r="H101" s="57" t="n">
        <f aca="false">DI100</f>
        <v>0.00057479224229711</v>
      </c>
      <c r="I101" s="57" t="n">
        <f aca="false">DJ100</f>
        <v>0.000302848118030244</v>
      </c>
      <c r="J101" s="57" t="n">
        <f aca="false">DK100</f>
        <v>0.0040292835355017</v>
      </c>
      <c r="K101" s="57" t="n">
        <f aca="false">DL100</f>
        <v>0.987998448624293</v>
      </c>
      <c r="L101" s="57" t="n">
        <f aca="false">1-EXP(LN(1-E101)*dt)</f>
        <v>0.10773396655429</v>
      </c>
      <c r="M101" s="57" t="n">
        <f aca="false">G101*(1-L101)</f>
        <v>0.0063302951202451</v>
      </c>
      <c r="N101" s="57" t="n">
        <f aca="false">IF(Apixaban!$B$2=1,EXP(LN(or_apx_stroke)*D101)*(1-EXP(-r_stroke*F101*dt))/(1-(1-EXP(-r_stroke*F101*dt))+EXP(LN(or_apx_stroke)*D101)*(1-EXP(-r_stroke*F101*dt))),(1-EXP(-r_stroke*F101*dt)))</f>
        <v>0.00831896413174938</v>
      </c>
      <c r="O101" s="57" t="n">
        <f aca="false">IF(Apixaban!$B$2=1,EXP(LN(or_apx_ich)*D101)*(1-EXP(-r_ich*dt))/(1-(1-EXP(-r_ich*dt))+EXP(LN(or_apx_ich)*D101)*(1-EXP(-r_ich*dt))),(1-EXP(-r_ich*dt)))</f>
        <v>0.000843513249640701</v>
      </c>
      <c r="P101" s="57" t="n">
        <f aca="false">IF(Apixaban!$B$2=1,EXP(LN(or_apx_mb)*D101)*(1-EXP(-r_mb*dt))/(1-(1-EXP(-r_mb*dt))+EXP(LN(or_apx_mb)*D101)*(1-EXP(-r_mb*dt))),(1-EXP(-r_mb*dt)))</f>
        <v>0.00669446907979895</v>
      </c>
      <c r="Q101" s="57" t="n">
        <f aca="false">IF(Apixaban!$B$2=1,EXP(LN(or_apx_mi)*D101)*(1-EXP(-r_mi*dt))/(1-(1-EXP(-r_mi*dt))+EXP(LN(or_apx_mi)*D101)*(1-EXP(-r_mi*dt))),(1-EXP(-r_mi*dt)))</f>
        <v>0.00132321915530843</v>
      </c>
      <c r="R101" s="57" t="n">
        <f aca="false">(1-EXP(-r_tia*dt))</f>
        <v>0.0020060281549299</v>
      </c>
      <c r="S101" s="57" t="n">
        <f aca="false">(1-EXP(-r_minor*dt))</f>
        <v>0.0437937690785545</v>
      </c>
      <c r="T101" s="57" t="n">
        <f aca="false">M101*N101</f>
        <v>5.26614980487071E-005</v>
      </c>
      <c r="U101" s="57" t="n">
        <f aca="false">M101*O101</f>
        <v>5.33968780806262E-006</v>
      </c>
      <c r="V101" s="57" t="n">
        <f aca="false">M101*P101</f>
        <v>4.2377964948483E-005</v>
      </c>
      <c r="W101" s="57" t="n">
        <f aca="false">M101*Q101</f>
        <v>8.37636776186379E-006</v>
      </c>
      <c r="X101" s="57" t="n">
        <f aca="false">M101*R101</f>
        <v>1.2698750240227E-005</v>
      </c>
      <c r="Y101" s="57" t="n">
        <f aca="false">M101*S101</f>
        <v>0.000277227482695114</v>
      </c>
      <c r="Z101" s="57" t="n">
        <f aca="false">T101*f_stroke_fatal</f>
        <v>1.24807750375436E-005</v>
      </c>
      <c r="AA101" s="57" t="n">
        <f aca="false">T101*(1-f_stroke_fatal)*f_stroke_major</f>
        <v>1.33801807627175E-005</v>
      </c>
      <c r="AB101" s="57" t="n">
        <f aca="false">T101*(1-f_stroke_fatal)*(1-f_stroke_major)</f>
        <v>2.68005422484461E-005</v>
      </c>
      <c r="AC101" s="57" t="n">
        <f aca="false">U101*(1-f_bleed_fatal)</f>
        <v>4.89115403218536E-006</v>
      </c>
      <c r="AD101" s="57" t="n">
        <f aca="false">V101*(1-f_bleed_fatal)</f>
        <v>3.88182158928104E-005</v>
      </c>
      <c r="AE101" s="57" t="n">
        <f aca="false">W101*f_mi_fatal</f>
        <v>1.01354049918552E-006</v>
      </c>
      <c r="AF101" s="57" t="n">
        <f aca="false">W101-AE101</f>
        <v>7.36282726267827E-006</v>
      </c>
      <c r="AG101" s="57" t="n">
        <f aca="false">M101-T101-U101-V101-AE101</f>
        <v>0.00622890242894066</v>
      </c>
      <c r="AH101" s="19" t="n">
        <f aca="false">Z101*c_stroke_fatal+AA101*c_stroke_major+AB101*c_stroke_minor+U101*c_ich+V101*c_major_bleed+AE101*c_mi_fatal+AF101*c_mi_nonfatal+X101*c_tia+Y101*c_minor_bleed</f>
        <v>2.56084298854714</v>
      </c>
      <c r="AI101" s="57" t="n">
        <f aca="false">dt*(AF101*dec_mi+AD101*dec_major_bleed+Y101*dec_minor_bleed+X101*dec_tia)</f>
        <v>2.3508894549383E-006</v>
      </c>
      <c r="AJ101" s="57" t="n">
        <f aca="false">G101*L101+Z101+U101-AC101+V101-AD101+AE101</f>
        <v>0.000781834958000531</v>
      </c>
      <c r="AK101" s="57" t="n">
        <f aca="false">1-EXP(LN(1-E101)*hr_death_prior_stroke*dt)</f>
        <v>0.230626843631477</v>
      </c>
      <c r="AL101" s="57" t="n">
        <f aca="false">H101*(1-AK101)</f>
        <v>0.000442229721712268</v>
      </c>
      <c r="AM101" s="57" t="n">
        <f aca="false">(1-EXP(-r_stroke*F101*rr_stroke_prior*rr_asa_stroke*dt))</f>
        <v>0.0369456417672072</v>
      </c>
      <c r="AN101" s="57" t="n">
        <f aca="false">(1-EXP(-r_ich*rr_asa_ich*dt))</f>
        <v>0.00102357767802375</v>
      </c>
      <c r="AO101" s="57" t="n">
        <f aca="false">(1-EXP(-r_mb*rr_asa_mb*dt))</f>
        <v>0.00951809672747972</v>
      </c>
      <c r="AP101" s="57" t="n">
        <f aca="false">(1-EXP(-r_mi*rr_asa_mi*dt))</f>
        <v>0.00213413516393479</v>
      </c>
      <c r="AQ101" s="57" t="n">
        <f aca="false">(1-EXP(-r_tia*rr_asa_tia*dt))</f>
        <v>0.00312764565589152</v>
      </c>
      <c r="AR101" s="57" t="n">
        <f aca="false">(1-EXP(-r_minor*rr_asa_minor*dt))</f>
        <v>0.0278181950466747</v>
      </c>
      <c r="AS101" s="57" t="n">
        <f aca="false">AL101*AM101</f>
        <v>1.63384608771932E-005</v>
      </c>
      <c r="AT101" s="57" t="n">
        <f aca="false">AL101*AN101</f>
        <v>4.52656471703331E-007</v>
      </c>
      <c r="AU101" s="57" t="n">
        <f aca="false">AL101*AO101</f>
        <v>4.20918526702381E-006</v>
      </c>
      <c r="AV101" s="57" t="n">
        <f aca="false">AL101*AP101</f>
        <v>9.43777999643249E-007</v>
      </c>
      <c r="AW101" s="57" t="n">
        <f aca="false">AL101*AQ101</f>
        <v>1.38313786801949E-006</v>
      </c>
      <c r="AX101" s="57" t="n">
        <f aca="false">AL101*AR101</f>
        <v>1.23020326540286E-005</v>
      </c>
      <c r="AY101" s="57" t="n">
        <f aca="false">AS101*f_stroke_fatal_recur</f>
        <v>6.07937790779481E-006</v>
      </c>
      <c r="AZ101" s="57" t="n">
        <f aca="false">AS101*(1-f_stroke_fatal_recur)*f_stroke_major</f>
        <v>3.41627462880966E-006</v>
      </c>
      <c r="BA101" s="57" t="n">
        <f aca="false">AS101*(1-f_stroke_fatal_recur)*(1-f_stroke_major)</f>
        <v>6.84280834058871E-006</v>
      </c>
      <c r="BB101" s="57" t="n">
        <f aca="false">AT101*(1-f_bleed_fatal)</f>
        <v>4.14633328080251E-007</v>
      </c>
      <c r="BC101" s="57" t="n">
        <f aca="false">AU101*(1-f_bleed_fatal)</f>
        <v>3.85561370459381E-006</v>
      </c>
      <c r="BD101" s="57" t="n">
        <f aca="false">AV101*f_mi_fatal</f>
        <v>1.14197137956833E-007</v>
      </c>
      <c r="BE101" s="57" t="n">
        <f aca="false">AV101-BD101</f>
        <v>8.29580861686416E-007</v>
      </c>
      <c r="BF101" s="57" t="n">
        <f aca="false">AL101-AS101-AT101-AU101-BD101</f>
        <v>0.000421115221958391</v>
      </c>
      <c r="BG101" s="19" t="n">
        <f aca="false">AY101*c_stroke_fatal+AZ101*c_stroke_major+BA101*c_stroke_minor+AT101*c_ich+AU101*c_major_bleed+BD101*c_mi_fatal+BE101*c_mi_nonfatal+AW101*c_tia+AX101*c_minor_bleed</f>
        <v>0.622891145259252</v>
      </c>
      <c r="BH101" s="57" t="n">
        <f aca="false">dt*(BE101*dec_mi+BC101*dec_major_bleed+AX101*dec_minor_bleed+AW101*dec_tia)</f>
        <v>1.90200923360453E-007</v>
      </c>
      <c r="BI101" s="57" t="n">
        <f aca="false">H101*AK101+AY101+AT101-BB101+AU101-BC101+BD101</f>
        <v>0.000139147690336646</v>
      </c>
      <c r="BJ101" s="57" t="n">
        <f aca="false">1-EXP(LN(1-E101)*hr_death_prior_stroke*dt)</f>
        <v>0.230626843631477</v>
      </c>
      <c r="BK101" s="57" t="n">
        <f aca="false">I101*(1-BJ101)</f>
        <v>0.000233003212469196</v>
      </c>
      <c r="BL101" s="57" t="n">
        <f aca="false">(1-EXP(-r_stroke*F101*rr_stroke_prior*rr_asa_stroke*dt))</f>
        <v>0.0369456417672072</v>
      </c>
      <c r="BM101" s="57" t="n">
        <f aca="false">(1-EXP(-r_ich*rr_asa_ich*dt))</f>
        <v>0.00102357767802375</v>
      </c>
      <c r="BN101" s="57" t="n">
        <f aca="false">(1-EXP(-r_mb*rr_asa_mb*dt))</f>
        <v>0.00951809672747972</v>
      </c>
      <c r="BO101" s="57" t="n">
        <f aca="false">(1-EXP(-r_mi*rr_asa_mi*dt))</f>
        <v>0.00213413516393479</v>
      </c>
      <c r="BP101" s="57" t="n">
        <f aca="false">(1-EXP(-r_tia*rr_asa_tia*dt))</f>
        <v>0.00312764565589152</v>
      </c>
      <c r="BQ101" s="57" t="n">
        <f aca="false">(1-EXP(-r_minor*rr_asa_minor*dt))</f>
        <v>0.0278181950466747</v>
      </c>
      <c r="BR101" s="57" t="n">
        <f aca="false">BK101*BL101</f>
        <v>8.60845321849538E-006</v>
      </c>
      <c r="BS101" s="57" t="n">
        <f aca="false">BK101*BM101</f>
        <v>2.38496887191293E-007</v>
      </c>
      <c r="BT101" s="57" t="n">
        <f aca="false">BK101*BN101</f>
        <v>2.21774711409532E-006</v>
      </c>
      <c r="BU101" s="57" t="n">
        <f aca="false">BK101*BO101</f>
        <v>4.97260349040281E-007</v>
      </c>
      <c r="BV101" s="57" t="n">
        <f aca="false">BK101*BP101</f>
        <v>7.2875148528805E-007</v>
      </c>
      <c r="BW101" s="57" t="n">
        <f aca="false">BK101*BQ101</f>
        <v>6.48172881096989E-006</v>
      </c>
      <c r="BX101" s="57" t="n">
        <f aca="false">BR101*f_stroke_fatal_recur</f>
        <v>3.20311935806994E-006</v>
      </c>
      <c r="BY101" s="57" t="n">
        <f aca="false">BR101*(1-f_stroke_fatal_recur)*f_stroke_major</f>
        <v>1.79997617552167E-006</v>
      </c>
      <c r="BZ101" s="57" t="n">
        <f aca="false">BR101*(1-f_stroke_fatal_recur)*(1-f_stroke_major)</f>
        <v>3.60535768490376E-006</v>
      </c>
      <c r="CA101" s="57" t="n">
        <f aca="false">BS101*(1-f_bleed_fatal)</f>
        <v>2.18463148667225E-007</v>
      </c>
      <c r="CB101" s="57" t="n">
        <f aca="false">BT101*(1-f_bleed_fatal)</f>
        <v>2.03145635651131E-006</v>
      </c>
      <c r="CC101" s="57" t="n">
        <f aca="false">BU101*f_mi_fatal</f>
        <v>6.0168502233874E-008</v>
      </c>
      <c r="CD101" s="57" t="n">
        <f aca="false">BU101-CC101</f>
        <v>4.37091846806407E-007</v>
      </c>
      <c r="CE101" s="57" t="n">
        <f aca="false">BK101-BR101-BS101-BT101-CC101</f>
        <v>0.00022187834674718</v>
      </c>
      <c r="CF101" s="19" t="n">
        <f aca="false">BX101*c_stroke_fatal+BY101*c_stroke_major+BZ101*c_stroke_minor+BS101*c_ich+BT101*c_major_bleed+CC101*c_mi_fatal+CD101*c_mi_nonfatal+BV101*c_tia+BW101*c_minor_bleed</f>
        <v>0.328190600356014</v>
      </c>
      <c r="CG101" s="57" t="n">
        <f aca="false">dt*(CD101*dec_mi+CB101*dec_major_bleed+BW101*dec_minor_bleed+BV101*dec_tia)</f>
        <v>1.0021358579428E-007</v>
      </c>
      <c r="CH101" s="57" t="n">
        <f aca="false">I101*BJ101+BX101+BS101-CA101+BT101-CB101+CC101</f>
        <v>7.33145179174602E-005</v>
      </c>
      <c r="CI101" s="57" t="n">
        <f aca="false">1-EXP(LN(1-E101)*dt)</f>
        <v>0.10773396655429</v>
      </c>
      <c r="CJ101" s="57" t="n">
        <f aca="false">J101*(1-CI101)</f>
        <v>0.00359519283785021</v>
      </c>
      <c r="CK101" s="57" t="n">
        <f aca="false">(1-EXP(-r_stroke*F101*rr_asa_stroke*dt))</f>
        <v>0.0169659842947921</v>
      </c>
      <c r="CL101" s="57" t="n">
        <f aca="false">(1-EXP(-r_ich*rr_asa_ich*dt))</f>
        <v>0.00102357767802375</v>
      </c>
      <c r="CM101" s="57" t="n">
        <f aca="false">(1-EXP(-r_mb*rr_asa_mb*dt))</f>
        <v>0.00951809672747972</v>
      </c>
      <c r="CN101" s="57" t="n">
        <f aca="false">(1-EXP(-r_mi*rr_asa_mi*dt))</f>
        <v>0.00213413516393479</v>
      </c>
      <c r="CO101" s="57" t="n">
        <f aca="false">(1-EXP(-r_tia*rr_asa_tia*dt))</f>
        <v>0.00312764565589152</v>
      </c>
      <c r="CP101" s="57" t="n">
        <f aca="false">(1-EXP(-r_minor*rr_asa_minor*dt))</f>
        <v>0.0278181950466747</v>
      </c>
      <c r="CQ101" s="57" t="n">
        <f aca="false">CJ101*CK101</f>
        <v>6.09959852237157E-005</v>
      </c>
      <c r="CR101" s="57" t="n">
        <f aca="false">CJ101*CL101</f>
        <v>3.67995913701432E-006</v>
      </c>
      <c r="CS101" s="57" t="n">
        <f aca="false">CJ101*CM101</f>
        <v>3.42193931846006E-005</v>
      </c>
      <c r="CT101" s="57" t="n">
        <f aca="false">CJ101*CN101</f>
        <v>7.67262745638264E-006</v>
      </c>
      <c r="CU101" s="57" t="n">
        <f aca="false">CJ101*CO101</f>
        <v>1.12444892613945E-005</v>
      </c>
      <c r="CV101" s="57" t="n">
        <f aca="false">CJ101*CP101</f>
        <v>0.000100011775593725</v>
      </c>
      <c r="CW101" s="57" t="n">
        <f aca="false">CQ101*f_stroke_fatal</f>
        <v>1.44560484980206E-005</v>
      </c>
      <c r="CX101" s="57" t="n">
        <f aca="false">CQ101*(1-f_stroke_fatal)*f_stroke_major</f>
        <v>1.54977989296565E-005</v>
      </c>
      <c r="CY101" s="57" t="n">
        <f aca="false">CQ101*(1-f_stroke_fatal)*(1-f_stroke_major)</f>
        <v>3.10421377960386E-005</v>
      </c>
      <c r="CZ101" s="57" t="n">
        <f aca="false">CR101*(1-f_bleed_fatal)</f>
        <v>3.37084256950511E-006</v>
      </c>
      <c r="DA101" s="57" t="n">
        <f aca="false">CS101*(1-f_bleed_fatal)</f>
        <v>3.13449641570941E-005</v>
      </c>
      <c r="DB101" s="57" t="n">
        <f aca="false">CT101*f_mi_fatal</f>
        <v>9.28387922222299E-007</v>
      </c>
      <c r="DC101" s="57" t="n">
        <f aca="false">CT101-DB101</f>
        <v>6.74423953416034E-006</v>
      </c>
      <c r="DD101" s="57" t="n">
        <f aca="false">CJ101-CQ101-CR101-CS101-DB101</f>
        <v>0.00349536911238265</v>
      </c>
      <c r="DE101" s="19" t="n">
        <f aca="false">CW101*c_stroke_fatal+CX101*c_stroke_major+CY101*c_stroke_minor+CR101*c_ich+CS101*c_major_bleed+DB101*c_mi_fatal+DC101*c_mi_nonfatal+CU101*c_tia+CV101*c_minor_bleed</f>
        <v>2.73777954141491</v>
      </c>
      <c r="DF101" s="57" t="n">
        <f aca="false">dt*(DC101*dec_mi+DA101*dec_major_bleed+CV101*dec_minor_bleed+CU101*dec_tia)</f>
        <v>1.54627553021619E-006</v>
      </c>
      <c r="DG101" s="57" t="n">
        <f aca="false">J101*CI101+CW101+CR101-CZ101+CS101-DA101+DB101</f>
        <v>0.000452658679666749</v>
      </c>
      <c r="DH101" s="57" t="n">
        <f aca="false">AG101</f>
        <v>0.00622890242894066</v>
      </c>
      <c r="DI101" s="57" t="n">
        <f aca="false">AB101+AC101+BF101+BA101+BB101+BC101+CY101+CZ101</f>
        <v>0.000498332953977829</v>
      </c>
      <c r="DJ101" s="57" t="n">
        <f aca="false">AA101+AZ101+BY101+CX101+CE101+BZ101+CA101+CB101</f>
        <v>0.000261827854433968</v>
      </c>
      <c r="DK101" s="57" t="n">
        <f aca="false">AD101+DD101+DA101</f>
        <v>0.00356553229243256</v>
      </c>
      <c r="DL101" s="57" t="n">
        <f aca="false">K101+AJ101+BI101+CH101+DG101</f>
        <v>0.989445404470214</v>
      </c>
      <c r="DM101" s="58" t="n">
        <f aca="false">SUM(DH101:DL101)</f>
        <v>0.999999999999999</v>
      </c>
      <c r="DN101" s="19" t="n">
        <f aca="false">dt*(G101*Apixaban!$H$2+(H101+I101+J101)*c_aspirin)</f>
        <v>0.577037627913838</v>
      </c>
      <c r="DO101" s="19" t="n">
        <f aca="false">dt*(H101*c_lt_minor_stroke+I101*c_lt_major_stroke)</f>
        <v>3.53104304536414</v>
      </c>
      <c r="DP101" s="19" t="n">
        <f aca="false">AH101+BG101+CF101+DE101</f>
        <v>6.24970427557732</v>
      </c>
      <c r="DQ101" s="19" t="n">
        <f aca="false">DN101+DO101+DP101</f>
        <v>10.3577849488553</v>
      </c>
      <c r="DR101" s="57" t="n">
        <f aca="false">dt*(G101*(u_af-dec_per_year_over_70*MAX(B101-ref_age,0))+H101*(u_minor_stroke-dec_per_year_over_70*MAX(B101-ref_age,0))+I101*(u_major_stroke-dec_per_year_over_70*MAX(B101-ref_age,0))+J101*(u_af-dec_per_year_over_70*MAX(B101-ref_age,0)))-AI101-BH101-CG101-DF101</f>
        <v>0.00236069459628983</v>
      </c>
      <c r="DS101" s="57" t="n">
        <f aca="false">dt*(G101+H101+I101+J101)</f>
        <v>0.0030003878439266</v>
      </c>
      <c r="DT101" s="19" t="n">
        <f aca="false">DQ101*C101</f>
        <v>7.27274543524817</v>
      </c>
      <c r="DU101" s="19" t="n">
        <f aca="false">DN101*C101</f>
        <v>0.405168459771951</v>
      </c>
      <c r="DV101" s="19" t="n">
        <f aca="false">DP101*C101</f>
        <v>4.38824598756312</v>
      </c>
      <c r="DW101" s="19" t="n">
        <f aca="false">DO101*C101</f>
        <v>2.4793309879131</v>
      </c>
      <c r="DX101" s="57" t="n">
        <f aca="false">DR101*C101</f>
        <v>0.00165756780373001</v>
      </c>
      <c r="DY101" s="57" t="n">
        <f aca="false">DS101*C101</f>
        <v>0.00210673006860438</v>
      </c>
      <c r="DZ101" s="57" t="n">
        <f aca="false">T101+AS101+BR101+CQ101</f>
        <v>0.000138604397368111</v>
      </c>
      <c r="EA101" s="57" t="n">
        <f aca="false">U101+AT101+BS101+CR101</f>
        <v>9.71080030397156E-006</v>
      </c>
      <c r="EB101" s="57" t="n">
        <f aca="false">V101+AU101+BT101+CS101</f>
        <v>8.30242905142027E-005</v>
      </c>
      <c r="EC101" s="57" t="n">
        <f aca="false">G101*dt*C101</f>
        <v>0.00124537774905161</v>
      </c>
    </row>
    <row r="102" customFormat="false" ht="15" hidden="false" customHeight="false" outlineLevel="0" collapsed="false">
      <c r="A102" s="8" t="n">
        <v>96</v>
      </c>
      <c r="B102" s="54" t="n">
        <f aca="false">start_age+A102*dt</f>
        <v>94</v>
      </c>
      <c r="C102" s="16" t="n">
        <f aca="false">(1+disc_rate)^-(A102*dt)</f>
        <v>0.699543919504827</v>
      </c>
      <c r="D102" s="55" t="n">
        <f aca="false">IF(A102*dt&gt;=wane_start,(1-wane_decay)^(A102*dt-wane_start),1)</f>
        <v>1</v>
      </c>
      <c r="E102" s="25" t="n">
        <f aca="false">MIN(p_nonvasc_death*MIN(EXP(gomp_int+gomp_slope*INT(B102)),1)/qx_ref,0.999)</f>
        <v>0.406552354428485</v>
      </c>
      <c r="F102" s="55" t="n">
        <f aca="false">rr_stroke_per_decade^((B102-ref_age)/10)</f>
        <v>2.64617780068052</v>
      </c>
      <c r="G102" s="57" t="n">
        <f aca="false">DH101</f>
        <v>0.00622890242894066</v>
      </c>
      <c r="H102" s="57" t="n">
        <f aca="false">DI101</f>
        <v>0.000498332953977829</v>
      </c>
      <c r="I102" s="57" t="n">
        <f aca="false">DJ101</f>
        <v>0.000261827854433968</v>
      </c>
      <c r="J102" s="57" t="n">
        <f aca="false">DK101</f>
        <v>0.00356553229243256</v>
      </c>
      <c r="K102" s="57" t="n">
        <f aca="false">DL101</f>
        <v>0.989445404470214</v>
      </c>
      <c r="L102" s="57" t="n">
        <f aca="false">1-EXP(LN(1-E102)*dt)</f>
        <v>0.122301001522938</v>
      </c>
      <c r="M102" s="57" t="n">
        <f aca="false">G102*(1-L102)</f>
        <v>0.00546710142349256</v>
      </c>
      <c r="N102" s="57" t="n">
        <f aca="false">IF(Apixaban!$B$2=1,EXP(LN(or_apx_stroke)*D102)*(1-EXP(-r_stroke*F102*dt))/(1-(1-EXP(-r_stroke*F102*dt))+EXP(LN(or_apx_stroke)*D102)*(1-EXP(-r_stroke*F102*dt))),(1-EXP(-r_stroke*F102*dt)))</f>
        <v>0.00840345616484161</v>
      </c>
      <c r="O102" s="57" t="n">
        <f aca="false">IF(Apixaban!$B$2=1,EXP(LN(or_apx_ich)*D102)*(1-EXP(-r_ich*dt))/(1-(1-EXP(-r_ich*dt))+EXP(LN(or_apx_ich)*D102)*(1-EXP(-r_ich*dt))),(1-EXP(-r_ich*dt)))</f>
        <v>0.000843513249640701</v>
      </c>
      <c r="P102" s="57" t="n">
        <f aca="false">IF(Apixaban!$B$2=1,EXP(LN(or_apx_mb)*D102)*(1-EXP(-r_mb*dt))/(1-(1-EXP(-r_mb*dt))+EXP(LN(or_apx_mb)*D102)*(1-EXP(-r_mb*dt))),(1-EXP(-r_mb*dt)))</f>
        <v>0.00669446907979895</v>
      </c>
      <c r="Q102" s="57" t="n">
        <f aca="false">IF(Apixaban!$B$2=1,EXP(LN(or_apx_mi)*D102)*(1-EXP(-r_mi*dt))/(1-(1-EXP(-r_mi*dt))+EXP(LN(or_apx_mi)*D102)*(1-EXP(-r_mi*dt))),(1-EXP(-r_mi*dt)))</f>
        <v>0.00132321915530843</v>
      </c>
      <c r="R102" s="57" t="n">
        <f aca="false">(1-EXP(-r_tia*dt))</f>
        <v>0.0020060281549299</v>
      </c>
      <c r="S102" s="57" t="n">
        <f aca="false">(1-EXP(-r_minor*dt))</f>
        <v>0.0437937690785545</v>
      </c>
      <c r="T102" s="57" t="n">
        <f aca="false">M102*N102</f>
        <v>4.59425471610629E-005</v>
      </c>
      <c r="U102" s="57" t="n">
        <f aca="false">M102*O102</f>
        <v>4.61157248784551E-006</v>
      </c>
      <c r="V102" s="57" t="n">
        <f aca="false">M102*P102</f>
        <v>3.65993414356958E-005</v>
      </c>
      <c r="W102" s="57" t="n">
        <f aca="false">M102*Q102</f>
        <v>7.23417332757933E-006</v>
      </c>
      <c r="X102" s="57" t="n">
        <f aca="false">M102*R102</f>
        <v>1.09671593813834E-005</v>
      </c>
      <c r="Y102" s="57" t="n">
        <f aca="false">M102*S102</f>
        <v>0.00023942497726947</v>
      </c>
      <c r="Z102" s="57" t="n">
        <f aca="false">T102*f_stroke_fatal</f>
        <v>1.08883836771719E-005</v>
      </c>
      <c r="AA102" s="57" t="n">
        <f aca="false">T102*(1-f_stroke_fatal)*f_stroke_major</f>
        <v>1.16730364401357E-005</v>
      </c>
      <c r="AB102" s="57" t="n">
        <f aca="false">T102*(1-f_stroke_fatal)*(1-f_stroke_major)</f>
        <v>2.33811270437553E-005</v>
      </c>
      <c r="AC102" s="57" t="n">
        <f aca="false">U102*(1-f_bleed_fatal)</f>
        <v>4.22420039886649E-006</v>
      </c>
      <c r="AD102" s="57" t="n">
        <f aca="false">V102*(1-f_bleed_fatal)</f>
        <v>3.35249967550973E-005</v>
      </c>
      <c r="AE102" s="57" t="n">
        <f aca="false">W102*f_mi_fatal</f>
        <v>8.753349726371E-007</v>
      </c>
      <c r="AF102" s="57" t="n">
        <f aca="false">W102-AE102</f>
        <v>6.35883835494224E-006</v>
      </c>
      <c r="AG102" s="57" t="n">
        <f aca="false">M102-T102-U102-V102-AE102</f>
        <v>0.00537907262743532</v>
      </c>
      <c r="AH102" s="19" t="n">
        <f aca="false">Z102*c_stroke_fatal+AA102*c_stroke_major+AB102*c_stroke_minor+U102*c_ich+V102*c_major_bleed+AE102*c_mi_fatal+AF102*c_mi_nonfatal+X102*c_tia+Y102*c_minor_bleed</f>
        <v>2.22871569155203</v>
      </c>
      <c r="AI102" s="57" t="n">
        <f aca="false">dt*(AF102*dec_mi+AD102*dec_major_bleed+Y102*dec_minor_bleed+X102*dec_tia)</f>
        <v>2.03032415415558E-006</v>
      </c>
      <c r="AJ102" s="57" t="n">
        <f aca="false">G102*L102+Z102+U102-AC102+V102-AD102+AE102</f>
        <v>0.000777026440867488</v>
      </c>
      <c r="AK102" s="57" t="n">
        <f aca="false">1-EXP(LN(1-E102)*hr_death_prior_stroke*dt)</f>
        <v>0.259210383284408</v>
      </c>
      <c r="AL102" s="57" t="n">
        <f aca="false">H102*(1-AK102)</f>
        <v>0.000369159877973985</v>
      </c>
      <c r="AM102" s="57" t="n">
        <f aca="false">(1-EXP(-r_stroke*F102*rr_stroke_prior*rr_asa_stroke*dt))</f>
        <v>0.037314939112333</v>
      </c>
      <c r="AN102" s="57" t="n">
        <f aca="false">(1-EXP(-r_ich*rr_asa_ich*dt))</f>
        <v>0.00102357767802375</v>
      </c>
      <c r="AO102" s="57" t="n">
        <f aca="false">(1-EXP(-r_mb*rr_asa_mb*dt))</f>
        <v>0.00951809672747972</v>
      </c>
      <c r="AP102" s="57" t="n">
        <f aca="false">(1-EXP(-r_mi*rr_asa_mi*dt))</f>
        <v>0.00213413516393479</v>
      </c>
      <c r="AQ102" s="57" t="n">
        <f aca="false">(1-EXP(-r_tia*rr_asa_tia*dt))</f>
        <v>0.00312764565589152</v>
      </c>
      <c r="AR102" s="57" t="n">
        <f aca="false">(1-EXP(-r_minor*rr_asa_minor*dt))</f>
        <v>0.0278181950466747</v>
      </c>
      <c r="AS102" s="57" t="n">
        <f aca="false">AL102*AM102</f>
        <v>1.37751783693155E-005</v>
      </c>
      <c r="AT102" s="57" t="n">
        <f aca="false">AL102*AN102</f>
        <v>3.77863810716141E-007</v>
      </c>
      <c r="AU102" s="57" t="n">
        <f aca="false">AL102*AO102</f>
        <v>3.513699426461E-006</v>
      </c>
      <c r="AV102" s="57" t="n">
        <f aca="false">AL102*AP102</f>
        <v>7.87837076698158E-007</v>
      </c>
      <c r="AW102" s="57" t="n">
        <f aca="false">AL102*AQ102</f>
        <v>1.15460128867478E-006</v>
      </c>
      <c r="AX102" s="57" t="n">
        <f aca="false">AL102*AR102</f>
        <v>1.02693614888869E-005</v>
      </c>
      <c r="AY102" s="57" t="n">
        <f aca="false">AS102*f_stroke_fatal_recur</f>
        <v>5.12560611943861E-006</v>
      </c>
      <c r="AZ102" s="57" t="n">
        <f aca="false">AS102*(1-f_stroke_fatal_recur)*f_stroke_major</f>
        <v>2.88030755920901E-006</v>
      </c>
      <c r="BA102" s="57" t="n">
        <f aca="false">AS102*(1-f_stroke_fatal_recur)*(1-f_stroke_major)</f>
        <v>5.76926469066789E-006</v>
      </c>
      <c r="BB102" s="57" t="n">
        <f aca="false">AT102*(1-f_bleed_fatal)</f>
        <v>3.46123250615985E-007</v>
      </c>
      <c r="BC102" s="57" t="n">
        <f aca="false">AU102*(1-f_bleed_fatal)</f>
        <v>3.21854867463827E-006</v>
      </c>
      <c r="BD102" s="57" t="n">
        <f aca="false">AV102*f_mi_fatal</f>
        <v>9.53282862804771E-008</v>
      </c>
      <c r="BE102" s="57" t="n">
        <f aca="false">AV102-BD102</f>
        <v>6.92508790417681E-007</v>
      </c>
      <c r="BF102" s="57" t="n">
        <f aca="false">AL102-AS102-AT102-AU102-BD102</f>
        <v>0.000351397808081212</v>
      </c>
      <c r="BG102" s="19" t="n">
        <f aca="false">AY102*c_stroke_fatal+AZ102*c_stroke_major+BA102*c_stroke_minor+AT102*c_ich+AU102*c_major_bleed+BD102*c_mi_fatal+BE102*c_mi_nonfatal+AW102*c_tia+AX102*c_minor_bleed</f>
        <v>0.524671098068554</v>
      </c>
      <c r="BH102" s="57" t="n">
        <f aca="false">dt*(BE102*dec_mi+BC102*dec_major_bleed+AX102*dec_minor_bleed+AW102*dec_tia)</f>
        <v>1.58773927239491E-007</v>
      </c>
      <c r="BI102" s="57" t="n">
        <f aca="false">H102*AK102+AY102+AT102-BB102+AU102-BC102+BD102</f>
        <v>0.000134720901721486</v>
      </c>
      <c r="BJ102" s="57" t="n">
        <f aca="false">1-EXP(LN(1-E102)*hr_death_prior_stroke*dt)</f>
        <v>0.259210383284408</v>
      </c>
      <c r="BK102" s="57" t="n">
        <f aca="false">I102*(1-BJ102)</f>
        <v>0.000193959355931605</v>
      </c>
      <c r="BL102" s="57" t="n">
        <f aca="false">(1-EXP(-r_stroke*F102*rr_stroke_prior*rr_asa_stroke*dt))</f>
        <v>0.037314939112333</v>
      </c>
      <c r="BM102" s="57" t="n">
        <f aca="false">(1-EXP(-r_ich*rr_asa_ich*dt))</f>
        <v>0.00102357767802375</v>
      </c>
      <c r="BN102" s="57" t="n">
        <f aca="false">(1-EXP(-r_mb*rr_asa_mb*dt))</f>
        <v>0.00951809672747972</v>
      </c>
      <c r="BO102" s="57" t="n">
        <f aca="false">(1-EXP(-r_mi*rr_asa_mi*dt))</f>
        <v>0.00213413516393479</v>
      </c>
      <c r="BP102" s="57" t="n">
        <f aca="false">(1-EXP(-r_tia*rr_asa_tia*dt))</f>
        <v>0.00312764565589152</v>
      </c>
      <c r="BQ102" s="57" t="n">
        <f aca="false">(1-EXP(-r_minor*rr_asa_minor*dt))</f>
        <v>0.0278181950466747</v>
      </c>
      <c r="BR102" s="57" t="n">
        <f aca="false">BK102*BL102</f>
        <v>7.23758155685516E-006</v>
      </c>
      <c r="BS102" s="57" t="n">
        <f aca="false">BK102*BM102</f>
        <v>1.98532467175453E-007</v>
      </c>
      <c r="BT102" s="57" t="n">
        <f aca="false">BK102*BN102</f>
        <v>1.84612391095668E-006</v>
      </c>
      <c r="BU102" s="57" t="n">
        <f aca="false">BK102*BO102</f>
        <v>4.13935481867782E-007</v>
      </c>
      <c r="BV102" s="57" t="n">
        <f aca="false">BK102*BP102</f>
        <v>6.06636136999001E-007</v>
      </c>
      <c r="BW102" s="57" t="n">
        <f aca="false">BK102*BQ102</f>
        <v>5.39559919443279E-006</v>
      </c>
      <c r="BX102" s="57" t="n">
        <f aca="false">BR102*f_stroke_fatal_recur</f>
        <v>2.69303172149023E-006</v>
      </c>
      <c r="BY102" s="57" t="n">
        <f aca="false">BR102*(1-f_stroke_fatal_recur)*f_stroke_major</f>
        <v>1.51333509517652E-006</v>
      </c>
      <c r="BZ102" s="57" t="n">
        <f aca="false">BR102*(1-f_stroke_fatal_recur)*(1-f_stroke_major)</f>
        <v>3.0312147401884E-006</v>
      </c>
      <c r="CA102" s="57" t="n">
        <f aca="false">BS102*(1-f_bleed_fatal)</f>
        <v>1.81855739932715E-007</v>
      </c>
      <c r="CB102" s="57" t="n">
        <f aca="false">BT102*(1-f_bleed_fatal)</f>
        <v>1.69104950243632E-006</v>
      </c>
      <c r="CC102" s="57" t="n">
        <f aca="false">BU102*f_mi_fatal</f>
        <v>5.00861933060017E-008</v>
      </c>
      <c r="CD102" s="57" t="n">
        <f aca="false">BU102-CC102</f>
        <v>3.63849288561781E-007</v>
      </c>
      <c r="CE102" s="57" t="n">
        <f aca="false">BK102-BR102-BS102-BT102-CC102</f>
        <v>0.000184627031803312</v>
      </c>
      <c r="CF102" s="19" t="n">
        <f aca="false">BX102*c_stroke_fatal+BY102*c_stroke_major+BZ102*c_stroke_minor+BS102*c_ich+BT102*c_major_bleed+CC102*c_mi_fatal+CD102*c_mi_nonfatal+BV102*c_tia+BW102*c_minor_bleed</f>
        <v>0.275666111972429</v>
      </c>
      <c r="CG102" s="57" t="n">
        <f aca="false">dt*(CD102*dec_mi+CB102*dec_major_bleed+BW102*dec_minor_bleed+BV102*dec_tia)</f>
        <v>8.34210067332219E-008</v>
      </c>
      <c r="CH102" s="57" t="n">
        <f aca="false">I102*BJ102+BX102+BS102-CA102+BT102-CB102+CC102</f>
        <v>7.07833675529222E-005</v>
      </c>
      <c r="CI102" s="57" t="n">
        <f aca="false">1-EXP(LN(1-E102)*dt)</f>
        <v>0.122301001522938</v>
      </c>
      <c r="CJ102" s="57" t="n">
        <f aca="false">J102*(1-CI102)</f>
        <v>0.00312946412210568</v>
      </c>
      <c r="CK102" s="57" t="n">
        <f aca="false">(1-EXP(-r_stroke*F102*rr_asa_stroke*dt))</f>
        <v>0.0171373471443373</v>
      </c>
      <c r="CL102" s="57" t="n">
        <f aca="false">(1-EXP(-r_ich*rr_asa_ich*dt))</f>
        <v>0.00102357767802375</v>
      </c>
      <c r="CM102" s="57" t="n">
        <f aca="false">(1-EXP(-r_mb*rr_asa_mb*dt))</f>
        <v>0.00951809672747972</v>
      </c>
      <c r="CN102" s="57" t="n">
        <f aca="false">(1-EXP(-r_mi*rr_asa_mi*dt))</f>
        <v>0.00213413516393479</v>
      </c>
      <c r="CO102" s="57" t="n">
        <f aca="false">(1-EXP(-r_tia*rr_asa_tia*dt))</f>
        <v>0.00312764565589152</v>
      </c>
      <c r="CP102" s="57" t="n">
        <f aca="false">(1-EXP(-r_minor*rr_asa_minor*dt))</f>
        <v>0.0278181950466747</v>
      </c>
      <c r="CQ102" s="57" t="n">
        <f aca="false">CJ102*CK102</f>
        <v>5.36307130362739E-005</v>
      </c>
      <c r="CR102" s="57" t="n">
        <f aca="false">CJ102*CL102</f>
        <v>3.20324961956355E-006</v>
      </c>
      <c r="CS102" s="57" t="n">
        <f aca="false">CJ102*CM102</f>
        <v>2.97865422193793E-005</v>
      </c>
      <c r="CT102" s="57" t="n">
        <f aca="false">CJ102*CN102</f>
        <v>6.67869942725805E-006</v>
      </c>
      <c r="CU102" s="57" t="n">
        <f aca="false">CJ102*CO102</f>
        <v>9.7878548667722E-006</v>
      </c>
      <c r="CV102" s="57" t="n">
        <f aca="false">CJ102*CP102</f>
        <v>8.70560433403064E-005</v>
      </c>
      <c r="CW102" s="57" t="n">
        <f aca="false">CQ102*f_stroke_fatal</f>
        <v>1.27104789895969E-005</v>
      </c>
      <c r="CX102" s="57" t="n">
        <f aca="false">CQ102*(1-f_stroke_fatal)*f_stroke_major</f>
        <v>1.36264379375434E-005</v>
      </c>
      <c r="CY102" s="57" t="n">
        <f aca="false">CQ102*(1-f_stroke_fatal)*(1-f_stroke_major)</f>
        <v>2.72937961091336E-005</v>
      </c>
      <c r="CZ102" s="57" t="n">
        <f aca="false">CR102*(1-f_bleed_fatal)</f>
        <v>2.93417665152021E-006</v>
      </c>
      <c r="DA102" s="57" t="n">
        <f aca="false">CS102*(1-f_bleed_fatal)</f>
        <v>2.72844726729514E-005</v>
      </c>
      <c r="DB102" s="57" t="n">
        <f aca="false">CT102*f_mi_fatal</f>
        <v>8.08122630698225E-007</v>
      </c>
      <c r="DC102" s="57" t="n">
        <f aca="false">CT102-DB102</f>
        <v>5.87057679655983E-006</v>
      </c>
      <c r="DD102" s="57" t="n">
        <f aca="false">CJ102-CQ102-CR102-CS102-DB102</f>
        <v>0.00304203549459976</v>
      </c>
      <c r="DE102" s="19" t="n">
        <f aca="false">CW102*c_stroke_fatal+CX102*c_stroke_major+CY102*c_stroke_minor+CR102*c_ich+CS102*c_major_bleed+DB102*c_mi_fatal+DC102*c_mi_nonfatal+CU102*c_tia+CV102*c_minor_bleed</f>
        <v>2.40293596707869</v>
      </c>
      <c r="DF102" s="57" t="n">
        <f aca="false">dt*(DC102*dec_mi+DA102*dec_major_bleed+CV102*dec_minor_bleed+CU102*dec_tia)</f>
        <v>1.34596780004576E-006</v>
      </c>
      <c r="DG102" s="57" t="n">
        <f aca="false">J102*CI102+CW102+CR102-CZ102+CS102-DA102+DB102</f>
        <v>0.000452357914461644</v>
      </c>
      <c r="DH102" s="57" t="n">
        <f aca="false">AG102</f>
        <v>0.00537907262743532</v>
      </c>
      <c r="DI102" s="57" t="n">
        <f aca="false">AB102+AC102+BF102+BA102+BB102+BC102+CY102+CZ102</f>
        <v>0.000418565044900409</v>
      </c>
      <c r="DJ102" s="57" t="n">
        <f aca="false">AA102+AZ102+BY102+CX102+CE102+BZ102+CA102+CB102</f>
        <v>0.000219224268817934</v>
      </c>
      <c r="DK102" s="57" t="n">
        <f aca="false">AD102+DD102+DA102</f>
        <v>0.00310284496402781</v>
      </c>
      <c r="DL102" s="57" t="n">
        <f aca="false">K102+AJ102+BI102+CH102+DG102</f>
        <v>0.990880293094818</v>
      </c>
      <c r="DM102" s="58" t="n">
        <f aca="false">SUM(DH102:DL102)</f>
        <v>0.999999999999999</v>
      </c>
      <c r="DN102" s="19" t="n">
        <f aca="false">dt*(G102*Apixaban!$H$2+(H102+I102+J102)*c_aspirin)</f>
        <v>0.506795534869473</v>
      </c>
      <c r="DO102" s="19" t="n">
        <f aca="false">dt*(H102*c_lt_minor_stroke+I102*c_lt_major_stroke)</f>
        <v>3.05654135455598</v>
      </c>
      <c r="DP102" s="19" t="n">
        <f aca="false">AH102+BG102+CF102+DE102</f>
        <v>5.4319888686717</v>
      </c>
      <c r="DQ102" s="19" t="n">
        <f aca="false">DN102+DO102+DP102</f>
        <v>8.99532575809715</v>
      </c>
      <c r="DR102" s="57" t="n">
        <f aca="false">dt*(G102*(u_af-dec_per_year_over_70*MAX(B102-ref_age,0))+H102*(u_minor_stroke-dec_per_year_over_70*MAX(B102-ref_age,0))+I102*(u_major_stroke-dec_per_year_over_70*MAX(B102-ref_age,0))+J102*(u_af-dec_per_year_over_70*MAX(B102-ref_age,0)))-AI102-BH102-CG102-DF102</f>
        <v>0.00207659796293511</v>
      </c>
      <c r="DS102" s="57" t="n">
        <f aca="false">dt*(G102+H102+I102+J102)</f>
        <v>0.00263864888244625</v>
      </c>
      <c r="DT102" s="19" t="n">
        <f aca="false">DQ102*C102</f>
        <v>6.29262543804201</v>
      </c>
      <c r="DU102" s="19" t="n">
        <f aca="false">DN102*C102</f>
        <v>0.354525734850136</v>
      </c>
      <c r="DV102" s="19" t="n">
        <f aca="false">DP102*C102</f>
        <v>3.79991478389719</v>
      </c>
      <c r="DW102" s="19" t="n">
        <f aca="false">DO102*C102</f>
        <v>2.13818491929468</v>
      </c>
      <c r="DX102" s="57" t="n">
        <f aca="false">DR102*C102</f>
        <v>0.00145267147822736</v>
      </c>
      <c r="DY102" s="57" t="n">
        <f aca="false">DS102*C102</f>
        <v>0.00184585078142349</v>
      </c>
      <c r="DZ102" s="57" t="n">
        <f aca="false">T102+AS102+BR102+CQ102</f>
        <v>0.000120586020123508</v>
      </c>
      <c r="EA102" s="57" t="n">
        <f aca="false">U102+AT102+BS102+CR102</f>
        <v>8.39121838530066E-006</v>
      </c>
      <c r="EB102" s="57" t="n">
        <f aca="false">V102+AU102+BT102+CS102</f>
        <v>7.17457069924927E-005</v>
      </c>
      <c r="EC102" s="57" t="n">
        <f aca="false">G102*dt*C102</f>
        <v>0.00108934770483857</v>
      </c>
    </row>
    <row r="103" customFormat="false" ht="15" hidden="false" customHeight="false" outlineLevel="0" collapsed="false">
      <c r="A103" s="8" t="n">
        <v>97</v>
      </c>
      <c r="B103" s="54" t="n">
        <f aca="false">start_age+A103*dt</f>
        <v>94.25</v>
      </c>
      <c r="C103" s="16" t="n">
        <f aca="false">(1+disc_rate)^-(A103*dt)</f>
        <v>0.696944949802061</v>
      </c>
      <c r="D103" s="55" t="n">
        <f aca="false">IF(A103*dt&gt;=wane_start,(1-wane_decay)^(A103*dt-wane_start),1)</f>
        <v>1</v>
      </c>
      <c r="E103" s="25" t="n">
        <f aca="false">MIN(p_nonvasc_death*MIN(EXP(gomp_int+gomp_slope*INT(B103)),1)/qx_ref,0.999)</f>
        <v>0.406552354428485</v>
      </c>
      <c r="F103" s="55" t="n">
        <f aca="false">rr_stroke_per_decade^((B103-ref_age)/10)</f>
        <v>2.67313752940266</v>
      </c>
      <c r="G103" s="57" t="n">
        <f aca="false">DH102</f>
        <v>0.00537907262743532</v>
      </c>
      <c r="H103" s="57" t="n">
        <f aca="false">DI102</f>
        <v>0.000418565044900409</v>
      </c>
      <c r="I103" s="57" t="n">
        <f aca="false">DJ102</f>
        <v>0.000219224268817934</v>
      </c>
      <c r="J103" s="57" t="n">
        <f aca="false">DK102</f>
        <v>0.00310284496402781</v>
      </c>
      <c r="K103" s="57" t="n">
        <f aca="false">DL102</f>
        <v>0.990880293094818</v>
      </c>
      <c r="L103" s="57" t="n">
        <f aca="false">1-EXP(LN(1-E103)*dt)</f>
        <v>0.122301001522938</v>
      </c>
      <c r="M103" s="57" t="n">
        <f aca="false">G103*(1-L103)</f>
        <v>0.00472120665783536</v>
      </c>
      <c r="N103" s="57" t="n">
        <f aca="false">IF(Apixaban!$B$2=1,EXP(LN(or_apx_stroke)*D103)*(1-EXP(-r_stroke*F103*dt))/(1-(1-EXP(-r_stroke*F103*dt))+EXP(LN(or_apx_stroke)*D103)*(1-EXP(-r_stroke*F103*dt))),(1-EXP(-r_stroke*F103*dt)))</f>
        <v>0.00848880363077738</v>
      </c>
      <c r="O103" s="57" t="n">
        <f aca="false">IF(Apixaban!$B$2=1,EXP(LN(or_apx_ich)*D103)*(1-EXP(-r_ich*dt))/(1-(1-EXP(-r_ich*dt))+EXP(LN(or_apx_ich)*D103)*(1-EXP(-r_ich*dt))),(1-EXP(-r_ich*dt)))</f>
        <v>0.000843513249640701</v>
      </c>
      <c r="P103" s="57" t="n">
        <f aca="false">IF(Apixaban!$B$2=1,EXP(LN(or_apx_mb)*D103)*(1-EXP(-r_mb*dt))/(1-(1-EXP(-r_mb*dt))+EXP(LN(or_apx_mb)*D103)*(1-EXP(-r_mb*dt))),(1-EXP(-r_mb*dt)))</f>
        <v>0.00669446907979895</v>
      </c>
      <c r="Q103" s="57" t="n">
        <f aca="false">IF(Apixaban!$B$2=1,EXP(LN(or_apx_mi)*D103)*(1-EXP(-r_mi*dt))/(1-(1-EXP(-r_mi*dt))+EXP(LN(or_apx_mi)*D103)*(1-EXP(-r_mi*dt))),(1-EXP(-r_mi*dt)))</f>
        <v>0.00132321915530843</v>
      </c>
      <c r="R103" s="57" t="n">
        <f aca="false">(1-EXP(-r_tia*dt))</f>
        <v>0.0020060281549299</v>
      </c>
      <c r="S103" s="57" t="n">
        <f aca="false">(1-EXP(-r_minor*dt))</f>
        <v>0.0437937690785545</v>
      </c>
      <c r="T103" s="57" t="n">
        <f aca="false">M103*N103</f>
        <v>4.00773962186832E-005</v>
      </c>
      <c r="U103" s="57" t="n">
        <f aca="false">M103*O103</f>
        <v>3.98240037017602E-006</v>
      </c>
      <c r="V103" s="57" t="n">
        <f aca="false">M103*P103</f>
        <v>3.16059719902198E-005</v>
      </c>
      <c r="W103" s="57" t="n">
        <f aca="false">M103*Q103</f>
        <v>6.24719108581744E-006</v>
      </c>
      <c r="X103" s="57" t="n">
        <f aca="false">M103*R103</f>
        <v>9.47087348086021E-006</v>
      </c>
      <c r="Y103" s="57" t="n">
        <f aca="false">M103*S103</f>
        <v>0.000206759434145376</v>
      </c>
      <c r="Z103" s="57" t="n">
        <f aca="false">T103*f_stroke_fatal</f>
        <v>9.49834290382791E-006</v>
      </c>
      <c r="AA103" s="57" t="n">
        <f aca="false">T103*(1-f_stroke_fatal)*f_stroke_major</f>
        <v>1.01828247538468E-005</v>
      </c>
      <c r="AB103" s="57" t="n">
        <f aca="false">T103*(1-f_stroke_fatal)*(1-f_stroke_major)</f>
        <v>2.03962285610084E-005</v>
      </c>
      <c r="AC103" s="57" t="n">
        <f aca="false">U103*(1-f_bleed_fatal)</f>
        <v>3.64787873908123E-006</v>
      </c>
      <c r="AD103" s="57" t="n">
        <f aca="false">V103*(1-f_bleed_fatal)</f>
        <v>2.89510703430413E-005</v>
      </c>
      <c r="AE103" s="57" t="n">
        <f aca="false">W103*f_mi_fatal</f>
        <v>7.5591012138391E-007</v>
      </c>
      <c r="AF103" s="57" t="n">
        <f aca="false">W103-AE103</f>
        <v>5.49128096443353E-006</v>
      </c>
      <c r="AG103" s="57" t="n">
        <f aca="false">M103-T103-U103-V103-AE103</f>
        <v>0.0046447849791349</v>
      </c>
      <c r="AH103" s="19" t="n">
        <f aca="false">Z103*c_stroke_fatal+AA103*c_stroke_major+AB103*c_stroke_minor+U103*c_ich+V103*c_major_bleed+AE103*c_mi_fatal+AF103*c_mi_nonfatal+X103*c_tia+Y103*c_minor_bleed</f>
        <v>1.93953241370994</v>
      </c>
      <c r="AI103" s="57" t="n">
        <f aca="false">dt*(AF103*dec_mi+AD103*dec_major_bleed+Y103*dec_minor_bleed+X103*dec_tia)</f>
        <v>1.75332030113312E-006</v>
      </c>
      <c r="AJ103" s="57" t="n">
        <f aca="false">G103*L103+Z103+U103-AC103+V103-AD103+AE103</f>
        <v>0.000671109645903444</v>
      </c>
      <c r="AK103" s="57" t="n">
        <f aca="false">1-EXP(LN(1-E103)*hr_death_prior_stroke*dt)</f>
        <v>0.259210383284408</v>
      </c>
      <c r="AL103" s="57" t="n">
        <f aca="false">H103*(1-AK103)</f>
        <v>0.000310068639182319</v>
      </c>
      <c r="AM103" s="57" t="n">
        <f aca="false">(1-EXP(-r_stroke*F103*rr_stroke_prior*rr_asa_stroke*dt))</f>
        <v>0.0376878551404887</v>
      </c>
      <c r="AN103" s="57" t="n">
        <f aca="false">(1-EXP(-r_ich*rr_asa_ich*dt))</f>
        <v>0.00102357767802375</v>
      </c>
      <c r="AO103" s="57" t="n">
        <f aca="false">(1-EXP(-r_mb*rr_asa_mb*dt))</f>
        <v>0.00951809672747972</v>
      </c>
      <c r="AP103" s="57" t="n">
        <f aca="false">(1-EXP(-r_mi*rr_asa_mi*dt))</f>
        <v>0.00213413516393479</v>
      </c>
      <c r="AQ103" s="57" t="n">
        <f aca="false">(1-EXP(-r_tia*rr_asa_tia*dt))</f>
        <v>0.00312764565589152</v>
      </c>
      <c r="AR103" s="57" t="n">
        <f aca="false">(1-EXP(-r_minor*rr_asa_minor*dt))</f>
        <v>0.0278181950466747</v>
      </c>
      <c r="AS103" s="57" t="n">
        <f aca="false">AL103*AM103</f>
        <v>1.16858219571117E-005</v>
      </c>
      <c r="AT103" s="57" t="n">
        <f aca="false">AL103*AN103</f>
        <v>3.17379337722221E-007</v>
      </c>
      <c r="AU103" s="57" t="n">
        <f aca="false">AL103*AO103</f>
        <v>2.95126329989532E-006</v>
      </c>
      <c r="AV103" s="57" t="n">
        <f aca="false">AL103*AP103</f>
        <v>6.61728386112396E-007</v>
      </c>
      <c r="AW103" s="57" t="n">
        <f aca="false">AL103*AQ103</f>
        <v>9.69784832366775E-007</v>
      </c>
      <c r="AX103" s="57" t="n">
        <f aca="false">AL103*AR103</f>
        <v>8.62554988263075E-006</v>
      </c>
      <c r="AY103" s="57" t="n">
        <f aca="false">AS103*f_stroke_fatal_recur</f>
        <v>4.34817749202169E-006</v>
      </c>
      <c r="AZ103" s="57" t="n">
        <f aca="false">AS103*(1-f_stroke_fatal_recur)*f_stroke_major</f>
        <v>2.44343560687497E-006</v>
      </c>
      <c r="BA103" s="57" t="n">
        <f aca="false">AS103*(1-f_stroke_fatal_recur)*(1-f_stroke_major)</f>
        <v>4.89420885821503E-006</v>
      </c>
      <c r="BB103" s="57" t="n">
        <f aca="false">AT103*(1-f_bleed_fatal)</f>
        <v>2.90719473353554E-007</v>
      </c>
      <c r="BC103" s="57" t="n">
        <f aca="false">AU103*(1-f_bleed_fatal)</f>
        <v>2.70335718270411E-006</v>
      </c>
      <c r="BD103" s="57" t="n">
        <f aca="false">AV103*f_mi_fatal</f>
        <v>8.00691347195999E-008</v>
      </c>
      <c r="BE103" s="57" t="n">
        <f aca="false">AV103-BD103</f>
        <v>5.81659251392796E-007</v>
      </c>
      <c r="BF103" s="57" t="n">
        <f aca="false">AL103-AS103-AT103-AU103-BD103</f>
        <v>0.00029503410545287</v>
      </c>
      <c r="BG103" s="19" t="n">
        <f aca="false">AY103*c_stroke_fatal+AZ103*c_stroke_major+BA103*c_stroke_minor+AT103*c_ich+AU103*c_major_bleed+BD103*c_mi_fatal+BE103*c_mi_nonfatal+AW103*c_tia+AX103*c_minor_bleed</f>
        <v>0.444674099962736</v>
      </c>
      <c r="BH103" s="57" t="n">
        <f aca="false">dt*(BE103*dec_mi+BC103*dec_major_bleed+AX103*dec_minor_bleed+AW103*dec_tia)</f>
        <v>1.33359063360214E-007</v>
      </c>
      <c r="BI103" s="57" t="n">
        <f aca="false">H103*AK103+AY103+AT103-BB103+AU103-BC103+BD103</f>
        <v>0.000113199218326392</v>
      </c>
      <c r="BJ103" s="57" t="n">
        <f aca="false">1-EXP(LN(1-E103)*hr_death_prior_stroke*dt)</f>
        <v>0.259210383284408</v>
      </c>
      <c r="BK103" s="57" t="n">
        <f aca="false">I103*(1-BJ103)</f>
        <v>0.000162399062072393</v>
      </c>
      <c r="BL103" s="57" t="n">
        <f aca="false">(1-EXP(-r_stroke*F103*rr_stroke_prior*rr_asa_stroke*dt))</f>
        <v>0.0376878551404887</v>
      </c>
      <c r="BM103" s="57" t="n">
        <f aca="false">(1-EXP(-r_ich*rr_asa_ich*dt))</f>
        <v>0.00102357767802375</v>
      </c>
      <c r="BN103" s="57" t="n">
        <f aca="false">(1-EXP(-r_mb*rr_asa_mb*dt))</f>
        <v>0.00951809672747972</v>
      </c>
      <c r="BO103" s="57" t="n">
        <f aca="false">(1-EXP(-r_mi*rr_asa_mi*dt))</f>
        <v>0.00213413516393479</v>
      </c>
      <c r="BP103" s="57" t="n">
        <f aca="false">(1-EXP(-r_tia*rr_asa_tia*dt))</f>
        <v>0.00312764565589152</v>
      </c>
      <c r="BQ103" s="57" t="n">
        <f aca="false">(1-EXP(-r_minor*rr_asa_minor*dt))</f>
        <v>0.0278181950466747</v>
      </c>
      <c r="BR103" s="57" t="n">
        <f aca="false">BK103*BL103</f>
        <v>6.12047232633558E-006</v>
      </c>
      <c r="BS103" s="57" t="n">
        <f aca="false">BK103*BM103</f>
        <v>1.66228054869294E-007</v>
      </c>
      <c r="BT103" s="57" t="n">
        <f aca="false">BK103*BN103</f>
        <v>1.54572998125702E-006</v>
      </c>
      <c r="BU103" s="57" t="n">
        <f aca="false">BK103*BO103</f>
        <v>3.46581548958723E-007</v>
      </c>
      <c r="BV103" s="57" t="n">
        <f aca="false">BK103*BP103</f>
        <v>5.07926721011578E-007</v>
      </c>
      <c r="BW103" s="57" t="n">
        <f aca="false">BK103*BQ103</f>
        <v>4.51764878412686E-006</v>
      </c>
      <c r="BX103" s="57" t="n">
        <f aca="false">BR103*f_stroke_fatal_recur</f>
        <v>2.27736654790621E-006</v>
      </c>
      <c r="BY103" s="57" t="n">
        <f aca="false">BR103*(1-f_stroke_fatal_recur)*f_stroke_major</f>
        <v>1.27975422421698E-006</v>
      </c>
      <c r="BZ103" s="57" t="n">
        <f aca="false">BR103*(1-f_stroke_fatal_recur)*(1-f_stroke_major)</f>
        <v>2.56335155421239E-006</v>
      </c>
      <c r="CA103" s="57" t="n">
        <f aca="false">BS103*(1-f_bleed_fatal)</f>
        <v>1.52264898260274E-007</v>
      </c>
      <c r="CB103" s="57" t="n">
        <f aca="false">BT103*(1-f_bleed_fatal)</f>
        <v>1.41588866283143E-006</v>
      </c>
      <c r="CC103" s="57" t="n">
        <f aca="false">BU103*f_mi_fatal</f>
        <v>4.19363674240055E-008</v>
      </c>
      <c r="CD103" s="57" t="n">
        <f aca="false">BU103-CC103</f>
        <v>3.04645181534718E-007</v>
      </c>
      <c r="CE103" s="57" t="n">
        <f aca="false">BK103-BR103-BS103-BT103-CC103</f>
        <v>0.000154524695342507</v>
      </c>
      <c r="CF103" s="19" t="n">
        <f aca="false">BX103*c_stroke_fatal+BY103*c_stroke_major+BZ103*c_stroke_minor+BS103*c_ich+BT103*c_major_bleed+CC103*c_mi_fatal+CD103*c_mi_nonfatal+BV103*c_tia+BW103*c_minor_bleed</f>
        <v>0.232898937965061</v>
      </c>
      <c r="CG103" s="57" t="n">
        <f aca="false">dt*(CD103*dec_mi+CB103*dec_major_bleed+BW103*dec_minor_bleed+BV103*dec_tia)</f>
        <v>6.98470727825433E-008</v>
      </c>
      <c r="CH103" s="57" t="n">
        <f aca="false">I103*BJ103+BX103+BS103-CA103+BT103-CB103+CC103</f>
        <v>5.92883141359054E-005</v>
      </c>
      <c r="CI103" s="57" t="n">
        <f aca="false">1-EXP(LN(1-E103)*dt)</f>
        <v>0.122301001522938</v>
      </c>
      <c r="CJ103" s="57" t="n">
        <f aca="false">J103*(1-CI103)</f>
        <v>0.00272336391735681</v>
      </c>
      <c r="CK103" s="57" t="n">
        <f aca="false">(1-EXP(-r_stroke*F103*rr_asa_stroke*dt))</f>
        <v>0.0173104255389047</v>
      </c>
      <c r="CL103" s="57" t="n">
        <f aca="false">(1-EXP(-r_ich*rr_asa_ich*dt))</f>
        <v>0.00102357767802375</v>
      </c>
      <c r="CM103" s="57" t="n">
        <f aca="false">(1-EXP(-r_mb*rr_asa_mb*dt))</f>
        <v>0.00951809672747972</v>
      </c>
      <c r="CN103" s="57" t="n">
        <f aca="false">(1-EXP(-r_mi*rr_asa_mi*dt))</f>
        <v>0.00213413516393479</v>
      </c>
      <c r="CO103" s="57" t="n">
        <f aca="false">(1-EXP(-r_tia*rr_asa_tia*dt))</f>
        <v>0.00312764565589152</v>
      </c>
      <c r="CP103" s="57" t="n">
        <f aca="false">(1-EXP(-r_minor*rr_asa_minor*dt))</f>
        <v>0.0278181950466747</v>
      </c>
      <c r="CQ103" s="57" t="n">
        <f aca="false">CJ103*CK103</f>
        <v>4.71425883067449E-005</v>
      </c>
      <c r="CR103" s="57" t="n">
        <f aca="false">CJ103*CL103</f>
        <v>2.78757451494174E-006</v>
      </c>
      <c r="CS103" s="57" t="n">
        <f aca="false">CJ103*CM103</f>
        <v>2.59212411895302E-005</v>
      </c>
      <c r="CT103" s="57" t="n">
        <f aca="false">CJ103*CN103</f>
        <v>5.81202670022237E-006</v>
      </c>
      <c r="CU103" s="57" t="n">
        <f aca="false">CJ103*CO103</f>
        <v>8.51771732553274E-006</v>
      </c>
      <c r="CV103" s="57" t="n">
        <f aca="false">CJ103*CP103</f>
        <v>7.57590686361078E-005</v>
      </c>
      <c r="CW103" s="57" t="n">
        <f aca="false">CQ103*f_stroke_fatal</f>
        <v>1.11727934286985E-005</v>
      </c>
      <c r="CX103" s="57" t="n">
        <f aca="false">CQ103*(1-f_stroke_fatal)*f_stroke_major</f>
        <v>1.19779416943894E-005</v>
      </c>
      <c r="CY103" s="57" t="n">
        <f aca="false">CQ103*(1-f_stroke_fatal)*(1-f_stroke_major)</f>
        <v>2.39918531836569E-005</v>
      </c>
      <c r="CZ103" s="57" t="n">
        <f aca="false">CR103*(1-f_bleed_fatal)</f>
        <v>2.55341825568663E-006</v>
      </c>
      <c r="DA103" s="57" t="n">
        <f aca="false">CS103*(1-f_bleed_fatal)</f>
        <v>2.37438569296097E-005</v>
      </c>
      <c r="DB103" s="57" t="n">
        <f aca="false">CT103*f_mi_fatal</f>
        <v>7.03255230726907E-007</v>
      </c>
      <c r="DC103" s="57" t="n">
        <f aca="false">CT103-DB103</f>
        <v>5.10877146949546E-006</v>
      </c>
      <c r="DD103" s="57" t="n">
        <f aca="false">CJ103-CQ103-CR103-CS103-DB103</f>
        <v>0.00264680925811486</v>
      </c>
      <c r="DE103" s="19" t="n">
        <f aca="false">CW103*c_stroke_fatal+CX103*c_stroke_major+CY103*c_stroke_minor+CR103*c_ich+CS103*c_major_bleed+DB103*c_mi_fatal+DC103*c_mi_nonfatal+CU103*c_tia+CV103*c_minor_bleed</f>
        <v>2.10853038449396</v>
      </c>
      <c r="DF103" s="57" t="n">
        <f aca="false">dt*(DC103*dec_mi+DA103*dec_major_bleed+CV103*dec_minor_bleed+CU103*dec_tia)</f>
        <v>1.17130601200257E-006</v>
      </c>
      <c r="DG103" s="57" t="n">
        <f aca="false">J103*CI103+CW103+CR103-CZ103+CS103-DA103+DB103</f>
        <v>0.000393768635849606</v>
      </c>
      <c r="DH103" s="57" t="n">
        <f aca="false">AG103</f>
        <v>0.0046447849791349</v>
      </c>
      <c r="DI103" s="57" t="n">
        <f aca="false">AB103+AC103+BF103+BA103+BB103+BC103+CY103+CZ103</f>
        <v>0.000353511769706576</v>
      </c>
      <c r="DJ103" s="57" t="n">
        <f aca="false">AA103+AZ103+BY103+CX103+CE103+BZ103+CA103+CB103</f>
        <v>0.000184540156737139</v>
      </c>
      <c r="DK103" s="57" t="n">
        <f aca="false">AD103+DD103+DA103</f>
        <v>0.00269950418538752</v>
      </c>
      <c r="DL103" s="57" t="n">
        <f aca="false">K103+AJ103+BI103+CH103+DG103</f>
        <v>0.992117658909033</v>
      </c>
      <c r="DM103" s="58" t="n">
        <f aca="false">SUM(DH103:DL103)</f>
        <v>0.999999999999999</v>
      </c>
      <c r="DN103" s="19" t="n">
        <f aca="false">dt*(G103*Apixaban!$H$2+(H103+I103+J103)*c_aspirin)</f>
        <v>0.43770161234907</v>
      </c>
      <c r="DO103" s="19" t="n">
        <f aca="false">dt*(H103*c_lt_minor_stroke+I103*c_lt_major_stroke)</f>
        <v>2.56275840784292</v>
      </c>
      <c r="DP103" s="19" t="n">
        <f aca="false">AH103+BG103+CF103+DE103</f>
        <v>4.7256358361317</v>
      </c>
      <c r="DQ103" s="19" t="n">
        <f aca="false">DN103+DO103+DP103</f>
        <v>7.72609585632369</v>
      </c>
      <c r="DR103" s="57" t="n">
        <f aca="false">dt*(G103*(u_af-dec_per_year_over_70*MAX(B103-ref_age,0))+H103*(u_minor_stroke-dec_per_year_over_70*MAX(B103-ref_age,0))+I103*(u_major_stroke-dec_per_year_over_70*MAX(B103-ref_age,0))+J103*(u_af-dec_per_year_over_70*MAX(B103-ref_age,0)))-AI103-BH103-CG103-DF103</f>
        <v>0.00179513633899037</v>
      </c>
      <c r="DS103" s="57" t="n">
        <f aca="false">dt*(G103+H103+I103+J103)</f>
        <v>0.00227992672629537</v>
      </c>
      <c r="DT103" s="19" t="n">
        <f aca="false">DQ103*C103</f>
        <v>5.38466348875142</v>
      </c>
      <c r="DU103" s="19" t="n">
        <f aca="false">DN103*C103</f>
        <v>0.305053928246903</v>
      </c>
      <c r="DV103" s="19" t="n">
        <f aca="false">DP103*C103</f>
        <v>3.29350803059563</v>
      </c>
      <c r="DW103" s="19" t="n">
        <f aca="false">DO103*C103</f>
        <v>1.78610152990889</v>
      </c>
      <c r="DX103" s="57" t="n">
        <f aca="false">DR103*C103</f>
        <v>0.0012511112056655</v>
      </c>
      <c r="DY103" s="57" t="n">
        <f aca="false">DS103*C103</f>
        <v>0.0015889834178103</v>
      </c>
      <c r="DZ103" s="57" t="n">
        <f aca="false">T103+AS103+BR103+CQ103</f>
        <v>0.000105026278808875</v>
      </c>
      <c r="EA103" s="57" t="n">
        <f aca="false">U103+AT103+BS103+CR103</f>
        <v>7.25358227770927E-006</v>
      </c>
      <c r="EB103" s="57" t="n">
        <f aca="false">V103+AU103+BT103+CS103</f>
        <v>6.20242064609023E-005</v>
      </c>
      <c r="EC103" s="57" t="n">
        <f aca="false">G103*dt*C103</f>
        <v>0.000937229375577387</v>
      </c>
    </row>
    <row r="104" customFormat="false" ht="15" hidden="false" customHeight="false" outlineLevel="0" collapsed="false">
      <c r="A104" s="8" t="n">
        <v>98</v>
      </c>
      <c r="B104" s="54" t="n">
        <f aca="false">start_age+A104*dt</f>
        <v>94.5</v>
      </c>
      <c r="C104" s="16" t="n">
        <f aca="false">(1+disc_rate)^-(A104*dt)</f>
        <v>0.694355635881194</v>
      </c>
      <c r="D104" s="55" t="n">
        <f aca="false">IF(A104*dt&gt;=wane_start,(1-wane_decay)^(A104*dt-wane_start),1)</f>
        <v>1</v>
      </c>
      <c r="E104" s="25" t="n">
        <f aca="false">MIN(p_nonvasc_death*MIN(EXP(gomp_int+gomp_slope*INT(B104)),1)/qx_ref,0.999)</f>
        <v>0.406552354428485</v>
      </c>
      <c r="F104" s="55" t="n">
        <f aca="false">rr_stroke_per_decade^((B104-ref_age)/10)</f>
        <v>2.70037192862222</v>
      </c>
      <c r="G104" s="57" t="n">
        <f aca="false">DH103</f>
        <v>0.0046447849791349</v>
      </c>
      <c r="H104" s="57" t="n">
        <f aca="false">DI103</f>
        <v>0.000353511769706576</v>
      </c>
      <c r="I104" s="57" t="n">
        <f aca="false">DJ103</f>
        <v>0.000184540156737139</v>
      </c>
      <c r="J104" s="57" t="n">
        <f aca="false">DK103</f>
        <v>0.00269950418538752</v>
      </c>
      <c r="K104" s="57" t="n">
        <f aca="false">DL103</f>
        <v>0.992117658909033</v>
      </c>
      <c r="L104" s="57" t="n">
        <f aca="false">1-EXP(LN(1-E104)*dt)</f>
        <v>0.122301001522938</v>
      </c>
      <c r="M104" s="57" t="n">
        <f aca="false">G104*(1-L104)</f>
        <v>0.004076723124328</v>
      </c>
      <c r="N104" s="57" t="n">
        <f aca="false">IF(Apixaban!$B$2=1,EXP(LN(or_apx_stroke)*D104)*(1-EXP(-r_stroke*F104*dt))/(1-(1-EXP(-r_stroke*F104*dt))+EXP(LN(or_apx_stroke)*D104)*(1-EXP(-r_stroke*F104*dt))),(1-EXP(-r_stroke*F104*dt)))</f>
        <v>0.00857501513454325</v>
      </c>
      <c r="O104" s="57" t="n">
        <f aca="false">IF(Apixaban!$B$2=1,EXP(LN(or_apx_ich)*D104)*(1-EXP(-r_ich*dt))/(1-(1-EXP(-r_ich*dt))+EXP(LN(or_apx_ich)*D104)*(1-EXP(-r_ich*dt))),(1-EXP(-r_ich*dt)))</f>
        <v>0.000843513249640701</v>
      </c>
      <c r="P104" s="57" t="n">
        <f aca="false">IF(Apixaban!$B$2=1,EXP(LN(or_apx_mb)*D104)*(1-EXP(-r_mb*dt))/(1-(1-EXP(-r_mb*dt))+EXP(LN(or_apx_mb)*D104)*(1-EXP(-r_mb*dt))),(1-EXP(-r_mb*dt)))</f>
        <v>0.00669446907979895</v>
      </c>
      <c r="Q104" s="57" t="n">
        <f aca="false">IF(Apixaban!$B$2=1,EXP(LN(or_apx_mi)*D104)*(1-EXP(-r_mi*dt))/(1-(1-EXP(-r_mi*dt))+EXP(LN(or_apx_mi)*D104)*(1-EXP(-r_mi*dt))),(1-EXP(-r_mi*dt)))</f>
        <v>0.00132321915530843</v>
      </c>
      <c r="R104" s="57" t="n">
        <f aca="false">(1-EXP(-r_tia*dt))</f>
        <v>0.0020060281549299</v>
      </c>
      <c r="S104" s="57" t="n">
        <f aca="false">(1-EXP(-r_minor*dt))</f>
        <v>0.0437937690785545</v>
      </c>
      <c r="T104" s="57" t="n">
        <f aca="false">M104*N104</f>
        <v>3.49579624904551E-005</v>
      </c>
      <c r="U104" s="57" t="n">
        <f aca="false">M104*O104</f>
        <v>3.43876997048731E-006</v>
      </c>
      <c r="V104" s="57" t="n">
        <f aca="false">M104*P104</f>
        <v>2.72914969027152E-005</v>
      </c>
      <c r="W104" s="57" t="n">
        <f aca="false">M104*Q104</f>
        <v>5.39439812899964E-006</v>
      </c>
      <c r="X104" s="57" t="n">
        <f aca="false">M104*R104</f>
        <v>8.17802136725574E-006</v>
      </c>
      <c r="Y104" s="57" t="n">
        <f aca="false">M104*S104</f>
        <v>0.000178535071104024</v>
      </c>
      <c r="Z104" s="57" t="n">
        <f aca="false">T104*f_stroke_fatal</f>
        <v>8.28503711023785E-006</v>
      </c>
      <c r="AA104" s="57" t="n">
        <f aca="false">T104*(1-f_stroke_fatal)*f_stroke_major</f>
        <v>8.88208415161233E-006</v>
      </c>
      <c r="AB104" s="57" t="n">
        <f aca="false">T104*(1-f_stroke_fatal)*(1-f_stroke_major)</f>
        <v>1.77908412286049E-005</v>
      </c>
      <c r="AC104" s="57" t="n">
        <f aca="false">U104*(1-f_bleed_fatal)</f>
        <v>3.14991329296637E-006</v>
      </c>
      <c r="AD104" s="57" t="n">
        <f aca="false">V104*(1-f_bleed_fatal)</f>
        <v>2.49990111628871E-005</v>
      </c>
      <c r="AE104" s="57" t="n">
        <f aca="false">W104*f_mi_fatal</f>
        <v>6.52722173608956E-007</v>
      </c>
      <c r="AF104" s="57" t="n">
        <f aca="false">W104-AE104</f>
        <v>4.74167595539068E-006</v>
      </c>
      <c r="AG104" s="57" t="n">
        <f aca="false">M104-T104-U104-V104-AE104</f>
        <v>0.00401038217279074</v>
      </c>
      <c r="AH104" s="19" t="n">
        <f aca="false">Z104*c_stroke_fatal+AA104*c_stroke_major+AB104*c_stroke_minor+U104*c_ich+V104*c_major_bleed+AE104*c_mi_fatal+AF104*c_mi_nonfatal+X104*c_tia+Y104*c_minor_bleed</f>
        <v>1.68775591980516</v>
      </c>
      <c r="AI104" s="57" t="n">
        <f aca="false">dt*(AF104*dec_mi+AD104*dec_major_bleed+Y104*dec_minor_bleed+X104*dec_tia)</f>
        <v>1.51397766164728E-006</v>
      </c>
      <c r="AJ104" s="57" t="n">
        <f aca="false">G104*L104+Z104+U104-AC104+V104-AD104+AE104</f>
        <v>0.000579580956508091</v>
      </c>
      <c r="AK104" s="57" t="n">
        <f aca="false">1-EXP(LN(1-E104)*hr_death_prior_stroke*dt)</f>
        <v>0.259210383284408</v>
      </c>
      <c r="AL104" s="57" t="n">
        <f aca="false">H104*(1-AK104)</f>
        <v>0.000261877848385385</v>
      </c>
      <c r="AM104" s="57" t="n">
        <f aca="false">(1-EXP(-r_stroke*F104*rr_stroke_prior*rr_asa_stroke*dt))</f>
        <v>0.0380644238315843</v>
      </c>
      <c r="AN104" s="57" t="n">
        <f aca="false">(1-EXP(-r_ich*rr_asa_ich*dt))</f>
        <v>0.00102357767802375</v>
      </c>
      <c r="AO104" s="57" t="n">
        <f aca="false">(1-EXP(-r_mb*rr_asa_mb*dt))</f>
        <v>0.00951809672747972</v>
      </c>
      <c r="AP104" s="57" t="n">
        <f aca="false">(1-EXP(-r_mi*rr_asa_mi*dt))</f>
        <v>0.00213413516393479</v>
      </c>
      <c r="AQ104" s="57" t="n">
        <f aca="false">(1-EXP(-r_tia*rr_asa_tia*dt))</f>
        <v>0.00312764565589152</v>
      </c>
      <c r="AR104" s="57" t="n">
        <f aca="false">(1-EXP(-r_minor*rr_asa_minor*dt))</f>
        <v>0.0278181950466747</v>
      </c>
      <c r="AS104" s="57" t="n">
        <f aca="false">AL104*AM104</f>
        <v>9.96822941304467E-006</v>
      </c>
      <c r="AT104" s="57" t="n">
        <f aca="false">AL104*AN104</f>
        <v>2.68052319976167E-007</v>
      </c>
      <c r="AU104" s="57" t="n">
        <f aca="false">AL104*AO104</f>
        <v>2.49257869171637E-006</v>
      </c>
      <c r="AV104" s="57" t="n">
        <f aca="false">AL104*AP104</f>
        <v>5.58882724894835E-007</v>
      </c>
      <c r="AW104" s="57" t="n">
        <f aca="false">AL104*AQ104</f>
        <v>8.19061114876768E-007</v>
      </c>
      <c r="AX104" s="57" t="n">
        <f aca="false">AL104*AR104</f>
        <v>7.28496906478816E-006</v>
      </c>
      <c r="AY104" s="57" t="n">
        <f aca="false">AS104*f_stroke_fatal_recur</f>
        <v>3.70907848229979E-006</v>
      </c>
      <c r="AZ104" s="57" t="n">
        <f aca="false">AS104*(1-f_stroke_fatal_recur)*f_stroke_major</f>
        <v>2.08429725993804E-006</v>
      </c>
      <c r="BA104" s="57" t="n">
        <f aca="false">AS104*(1-f_stroke_fatal_recur)*(1-f_stroke_major)</f>
        <v>4.17485367080683E-006</v>
      </c>
      <c r="BB104" s="57" t="n">
        <f aca="false">AT104*(1-f_bleed_fatal)</f>
        <v>2.45535925098169E-007</v>
      </c>
      <c r="BC104" s="57" t="n">
        <f aca="false">AU104*(1-f_bleed_fatal)</f>
        <v>2.28320208161219E-006</v>
      </c>
      <c r="BD104" s="57" t="n">
        <f aca="false">AV104*f_mi_fatal</f>
        <v>6.7624809712275E-008</v>
      </c>
      <c r="BE104" s="57" t="n">
        <f aca="false">AV104-BD104</f>
        <v>4.9125791518256E-007</v>
      </c>
      <c r="BF104" s="57" t="n">
        <f aca="false">AL104-AS104-AT104-AU104-BD104</f>
        <v>0.000249081363150936</v>
      </c>
      <c r="BG104" s="19" t="n">
        <f aca="false">AY104*c_stroke_fatal+AZ104*c_stroke_major+BA104*c_stroke_minor+AT104*c_ich+AU104*c_major_bleed+BD104*c_mi_fatal+BE104*c_mi_nonfatal+AW104*c_tia+AX104*c_minor_bleed</f>
        <v>0.378963153545374</v>
      </c>
      <c r="BH104" s="57" t="n">
        <f aca="false">dt*(BE104*dec_mi+BC104*dec_major_bleed+AX104*dec_minor_bleed+AW104*dec_tia)</f>
        <v>1.12632430895174E-007</v>
      </c>
      <c r="BI104" s="57" t="n">
        <f aca="false">H104*AK104+AY104+AT104-BB104+AU104-BC104+BD104</f>
        <v>9.56425176181851E-005</v>
      </c>
      <c r="BJ104" s="57" t="n">
        <f aca="false">1-EXP(LN(1-E104)*hr_death_prior_stroke*dt)</f>
        <v>0.259210383284408</v>
      </c>
      <c r="BK104" s="57" t="n">
        <f aca="false">I104*(1-BJ104)</f>
        <v>0.000136705431977941</v>
      </c>
      <c r="BL104" s="57" t="n">
        <f aca="false">(1-EXP(-r_stroke*F104*rr_stroke_prior*rr_asa_stroke*dt))</f>
        <v>0.0380644238315843</v>
      </c>
      <c r="BM104" s="57" t="n">
        <f aca="false">(1-EXP(-r_ich*rr_asa_ich*dt))</f>
        <v>0.00102357767802375</v>
      </c>
      <c r="BN104" s="57" t="n">
        <f aca="false">(1-EXP(-r_mb*rr_asa_mb*dt))</f>
        <v>0.00951809672747972</v>
      </c>
      <c r="BO104" s="57" t="n">
        <f aca="false">(1-EXP(-r_mi*rr_asa_mi*dt))</f>
        <v>0.00213413516393479</v>
      </c>
      <c r="BP104" s="57" t="n">
        <f aca="false">(1-EXP(-r_tia*rr_asa_tia*dt))</f>
        <v>0.00312764565589152</v>
      </c>
      <c r="BQ104" s="57" t="n">
        <f aca="false">(1-EXP(-r_minor*rr_asa_minor*dt))</f>
        <v>0.0278181950466747</v>
      </c>
      <c r="BR104" s="57" t="n">
        <f aca="false">BK104*BL104</f>
        <v>5.20361350288815E-006</v>
      </c>
      <c r="BS104" s="57" t="n">
        <f aca="false">BK104*BM104</f>
        <v>1.39928628637214E-007</v>
      </c>
      <c r="BT104" s="57" t="n">
        <f aca="false">BK104*BN104</f>
        <v>1.30117552473794E-006</v>
      </c>
      <c r="BU104" s="57" t="n">
        <f aca="false">BK104*BO104</f>
        <v>2.91747869485019E-007</v>
      </c>
      <c r="BV104" s="57" t="n">
        <f aca="false">BK104*BP104</f>
        <v>4.2756615046258E-007</v>
      </c>
      <c r="BW104" s="57" t="n">
        <f aca="false">BK104*BQ104</f>
        <v>3.80289837070228E-006</v>
      </c>
      <c r="BX104" s="57" t="n">
        <f aca="false">BR104*f_stroke_fatal_recur</f>
        <v>1.93621254828965E-006</v>
      </c>
      <c r="BY104" s="57" t="n">
        <f aca="false">BR104*(1-f_stroke_fatal_recur)*f_stroke_major</f>
        <v>1.0880445178813E-006</v>
      </c>
      <c r="BZ104" s="57" t="n">
        <f aca="false">BR104*(1-f_stroke_fatal_recur)*(1-f_stroke_major)</f>
        <v>2.1793564367172E-006</v>
      </c>
      <c r="CA104" s="57" t="n">
        <f aca="false">BS104*(1-f_bleed_fatal)</f>
        <v>1.28174623831688E-007</v>
      </c>
      <c r="CB104" s="57" t="n">
        <f aca="false">BT104*(1-f_bleed_fatal)</f>
        <v>1.19187678065995E-006</v>
      </c>
      <c r="CC104" s="57" t="n">
        <f aca="false">BU104*f_mi_fatal</f>
        <v>3.53014922076873E-008</v>
      </c>
      <c r="CD104" s="57" t="n">
        <f aca="false">BU104-CC104</f>
        <v>2.56446377277332E-007</v>
      </c>
      <c r="CE104" s="57" t="n">
        <f aca="false">BK104-BR104-BS104-BT104-CC104</f>
        <v>0.00013002541282947</v>
      </c>
      <c r="CF104" s="19" t="n">
        <f aca="false">BX104*c_stroke_fatal+BY104*c_stroke_major+BZ104*c_stroke_minor+BS104*c_ich+BT104*c_major_bleed+CC104*c_mi_fatal+CD104*c_mi_nonfatal+BV104*c_tia+BW104*c_minor_bleed</f>
        <v>0.19782628400438</v>
      </c>
      <c r="CG104" s="57" t="n">
        <f aca="false">dt*(CD104*dec_mi+CB104*dec_major_bleed+BW104*dec_minor_bleed+BV104*dec_tia)</f>
        <v>5.87963633242894E-008</v>
      </c>
      <c r="CH104" s="57" t="n">
        <f aca="false">I104*BJ104+BX104+BS104-CA104+BT104-CB104+CC104</f>
        <v>4.99272915485795E-005</v>
      </c>
      <c r="CI104" s="57" t="n">
        <f aca="false">1-EXP(LN(1-E104)*dt)</f>
        <v>0.122301001522938</v>
      </c>
      <c r="CJ104" s="57" t="n">
        <f aca="false">J104*(1-CI104)</f>
        <v>0.00236935211989926</v>
      </c>
      <c r="CK104" s="57" t="n">
        <f aca="false">(1-EXP(-r_stroke*F104*rr_asa_stroke*dt))</f>
        <v>0.0174852363410571</v>
      </c>
      <c r="CL104" s="57" t="n">
        <f aca="false">(1-EXP(-r_ich*rr_asa_ich*dt))</f>
        <v>0.00102357767802375</v>
      </c>
      <c r="CM104" s="57" t="n">
        <f aca="false">(1-EXP(-r_mb*rr_asa_mb*dt))</f>
        <v>0.00951809672747972</v>
      </c>
      <c r="CN104" s="57" t="n">
        <f aca="false">(1-EXP(-r_mi*rr_asa_mi*dt))</f>
        <v>0.00213413516393479</v>
      </c>
      <c r="CO104" s="57" t="n">
        <f aca="false">(1-EXP(-r_tia*rr_asa_tia*dt))</f>
        <v>0.00312764565589152</v>
      </c>
      <c r="CP104" s="57" t="n">
        <f aca="false">(1-EXP(-r_minor*rr_asa_minor*dt))</f>
        <v>0.0278181950466747</v>
      </c>
      <c r="CQ104" s="57" t="n">
        <f aca="false">CJ104*CK104</f>
        <v>4.14286817916233E-005</v>
      </c>
      <c r="CR104" s="57" t="n">
        <f aca="false">CJ104*CL104</f>
        <v>2.42521594130713E-006</v>
      </c>
      <c r="CS104" s="57" t="n">
        <f aca="false">CJ104*CM104</f>
        <v>2.25517226586603E-005</v>
      </c>
      <c r="CT104" s="57" t="n">
        <f aca="false">CJ104*CN104</f>
        <v>5.05651767482046E-006</v>
      </c>
      <c r="CU104" s="57" t="n">
        <f aca="false">CJ104*CO104</f>
        <v>7.41049386508029E-006</v>
      </c>
      <c r="CV104" s="57" t="n">
        <f aca="false">CJ104*CP104</f>
        <v>6.59110994056098E-005</v>
      </c>
      <c r="CW104" s="57" t="n">
        <f aca="false">CQ104*f_stroke_fatal</f>
        <v>9.81859758461473E-006</v>
      </c>
      <c r="CX104" s="57" t="n">
        <f aca="false">CQ104*(1-f_stroke_fatal)*f_stroke_major</f>
        <v>1.05261580409339E-005</v>
      </c>
      <c r="CY104" s="57" t="n">
        <f aca="false">CQ104*(1-f_stroke_fatal)*(1-f_stroke_major)</f>
        <v>2.10839261660747E-005</v>
      </c>
      <c r="CZ104" s="57" t="n">
        <f aca="false">CR104*(1-f_bleed_fatal)</f>
        <v>2.22149780223733E-006</v>
      </c>
      <c r="DA104" s="57" t="n">
        <f aca="false">CS104*(1-f_bleed_fatal)</f>
        <v>2.06573779553328E-005</v>
      </c>
      <c r="DB104" s="57" t="n">
        <f aca="false">CT104*f_mi_fatal</f>
        <v>6.11838638653275E-007</v>
      </c>
      <c r="DC104" s="57" t="n">
        <f aca="false">CT104-DB104</f>
        <v>4.44467903616718E-006</v>
      </c>
      <c r="DD104" s="57" t="n">
        <f aca="false">CJ104-CQ104-CR104-CS104-DB104</f>
        <v>0.00230233466086902</v>
      </c>
      <c r="DE104" s="19" t="n">
        <f aca="false">CW104*c_stroke_fatal+CX104*c_stroke_major+CY104*c_stroke_minor+CR104*c_ich+CS104*c_major_bleed+DB104*c_mi_fatal+DC104*c_mi_nonfatal+CU104*c_tia+CV104*c_minor_bleed</f>
        <v>1.84974446475595</v>
      </c>
      <c r="DF104" s="57" t="n">
        <f aca="false">dt*(DC104*dec_mi+DA104*dec_major_bleed+CV104*dec_minor_bleed+CU104*dec_tia)</f>
        <v>1.01904720294693E-006</v>
      </c>
      <c r="DG104" s="57" t="n">
        <f aca="false">J104*CI104+CW104+CR104-CZ104+CS104-DA104+DB104</f>
        <v>0.00034268056455392</v>
      </c>
      <c r="DH104" s="57" t="n">
        <f aca="false">AG104</f>
        <v>0.00401038217279074</v>
      </c>
      <c r="DI104" s="57" t="n">
        <f aca="false">AB104+AC104+BF104+BA104+BB104+BC104+CY104+CZ104</f>
        <v>0.000300031133318336</v>
      </c>
      <c r="DJ104" s="57" t="n">
        <f aca="false">AA104+AZ104+BY104+CX104+CE104+BZ104+CA104+CB104</f>
        <v>0.000156105404641044</v>
      </c>
      <c r="DK104" s="57" t="n">
        <f aca="false">AD104+DD104+DA104</f>
        <v>0.00234799104998724</v>
      </c>
      <c r="DL104" s="57" t="n">
        <f aca="false">K104+AJ104+BI104+CH104+DG104</f>
        <v>0.993185490239262</v>
      </c>
      <c r="DM104" s="58" t="n">
        <f aca="false">SUM(DH104:DL104)</f>
        <v>1</v>
      </c>
      <c r="DN104" s="19" t="n">
        <f aca="false">dt*(G104*Apixaban!$H$2+(H104+I104+J104)*c_aspirin)</f>
        <v>0.378025422774519</v>
      </c>
      <c r="DO104" s="19" t="n">
        <f aca="false">dt*(H104*c_lt_minor_stroke+I104*c_lt_major_stroke)</f>
        <v>2.16045745403245</v>
      </c>
      <c r="DP104" s="19" t="n">
        <f aca="false">AH104+BG104+CF104+DE104</f>
        <v>4.11428982211087</v>
      </c>
      <c r="DQ104" s="19" t="n">
        <f aca="false">DN104+DO104+DP104</f>
        <v>6.65277269891783</v>
      </c>
      <c r="DR104" s="57" t="n">
        <f aca="false">dt*(G104*(u_af-dec_per_year_over_70*MAX(B104-ref_age,0))+H104*(u_minor_stroke-dec_per_year_over_70*MAX(B104-ref_age,0))+I104*(u_major_stroke-dec_per_year_over_70*MAX(B104-ref_age,0))+J104*(u_af-dec_per_year_over_70*MAX(B104-ref_age,0)))-AI104-BH104-CG104-DF104</f>
        <v>0.00155214106464682</v>
      </c>
      <c r="DS104" s="57" t="n">
        <f aca="false">dt*(G104+H104+I104+J104)</f>
        <v>0.00197058527274153</v>
      </c>
      <c r="DT104" s="19" t="n">
        <f aca="false">DQ104*C104</f>
        <v>4.61939021773014</v>
      </c>
      <c r="DU104" s="19" t="n">
        <f aca="false">DN104*C104</f>
        <v>0.262484082809858</v>
      </c>
      <c r="DV104" s="19" t="n">
        <f aca="false">DP104*C104</f>
        <v>2.85678032563131</v>
      </c>
      <c r="DW104" s="19" t="n">
        <f aca="false">DO104*C104</f>
        <v>1.50012580928896</v>
      </c>
      <c r="DX104" s="57" t="n">
        <f aca="false">DR104*C104</f>
        <v>0.00107773789592016</v>
      </c>
      <c r="DY104" s="57" t="n">
        <f aca="false">DS104*C104</f>
        <v>0.00136828699011256</v>
      </c>
      <c r="DZ104" s="57" t="n">
        <f aca="false">T104+AS104+BR104+CQ104</f>
        <v>9.15584871980112E-005</v>
      </c>
      <c r="EA104" s="57" t="n">
        <f aca="false">U104+AT104+BS104+CR104</f>
        <v>6.27196686040781E-006</v>
      </c>
      <c r="EB104" s="57" t="n">
        <f aca="false">V104+AU104+BT104+CS104</f>
        <v>5.36369737778298E-005</v>
      </c>
      <c r="EC104" s="57" t="n">
        <f aca="false">G104*dt*C104</f>
        <v>0.000806283156929657</v>
      </c>
    </row>
    <row r="105" customFormat="false" ht="15" hidden="false" customHeight="false" outlineLevel="0" collapsed="false">
      <c r="A105" s="8" t="n">
        <v>99</v>
      </c>
      <c r="B105" s="54" t="n">
        <f aca="false">start_age+A105*dt</f>
        <v>94.75</v>
      </c>
      <c r="C105" s="16" t="n">
        <f aca="false">(1+disc_rate)^-(A105*dt)</f>
        <v>0.691775941868732</v>
      </c>
      <c r="D105" s="55" t="n">
        <f aca="false">IF(A105*dt&gt;=wane_start,(1-wane_decay)^(A105*dt-wane_start),1)</f>
        <v>1</v>
      </c>
      <c r="E105" s="25" t="n">
        <f aca="false">MIN(p_nonvasc_death*MIN(EXP(gomp_int+gomp_slope*INT(B105)),1)/qx_ref,0.999)</f>
        <v>0.406552354428485</v>
      </c>
      <c r="F105" s="55" t="n">
        <f aca="false">rr_stroke_per_decade^((B105-ref_age)/10)</f>
        <v>2.72788379673095</v>
      </c>
      <c r="G105" s="57" t="n">
        <f aca="false">DH104</f>
        <v>0.00401038217279074</v>
      </c>
      <c r="H105" s="57" t="n">
        <f aca="false">DI104</f>
        <v>0.000300031133318336</v>
      </c>
      <c r="I105" s="57" t="n">
        <f aca="false">DJ104</f>
        <v>0.000156105404641044</v>
      </c>
      <c r="J105" s="57" t="n">
        <f aca="false">DK104</f>
        <v>0.00234799104998724</v>
      </c>
      <c r="K105" s="57" t="n">
        <f aca="false">DL104</f>
        <v>0.993185490239262</v>
      </c>
      <c r="L105" s="57" t="n">
        <f aca="false">1-EXP(LN(1-E105)*dt)</f>
        <v>0.122301001522938</v>
      </c>
      <c r="M105" s="57" t="n">
        <f aca="false">G105*(1-L105)</f>
        <v>0.0035199084165687</v>
      </c>
      <c r="N105" s="57" t="n">
        <f aca="false">IF(Apixaban!$B$2=1,EXP(LN(or_apx_stroke)*D105)*(1-EXP(-r_stroke*F105*dt))/(1-(1-EXP(-r_stroke*F105*dt))+EXP(LN(or_apx_stroke)*D105)*(1-EXP(-r_stroke*F105*dt))),(1-EXP(-r_stroke*F105*dt)))</f>
        <v>0.00866209936653603</v>
      </c>
      <c r="O105" s="57" t="n">
        <f aca="false">IF(Apixaban!$B$2=1,EXP(LN(or_apx_ich)*D105)*(1-EXP(-r_ich*dt))/(1-(1-EXP(-r_ich*dt))+EXP(LN(or_apx_ich)*D105)*(1-EXP(-r_ich*dt))),(1-EXP(-r_ich*dt)))</f>
        <v>0.000843513249640701</v>
      </c>
      <c r="P105" s="57" t="n">
        <f aca="false">IF(Apixaban!$B$2=1,EXP(LN(or_apx_mb)*D105)*(1-EXP(-r_mb*dt))/(1-(1-EXP(-r_mb*dt))+EXP(LN(or_apx_mb)*D105)*(1-EXP(-r_mb*dt))),(1-EXP(-r_mb*dt)))</f>
        <v>0.00669446907979895</v>
      </c>
      <c r="Q105" s="57" t="n">
        <f aca="false">IF(Apixaban!$B$2=1,EXP(LN(or_apx_mi)*D105)*(1-EXP(-r_mi*dt))/(1-(1-EXP(-r_mi*dt))+EXP(LN(or_apx_mi)*D105)*(1-EXP(-r_mi*dt))),(1-EXP(-r_mi*dt)))</f>
        <v>0.00132321915530843</v>
      </c>
      <c r="R105" s="57" t="n">
        <f aca="false">(1-EXP(-r_tia*dt))</f>
        <v>0.0020060281549299</v>
      </c>
      <c r="S105" s="57" t="n">
        <f aca="false">(1-EXP(-r_minor*dt))</f>
        <v>0.0437937690785545</v>
      </c>
      <c r="T105" s="57" t="n">
        <f aca="false">M105*N105</f>
        <v>3.04897964654246E-005</v>
      </c>
      <c r="U105" s="57" t="n">
        <f aca="false">M105*O105</f>
        <v>2.96908938689751E-006</v>
      </c>
      <c r="V105" s="57" t="n">
        <f aca="false">M105*P105</f>
        <v>2.35639180584432E-005</v>
      </c>
      <c r="W105" s="57" t="n">
        <f aca="false">M105*Q105</f>
        <v>4.65761024173506E-006</v>
      </c>
      <c r="X105" s="57" t="n">
        <f aca="false">M105*R105</f>
        <v>7.06103538641151E-006</v>
      </c>
      <c r="Y105" s="57" t="n">
        <f aca="false">M105*S105</f>
        <v>0.00015415005637287</v>
      </c>
      <c r="Z105" s="57" t="n">
        <f aca="false">T105*f_stroke_fatal</f>
        <v>7.22608176230562E-006</v>
      </c>
      <c r="AA105" s="57" t="n">
        <f aca="false">T105*(1-f_stroke_fatal)*f_stroke_major</f>
        <v>7.74681699613861E-006</v>
      </c>
      <c r="AB105" s="57" t="n">
        <f aca="false">T105*(1-f_stroke_fatal)*(1-f_stroke_major)</f>
        <v>1.55168977069803E-005</v>
      </c>
      <c r="AC105" s="57" t="n">
        <f aca="false">U105*(1-f_bleed_fatal)</f>
        <v>2.71968587839812E-006</v>
      </c>
      <c r="AD105" s="57" t="n">
        <f aca="false">V105*(1-f_bleed_fatal)</f>
        <v>2.1584548941534E-005</v>
      </c>
      <c r="AE105" s="57" t="n">
        <f aca="false">W105*f_mi_fatal</f>
        <v>5.63570839249942E-007</v>
      </c>
      <c r="AF105" s="57" t="n">
        <f aca="false">W105-AE105</f>
        <v>4.09403940248512E-006</v>
      </c>
      <c r="AG105" s="57" t="n">
        <f aca="false">M105-T105-U105-V105-AE105</f>
        <v>0.00346232204181868</v>
      </c>
      <c r="AH105" s="19" t="n">
        <f aca="false">Z105*c_stroke_fatal+AA105*c_stroke_major+AB105*c_stroke_minor+U105*c_ich+V105*c_major_bleed+AE105*c_mi_fatal+AF105*c_mi_nonfatal+X105*c_tia+Y105*c_minor_bleed</f>
        <v>1.46856115148386</v>
      </c>
      <c r="AI105" s="57" t="n">
        <f aca="false">dt*(AF105*dec_mi+AD105*dec_major_bleed+Y105*dec_minor_bleed+X105*dec_tia)</f>
        <v>1.30719270139487E-006</v>
      </c>
      <c r="AJ105" s="57" t="n">
        <f aca="false">G105*L105+Z105+U105-AC105+V105-AD105+AE105</f>
        <v>0.000500492181449006</v>
      </c>
      <c r="AK105" s="57" t="n">
        <f aca="false">1-EXP(LN(1-E105)*hr_death_prior_stroke*dt)</f>
        <v>0.259210383284408</v>
      </c>
      <c r="AL105" s="57" t="n">
        <f aca="false">H105*(1-AK105)</f>
        <v>0.000222259948253635</v>
      </c>
      <c r="AM105" s="57" t="n">
        <f aca="false">(1-EXP(-r_stroke*F105*rr_stroke_prior*rr_asa_stroke*dt))</f>
        <v>0.0384446794543113</v>
      </c>
      <c r="AN105" s="57" t="n">
        <f aca="false">(1-EXP(-r_ich*rr_asa_ich*dt))</f>
        <v>0.00102357767802375</v>
      </c>
      <c r="AO105" s="57" t="n">
        <f aca="false">(1-EXP(-r_mb*rr_asa_mb*dt))</f>
        <v>0.00951809672747972</v>
      </c>
      <c r="AP105" s="57" t="n">
        <f aca="false">(1-EXP(-r_mi*rr_asa_mi*dt))</f>
        <v>0.00213413516393479</v>
      </c>
      <c r="AQ105" s="57" t="n">
        <f aca="false">(1-EXP(-r_tia*rr_asa_tia*dt))</f>
        <v>0.00312764565589152</v>
      </c>
      <c r="AR105" s="57" t="n">
        <f aca="false">(1-EXP(-r_minor*rr_asa_minor*dt))</f>
        <v>0.0278181950466747</v>
      </c>
      <c r="AS105" s="57" t="n">
        <f aca="false">AL105*AM105</f>
        <v>8.54471246614282E-006</v>
      </c>
      <c r="AT105" s="57" t="n">
        <f aca="false">AL105*AN105</f>
        <v>2.27500321751134E-007</v>
      </c>
      <c r="AU105" s="57" t="n">
        <f aca="false">AL105*AO105</f>
        <v>2.11549168612274E-006</v>
      </c>
      <c r="AV105" s="57" t="n">
        <f aca="false">AL105*AP105</f>
        <v>4.7433277110241E-007</v>
      </c>
      <c r="AW105" s="57" t="n">
        <f aca="false">AL105*AQ105</f>
        <v>6.95150361634156E-007</v>
      </c>
      <c r="AX105" s="57" t="n">
        <f aca="false">AL105*AR105</f>
        <v>6.18287059158345E-006</v>
      </c>
      <c r="AY105" s="57" t="n">
        <f aca="false">AS105*f_stroke_fatal_recur</f>
        <v>3.17940206152708E-006</v>
      </c>
      <c r="AZ105" s="57" t="n">
        <f aca="false">AS105*(1-f_stroke_fatal_recur)*f_stroke_major</f>
        <v>1.78664836473704E-006</v>
      </c>
      <c r="BA105" s="57" t="n">
        <f aca="false">AS105*(1-f_stroke_fatal_recur)*(1-f_stroke_major)</f>
        <v>3.5786620398787E-006</v>
      </c>
      <c r="BB105" s="57" t="n">
        <f aca="false">AT105*(1-f_bleed_fatal)</f>
        <v>2.08390294724039E-007</v>
      </c>
      <c r="BC105" s="57" t="n">
        <f aca="false">AU105*(1-f_bleed_fatal)</f>
        <v>1.93779038448843E-006</v>
      </c>
      <c r="BD105" s="57" t="n">
        <f aca="false">AV105*f_mi_fatal</f>
        <v>5.73942653033916E-008</v>
      </c>
      <c r="BE105" s="57" t="n">
        <f aca="false">AV105-BD105</f>
        <v>4.16938505799018E-007</v>
      </c>
      <c r="BF105" s="57" t="n">
        <f aca="false">AL105-AS105-AT105-AU105-BD105</f>
        <v>0.000211314849514315</v>
      </c>
      <c r="BG105" s="19" t="n">
        <f aca="false">AY105*c_stroke_fatal+AZ105*c_stroke_major+BA105*c_stroke_minor+AT105*c_ich+AU105*c_major_bleed+BD105*c_mi_fatal+BE105*c_mi_nonfatal+AW105*c_tia+AX105*c_minor_bleed</f>
        <v>0.324546184593519</v>
      </c>
      <c r="BH105" s="57" t="n">
        <f aca="false">dt*(BE105*dec_mi+BC105*dec_major_bleed+AX105*dec_minor_bleed+AW105*dec_tia)</f>
        <v>9.55929583841788E-008</v>
      </c>
      <c r="BI105" s="57" t="n">
        <f aca="false">H105*AK105+AY105+AT105-BB105+AU105-BC105+BD105</f>
        <v>8.12047927201931E-005</v>
      </c>
      <c r="BJ105" s="57" t="n">
        <f aca="false">1-EXP(LN(1-E105)*hr_death_prior_stroke*dt)</f>
        <v>0.259210383284408</v>
      </c>
      <c r="BK105" s="57" t="n">
        <f aca="false">I105*(1-BJ105)</f>
        <v>0.000115641262871272</v>
      </c>
      <c r="BL105" s="57" t="n">
        <f aca="false">(1-EXP(-r_stroke*F105*rr_stroke_prior*rr_asa_stroke*dt))</f>
        <v>0.0384446794543113</v>
      </c>
      <c r="BM105" s="57" t="n">
        <f aca="false">(1-EXP(-r_ich*rr_asa_ich*dt))</f>
        <v>0.00102357767802375</v>
      </c>
      <c r="BN105" s="57" t="n">
        <f aca="false">(1-EXP(-r_mb*rr_asa_mb*dt))</f>
        <v>0.00951809672747972</v>
      </c>
      <c r="BO105" s="57" t="n">
        <f aca="false">(1-EXP(-r_mi*rr_asa_mi*dt))</f>
        <v>0.00213413516393479</v>
      </c>
      <c r="BP105" s="57" t="n">
        <f aca="false">(1-EXP(-r_tia*rr_asa_tia*dt))</f>
        <v>0.00312764565589152</v>
      </c>
      <c r="BQ105" s="57" t="n">
        <f aca="false">(1-EXP(-r_minor*rr_asa_minor*dt))</f>
        <v>0.0278181950466747</v>
      </c>
      <c r="BR105" s="57" t="n">
        <f aca="false">BK105*BL105</f>
        <v>4.44579128277779E-006</v>
      </c>
      <c r="BS105" s="57" t="n">
        <f aca="false">BK105*BM105</f>
        <v>1.1836781533351E-007</v>
      </c>
      <c r="BT105" s="57" t="n">
        <f aca="false">BK105*BN105</f>
        <v>1.10068472569667E-006</v>
      </c>
      <c r="BU105" s="57" t="n">
        <f aca="false">BK105*BO105</f>
        <v>2.46794085495408E-007</v>
      </c>
      <c r="BV105" s="57" t="n">
        <f aca="false">BK105*BP105</f>
        <v>3.61684893461142E-007</v>
      </c>
      <c r="BW105" s="57" t="n">
        <f aca="false">BK105*BQ105</f>
        <v>3.21693120599682E-006</v>
      </c>
      <c r="BX105" s="57" t="n">
        <f aca="false">BR105*f_stroke_fatal_recur</f>
        <v>1.65423447840879E-006</v>
      </c>
      <c r="BY105" s="57" t="n">
        <f aca="false">BR105*(1-f_stroke_fatal_recur)*f_stroke_major</f>
        <v>9.29588415854877E-007</v>
      </c>
      <c r="BZ105" s="57" t="n">
        <f aca="false">BR105*(1-f_stroke_fatal_recur)*(1-f_stroke_major)</f>
        <v>1.86196838851412E-006</v>
      </c>
      <c r="CA105" s="57" t="n">
        <f aca="false">BS105*(1-f_bleed_fatal)</f>
        <v>1.08424918845495E-007</v>
      </c>
      <c r="CB105" s="57" t="n">
        <f aca="false">BT105*(1-f_bleed_fatal)</f>
        <v>1.00822720873815E-006</v>
      </c>
      <c r="CC105" s="57" t="n">
        <f aca="false">BU105*f_mi_fatal</f>
        <v>2.98620843449443E-008</v>
      </c>
      <c r="CD105" s="57" t="n">
        <f aca="false">BU105-CC105</f>
        <v>2.16932001150463E-007</v>
      </c>
      <c r="CE105" s="57" t="n">
        <f aca="false">BK105-BR105-BS105-BT105-CC105</f>
        <v>0.000109946556963119</v>
      </c>
      <c r="CF105" s="19" t="n">
        <f aca="false">BX105*c_stroke_fatal+BY105*c_stroke_major+BZ105*c_stroke_minor+BS105*c_ich+BT105*c_major_bleed+CC105*c_mi_fatal+CD105*c_mi_nonfatal+BV105*c_tia+BW105*c_minor_bleed</f>
        <v>0.168860520941085</v>
      </c>
      <c r="CG105" s="57" t="n">
        <f aca="false">dt*(CD105*dec_mi+CB105*dec_major_bleed+BW105*dec_minor_bleed+BV105*dec_tia)</f>
        <v>4.97367632630435E-008</v>
      </c>
      <c r="CH105" s="57" t="n">
        <f aca="false">I105*BJ105+BX105+BS105-CA105+BT105-CB105+CC105</f>
        <v>4.22506387459729E-005</v>
      </c>
      <c r="CI105" s="57" t="n">
        <f aca="false">1-EXP(LN(1-E105)*dt)</f>
        <v>0.122301001522938</v>
      </c>
      <c r="CJ105" s="57" t="n">
        <f aca="false">J105*(1-CI105)</f>
        <v>0.0020608293930069</v>
      </c>
      <c r="CK105" s="57" t="n">
        <f aca="false">(1-EXP(-r_stroke*F105*rr_asa_stroke*dt))</f>
        <v>0.0176617965727137</v>
      </c>
      <c r="CL105" s="57" t="n">
        <f aca="false">(1-EXP(-r_ich*rr_asa_ich*dt))</f>
        <v>0.00102357767802375</v>
      </c>
      <c r="CM105" s="57" t="n">
        <f aca="false">(1-EXP(-r_mb*rr_asa_mb*dt))</f>
        <v>0.00951809672747972</v>
      </c>
      <c r="CN105" s="57" t="n">
        <f aca="false">(1-EXP(-r_mi*rr_asa_mi*dt))</f>
        <v>0.00213413516393479</v>
      </c>
      <c r="CO105" s="57" t="n">
        <f aca="false">(1-EXP(-r_tia*rr_asa_tia*dt))</f>
        <v>0.00312764565589152</v>
      </c>
      <c r="CP105" s="57" t="n">
        <f aca="false">(1-EXP(-r_minor*rr_asa_minor*dt))</f>
        <v>0.0278181950466747</v>
      </c>
      <c r="CQ105" s="57" t="n">
        <f aca="false">CJ105*CK105</f>
        <v>3.6397949510357E-005</v>
      </c>
      <c r="CR105" s="57" t="n">
        <f aca="false">CJ105*CL105</f>
        <v>2.10941896489709E-006</v>
      </c>
      <c r="CS105" s="57" t="n">
        <f aca="false">CJ105*CM105</f>
        <v>1.9615173501473E-005</v>
      </c>
      <c r="CT105" s="57" t="n">
        <f aca="false">CJ105*CN105</f>
        <v>4.39808847448643E-006</v>
      </c>
      <c r="CU105" s="57" t="n">
        <f aca="false">CJ105*CO105</f>
        <v>6.4455440985716E-006</v>
      </c>
      <c r="CV105" s="57" t="n">
        <f aca="false">CJ105*CP105</f>
        <v>5.73285540125863E-005</v>
      </c>
      <c r="CW105" s="57" t="n">
        <f aca="false">CQ105*f_stroke_fatal</f>
        <v>8.62631403395462E-006</v>
      </c>
      <c r="CX105" s="57" t="n">
        <f aca="false">CQ105*(1-f_stroke_fatal)*f_stroke_major</f>
        <v>9.24795461364201E-006</v>
      </c>
      <c r="CY105" s="57" t="n">
        <f aca="false">CQ105*(1-f_stroke_fatal)*(1-f_stroke_major)</f>
        <v>1.85236808627604E-005</v>
      </c>
      <c r="CZ105" s="57" t="n">
        <f aca="false">CR105*(1-f_bleed_fatal)</f>
        <v>1.93222777184574E-006</v>
      </c>
      <c r="DA105" s="57" t="n">
        <f aca="false">CS105*(1-f_bleed_fatal)</f>
        <v>1.79674989273493E-005</v>
      </c>
      <c r="DB105" s="57" t="n">
        <f aca="false">CT105*f_mi_fatal</f>
        <v>5.32168705412858E-007</v>
      </c>
      <c r="DC105" s="57" t="n">
        <f aca="false">CT105-DB105</f>
        <v>3.86591976907357E-006</v>
      </c>
      <c r="DD105" s="57" t="n">
        <f aca="false">CJ105-CQ105-CR105-CS105-DB105</f>
        <v>0.00200217468232476</v>
      </c>
      <c r="DE105" s="19" t="n">
        <f aca="false">CW105*c_stroke_fatal+CX105*c_stroke_major+CY105*c_stroke_minor+CR105*c_ich+CS105*c_major_bleed+DB105*c_mi_fatal+DC105*c_mi_nonfatal+CU105*c_tia+CV105*c_minor_bleed</f>
        <v>1.62232569330827</v>
      </c>
      <c r="DF105" s="57" t="n">
        <f aca="false">dt*(DC105*dec_mi+DA105*dec_major_bleed+CV105*dec_minor_bleed+CU105*dec_tia)</f>
        <v>8.86353029191707E-007</v>
      </c>
      <c r="DG105" s="57" t="n">
        <f aca="false">J105*CI105+CW105+CR105-CZ105+CS105-DA105+DB105</f>
        <v>0.000298145005486875</v>
      </c>
      <c r="DH105" s="57" t="n">
        <f aca="false">AG105</f>
        <v>0.00346232204181868</v>
      </c>
      <c r="DI105" s="57" t="n">
        <f aca="false">AB105+AC105+BF105+BA105+BB105+BC105+CY105+CZ105</f>
        <v>0.000255732184453391</v>
      </c>
      <c r="DJ105" s="57" t="n">
        <f aca="false">AA105+AZ105+BY105+CX105+CE105+BZ105+CA105+CB105</f>
        <v>0.000132636185869589</v>
      </c>
      <c r="DK105" s="57" t="n">
        <f aca="false">AD105+DD105+DA105</f>
        <v>0.00204172673019365</v>
      </c>
      <c r="DL105" s="57" t="n">
        <f aca="false">K105+AJ105+BI105+CH105+DG105</f>
        <v>0.994107582857664</v>
      </c>
      <c r="DM105" s="58" t="n">
        <f aca="false">SUM(DH105:DL105)</f>
        <v>1</v>
      </c>
      <c r="DN105" s="19" t="n">
        <f aca="false">dt*(G105*Apixaban!$H$2+(H105+I105+J105)*c_aspirin)</f>
        <v>0.326478829752892</v>
      </c>
      <c r="DO105" s="19" t="n">
        <f aca="false">dt*(H105*c_lt_minor_stroke+I105*c_lt_major_stroke)</f>
        <v>1.83024105396611</v>
      </c>
      <c r="DP105" s="19" t="n">
        <f aca="false">AH105+BG105+CF105+DE105</f>
        <v>3.58429355032674</v>
      </c>
      <c r="DQ105" s="19" t="n">
        <f aca="false">DN105+DO105+DP105</f>
        <v>5.74101343404574</v>
      </c>
      <c r="DR105" s="57" t="n">
        <f aca="false">dt*(G105*(u_af-dec_per_year_over_70*MAX(B105-ref_age,0))+H105*(u_minor_stroke-dec_per_year_over_70*MAX(B105-ref_age,0))+I105*(u_major_stroke-dec_per_year_over_70*MAX(B105-ref_age,0))+J105*(u_af-dec_per_year_over_70*MAX(B105-ref_age,0)))-AI105-BH105-CG105-DF105</f>
        <v>0.00134223991810147</v>
      </c>
      <c r="DS105" s="57" t="n">
        <f aca="false">dt*(G105+H105+I105+J105)</f>
        <v>0.00170362744018434</v>
      </c>
      <c r="DT105" s="19" t="n">
        <f aca="false">DQ105*C105</f>
        <v>3.97149497561804</v>
      </c>
      <c r="DU105" s="19" t="n">
        <f aca="false">DN105*C105</f>
        <v>0.225850199952508</v>
      </c>
      <c r="DV105" s="19" t="n">
        <f aca="false">DP105*C105</f>
        <v>2.4795280467113</v>
      </c>
      <c r="DW105" s="19" t="n">
        <f aca="false">DO105*C105</f>
        <v>1.26611672895423</v>
      </c>
      <c r="DX105" s="57" t="n">
        <f aca="false">DR105*C105</f>
        <v>0.000928529283558457</v>
      </c>
      <c r="DY105" s="57" t="n">
        <f aca="false">DS105*C105</f>
        <v>0.00117852847702694</v>
      </c>
      <c r="DZ105" s="57" t="n">
        <f aca="false">T105+AS105+BR105+CQ105</f>
        <v>7.98782497247022E-005</v>
      </c>
      <c r="EA105" s="57" t="n">
        <f aca="false">U105+AT105+BS105+CR105</f>
        <v>5.42437648887925E-006</v>
      </c>
      <c r="EB105" s="57" t="n">
        <f aca="false">V105+AU105+BT105+CS105</f>
        <v>4.63952679717357E-005</v>
      </c>
      <c r="EC105" s="57" t="n">
        <f aca="false">G105*dt*C105</f>
        <v>0.000693571476208971</v>
      </c>
    </row>
    <row r="106" customFormat="false" ht="15" hidden="false" customHeight="false" outlineLevel="0" collapsed="false">
      <c r="A106" s="8" t="n">
        <v>100</v>
      </c>
      <c r="B106" s="54" t="n">
        <f aca="false">start_age+A106*dt</f>
        <v>95</v>
      </c>
      <c r="C106" s="16" t="n">
        <f aca="false">(1+disc_rate)^-(A106*dt)</f>
        <v>0.689205832024461</v>
      </c>
      <c r="D106" s="55" t="n">
        <f aca="false">IF(A106*dt&gt;=wane_start,(1-wane_decay)^(A106*dt-wane_start),1)</f>
        <v>1</v>
      </c>
      <c r="E106" s="25" t="n">
        <f aca="false">MIN(p_nonvasc_death*MIN(EXP(gomp_int+gomp_slope*INT(B106)),1)/qx_ref,0.999)</f>
        <v>0.451396568249239</v>
      </c>
      <c r="F106" s="55" t="n">
        <f aca="false">rr_stroke_per_decade^((B106-ref_age)/10)</f>
        <v>2.75567596063108</v>
      </c>
      <c r="G106" s="57" t="n">
        <f aca="false">DH105</f>
        <v>0.00346232204181868</v>
      </c>
      <c r="H106" s="57" t="n">
        <f aca="false">DI105</f>
        <v>0.000255732184453391</v>
      </c>
      <c r="I106" s="57" t="n">
        <f aca="false">DJ105</f>
        <v>0.000132636185869589</v>
      </c>
      <c r="J106" s="57" t="n">
        <f aca="false">DK105</f>
        <v>0.00204172673019365</v>
      </c>
      <c r="K106" s="57" t="n">
        <f aca="false">DL105</f>
        <v>0.994107582857664</v>
      </c>
      <c r="L106" s="57" t="n">
        <f aca="false">1-EXP(LN(1-E106)*dt)</f>
        <v>0.139373667543085</v>
      </c>
      <c r="M106" s="57" t="n">
        <f aca="false">G106*(1-L106)</f>
        <v>0.00297976552063515</v>
      </c>
      <c r="N106" s="57" t="n">
        <f aca="false">IF(Apixaban!$B$2=1,EXP(LN(or_apx_stroke)*D106)*(1-EXP(-r_stroke*F106*dt))/(1-(1-EXP(-r_stroke*F106*dt))+EXP(LN(or_apx_stroke)*D106)*(1-EXP(-r_stroke*F106*dt))),(1-EXP(-r_stroke*F106*dt)))</f>
        <v>0.00875006510338649</v>
      </c>
      <c r="O106" s="57" t="n">
        <f aca="false">IF(Apixaban!$B$2=1,EXP(LN(or_apx_ich)*D106)*(1-EXP(-r_ich*dt))/(1-(1-EXP(-r_ich*dt))+EXP(LN(or_apx_ich)*D106)*(1-EXP(-r_ich*dt))),(1-EXP(-r_ich*dt)))</f>
        <v>0.000843513249640701</v>
      </c>
      <c r="P106" s="57" t="n">
        <f aca="false">IF(Apixaban!$B$2=1,EXP(LN(or_apx_mb)*D106)*(1-EXP(-r_mb*dt))/(1-(1-EXP(-r_mb*dt))+EXP(LN(or_apx_mb)*D106)*(1-EXP(-r_mb*dt))),(1-EXP(-r_mb*dt)))</f>
        <v>0.00669446907979895</v>
      </c>
      <c r="Q106" s="57" t="n">
        <f aca="false">IF(Apixaban!$B$2=1,EXP(LN(or_apx_mi)*D106)*(1-EXP(-r_mi*dt))/(1-(1-EXP(-r_mi*dt))+EXP(LN(or_apx_mi)*D106)*(1-EXP(-r_mi*dt))),(1-EXP(-r_mi*dt)))</f>
        <v>0.00132321915530843</v>
      </c>
      <c r="R106" s="57" t="n">
        <f aca="false">(1-EXP(-r_tia*dt))</f>
        <v>0.0020060281549299</v>
      </c>
      <c r="S106" s="57" t="n">
        <f aca="false">(1-EXP(-r_minor*dt))</f>
        <v>0.0437937690785545</v>
      </c>
      <c r="T106" s="57" t="n">
        <f aca="false">M106*N106</f>
        <v>2.60731422983839E-005</v>
      </c>
      <c r="U106" s="57" t="n">
        <f aca="false">M106*O106</f>
        <v>2.51347169747827E-006</v>
      </c>
      <c r="V106" s="57" t="n">
        <f aca="false">M106*P106</f>
        <v>1.9947948142943E-005</v>
      </c>
      <c r="W106" s="57" t="n">
        <f aca="false">M106*Q106</f>
        <v>3.94288281523202E-006</v>
      </c>
      <c r="X106" s="57" t="n">
        <f aca="false">M106*R106</f>
        <v>5.97749352948345E-006</v>
      </c>
      <c r="Y106" s="57" t="n">
        <f aca="false">M106*S106</f>
        <v>0.000130495163118934</v>
      </c>
      <c r="Z106" s="57" t="n">
        <f aca="false">T106*f_stroke_fatal</f>
        <v>6.17933472471698E-006</v>
      </c>
      <c r="AA106" s="57" t="n">
        <f aca="false">T106*(1-f_stroke_fatal)*f_stroke_major</f>
        <v>6.62463792203108E-006</v>
      </c>
      <c r="AB106" s="57" t="n">
        <f aca="false">T106*(1-f_stroke_fatal)*(1-f_stroke_major)</f>
        <v>1.32691696516358E-005</v>
      </c>
      <c r="AC106" s="57" t="n">
        <f aca="false">U106*(1-f_bleed_fatal)</f>
        <v>2.3023400748901E-006</v>
      </c>
      <c r="AD106" s="57" t="n">
        <f aca="false">V106*(1-f_bleed_fatal)</f>
        <v>1.82723204989358E-005</v>
      </c>
      <c r="AE106" s="57" t="n">
        <f aca="false">W106*f_mi_fatal</f>
        <v>4.77088820643075E-007</v>
      </c>
      <c r="AF106" s="57" t="n">
        <f aca="false">W106-AE106</f>
        <v>3.46579399458895E-006</v>
      </c>
      <c r="AG106" s="57" t="n">
        <f aca="false">M106-T106-U106-V106-AE106</f>
        <v>0.0029307538696757</v>
      </c>
      <c r="AH106" s="19" t="n">
        <f aca="false">Z106*c_stroke_fatal+AA106*c_stroke_major+AB106*c_stroke_minor+U106*c_ich+V106*c_major_bleed+AE106*c_mi_fatal+AF106*c_mi_nonfatal+X106*c_tia+Y106*c_minor_bleed</f>
        <v>1.25288965220634</v>
      </c>
      <c r="AI106" s="57" t="n">
        <f aca="false">dt*(AF106*dec_mi+AD106*dec_major_bleed+Y106*dec_minor_bleed+X106*dec_tia)</f>
        <v>1.10659917232716E-006</v>
      </c>
      <c r="AJ106" s="57" t="n">
        <f aca="false">G106*L106+Z106+U106-AC106+V106-AD106+AE106</f>
        <v>0.000491099703995486</v>
      </c>
      <c r="AK106" s="57" t="n">
        <f aca="false">1-EXP(LN(1-E106)*hr_death_prior_stroke*dt)</f>
        <v>0.29193414982471</v>
      </c>
      <c r="AL106" s="57" t="n">
        <f aca="false">H106*(1-AK106)</f>
        <v>0.000181075226602174</v>
      </c>
      <c r="AM106" s="57" t="n">
        <f aca="false">(1-EXP(-r_stroke*F106*rr_stroke_prior*rr_asa_stroke*dt))</f>
        <v>0.0388286565679616</v>
      </c>
      <c r="AN106" s="57" t="n">
        <f aca="false">(1-EXP(-r_ich*rr_asa_ich*dt))</f>
        <v>0.00102357767802375</v>
      </c>
      <c r="AO106" s="57" t="n">
        <f aca="false">(1-EXP(-r_mb*rr_asa_mb*dt))</f>
        <v>0.00951809672747972</v>
      </c>
      <c r="AP106" s="57" t="n">
        <f aca="false">(1-EXP(-r_mi*rr_asa_mi*dt))</f>
        <v>0.00213413516393479</v>
      </c>
      <c r="AQ106" s="57" t="n">
        <f aca="false">(1-EXP(-r_tia*rr_asa_tia*dt))</f>
        <v>0.00312764565589152</v>
      </c>
      <c r="AR106" s="57" t="n">
        <f aca="false">(1-EXP(-r_minor*rr_asa_minor*dt))</f>
        <v>0.0278181950466747</v>
      </c>
      <c r="AS106" s="57" t="n">
        <f aca="false">AL106*AM106</f>
        <v>7.03090778670165E-006</v>
      </c>
      <c r="AT106" s="57" t="n">
        <f aca="false">AL106*AN106</f>
        <v>1.85344559993077E-007</v>
      </c>
      <c r="AU106" s="57" t="n">
        <f aca="false">AL106*AO106</f>
        <v>1.7234915217498E-006</v>
      </c>
      <c r="AV106" s="57" t="n">
        <f aca="false">AL106*AP106</f>
        <v>3.86439008409161E-007</v>
      </c>
      <c r="AW106" s="57" t="n">
        <f aca="false">AL106*AQ106</f>
        <v>5.66339145871863E-007</v>
      </c>
      <c r="AX106" s="57" t="n">
        <f aca="false">AL106*AR106</f>
        <v>5.0371859717401E-006</v>
      </c>
      <c r="AY106" s="57" t="n">
        <f aca="false">AS106*f_stroke_fatal_recur</f>
        <v>2.61613047835382E-006</v>
      </c>
      <c r="AZ106" s="57" t="n">
        <f aca="false">AS106*(1-f_stroke_fatal_recur)*f_stroke_major</f>
        <v>1.47012084367983E-006</v>
      </c>
      <c r="BA106" s="57" t="n">
        <f aca="false">AS106*(1-f_stroke_fatal_recur)*(1-f_stroke_major)</f>
        <v>2.94465646466801E-006</v>
      </c>
      <c r="BB106" s="57" t="n">
        <f aca="false">AT106*(1-f_bleed_fatal)</f>
        <v>1.69775616953659E-007</v>
      </c>
      <c r="BC106" s="57" t="n">
        <f aca="false">AU106*(1-f_bleed_fatal)</f>
        <v>1.57871823392282E-006</v>
      </c>
      <c r="BD106" s="57" t="n">
        <f aca="false">AV106*f_mi_fatal</f>
        <v>4.67591200175084E-008</v>
      </c>
      <c r="BE106" s="57" t="n">
        <f aca="false">AV106-BD106</f>
        <v>3.39679888391652E-007</v>
      </c>
      <c r="BF106" s="57" t="n">
        <f aca="false">AL106-AS106-AT106-AU106-BD106</f>
        <v>0.000172088723613712</v>
      </c>
      <c r="BG106" s="19" t="n">
        <f aca="false">AY106*c_stroke_fatal+AZ106*c_stroke_major+BA106*c_stroke_minor+AT106*c_ich+AU106*c_major_bleed+BD106*c_mi_fatal+BE106*c_mi_nonfatal+AW106*c_tia+AX106*c_minor_bleed</f>
        <v>0.266805158180324</v>
      </c>
      <c r="BH106" s="57" t="n">
        <f aca="false">dt*(BE106*dec_mi+BC106*dec_major_bleed+AX106*dec_minor_bleed+AW106*dec_tia)</f>
        <v>7.78796033068198E-008</v>
      </c>
      <c r="BI106" s="57" t="n">
        <f aca="false">H106*AK106+AY106+AT106-BB106+AU106-BC106+BD106</f>
        <v>7.74801896804543E-005</v>
      </c>
      <c r="BJ106" s="57" t="n">
        <f aca="false">1-EXP(LN(1-E106)*hr_death_prior_stroke*dt)</f>
        <v>0.29193414982471</v>
      </c>
      <c r="BK106" s="57" t="n">
        <f aca="false">I106*(1-BJ106)</f>
        <v>9.39151537117583E-005</v>
      </c>
      <c r="BL106" s="57" t="n">
        <f aca="false">(1-EXP(-r_stroke*F106*rr_stroke_prior*rr_asa_stroke*dt))</f>
        <v>0.0388286565679616</v>
      </c>
      <c r="BM106" s="57" t="n">
        <f aca="false">(1-EXP(-r_ich*rr_asa_ich*dt))</f>
        <v>0.00102357767802375</v>
      </c>
      <c r="BN106" s="57" t="n">
        <f aca="false">(1-EXP(-r_mb*rr_asa_mb*dt))</f>
        <v>0.00951809672747972</v>
      </c>
      <c r="BO106" s="57" t="n">
        <f aca="false">(1-EXP(-r_mi*rr_asa_mi*dt))</f>
        <v>0.00213413516393479</v>
      </c>
      <c r="BP106" s="57" t="n">
        <f aca="false">(1-EXP(-r_tia*rr_asa_tia*dt))</f>
        <v>0.00312764565589152</v>
      </c>
      <c r="BQ106" s="57" t="n">
        <f aca="false">(1-EXP(-r_minor*rr_asa_minor*dt))</f>
        <v>0.0278181950466747</v>
      </c>
      <c r="BR106" s="57" t="n">
        <f aca="false">BK106*BL106</f>
        <v>3.64659925000119E-006</v>
      </c>
      <c r="BS106" s="57" t="n">
        <f aca="false">BK106*BM106</f>
        <v>9.61294549675247E-008</v>
      </c>
      <c r="BT106" s="57" t="n">
        <f aca="false">BK106*BN106</f>
        <v>8.93893517204641E-007</v>
      </c>
      <c r="BU106" s="57" t="n">
        <f aca="false">BK106*BO106</f>
        <v>2.00427631962604E-007</v>
      </c>
      <c r="BV106" s="57" t="n">
        <f aca="false">BK106*BP106</f>
        <v>2.93733322528965E-007</v>
      </c>
      <c r="BW106" s="57" t="n">
        <f aca="false">BK106*BQ106</f>
        <v>2.61255006379213E-006</v>
      </c>
      <c r="BX106" s="57" t="n">
        <f aca="false">BR106*f_stroke_fatal_recur</f>
        <v>1.35686311493294E-006</v>
      </c>
      <c r="BY106" s="57" t="n">
        <f aca="false">BR106*(1-f_stroke_fatal_recur)*f_stroke_major</f>
        <v>7.62482132977726E-007</v>
      </c>
      <c r="BZ106" s="57" t="n">
        <f aca="false">BR106*(1-f_stroke_fatal_recur)*(1-f_stroke_major)</f>
        <v>1.52725400209052E-006</v>
      </c>
      <c r="CA106" s="57" t="n">
        <f aca="false">BS106*(1-f_bleed_fatal)</f>
        <v>8.80545807502527E-008</v>
      </c>
      <c r="CB106" s="57" t="n">
        <f aca="false">BT106*(1-f_bleed_fatal)</f>
        <v>8.18806461759452E-007</v>
      </c>
      <c r="CC106" s="57" t="n">
        <f aca="false">BU106*f_mi_fatal</f>
        <v>2.42517434674751E-008</v>
      </c>
      <c r="CD106" s="57" t="n">
        <f aca="false">BU106-CC106</f>
        <v>1.76175888495129E-007</v>
      </c>
      <c r="CE106" s="57" t="n">
        <f aca="false">BK106-BR106-BS106-BT106-CC106</f>
        <v>8.92542797461175E-005</v>
      </c>
      <c r="CF106" s="19" t="n">
        <f aca="false">BX106*c_stroke_fatal+BY106*c_stroke_major+BZ106*c_stroke_minor+BS106*c_ich+BT106*c_major_bleed+CC106*c_mi_fatal+CD106*c_mi_nonfatal+BV106*c_tia+BW106*c_minor_bleed</f>
        <v>0.138379213500287</v>
      </c>
      <c r="CG106" s="57" t="n">
        <f aca="false">dt*(CD106*dec_mi+CB106*dec_major_bleed+BW106*dec_minor_bleed+BV106*dec_tia)</f>
        <v>4.03924658983854E-008</v>
      </c>
      <c r="CH106" s="57" t="n">
        <f aca="false">I106*BJ106+BX106+BS106-CA106+BT106-CB106+CC106</f>
        <v>4.01853089458936E-005</v>
      </c>
      <c r="CI106" s="57" t="n">
        <f aca="false">1-EXP(LN(1-E106)*dt)</f>
        <v>0.139373667543085</v>
      </c>
      <c r="CJ106" s="57" t="n">
        <f aca="false">J106*(1-CI106)</f>
        <v>0.00175716378768581</v>
      </c>
      <c r="CK106" s="57" t="n">
        <f aca="false">(1-EXP(-r_stroke*F106*rr_asa_stroke*dt))</f>
        <v>0.0178401234165232</v>
      </c>
      <c r="CL106" s="57" t="n">
        <f aca="false">(1-EXP(-r_ich*rr_asa_ich*dt))</f>
        <v>0.00102357767802375</v>
      </c>
      <c r="CM106" s="57" t="n">
        <f aca="false">(1-EXP(-r_mb*rr_asa_mb*dt))</f>
        <v>0.00951809672747972</v>
      </c>
      <c r="CN106" s="57" t="n">
        <f aca="false">(1-EXP(-r_mi*rr_asa_mi*dt))</f>
        <v>0.00213413516393479</v>
      </c>
      <c r="CO106" s="57" t="n">
        <f aca="false">(1-EXP(-r_tia*rr_asa_tia*dt))</f>
        <v>0.00312764565589152</v>
      </c>
      <c r="CP106" s="57" t="n">
        <f aca="false">(1-EXP(-r_minor*rr_asa_minor*dt))</f>
        <v>0.0278181950466747</v>
      </c>
      <c r="CQ106" s="57" t="n">
        <f aca="false">CJ106*CK106</f>
        <v>3.13480188353602E-005</v>
      </c>
      <c r="CR106" s="57" t="n">
        <f aca="false">CJ106*CL106</f>
        <v>1.79859362970685E-006</v>
      </c>
      <c r="CS106" s="57" t="n">
        <f aca="false">CJ106*CM106</f>
        <v>1.67248548972182E-005</v>
      </c>
      <c r="CT106" s="57" t="n">
        <f aca="false">CJ106*CN106</f>
        <v>3.75002502809313E-006</v>
      </c>
      <c r="CU106" s="57" t="n">
        <f aca="false">CJ106*CO106</f>
        <v>5.49578568724541E-006</v>
      </c>
      <c r="CV106" s="57" t="n">
        <f aca="false">CJ106*CP106</f>
        <v>4.88811249747975E-005</v>
      </c>
      <c r="CW106" s="57" t="n">
        <f aca="false">CQ106*f_stroke_fatal</f>
        <v>7.42948046398036E-006</v>
      </c>
      <c r="CX106" s="57" t="n">
        <f aca="false">CQ106*(1-f_stroke_fatal)*f_stroke_major</f>
        <v>7.96487327766948E-006</v>
      </c>
      <c r="CY106" s="57" t="n">
        <f aca="false">CQ106*(1-f_stroke_fatal)*(1-f_stroke_major)</f>
        <v>1.59536650937103E-005</v>
      </c>
      <c r="CZ106" s="57" t="n">
        <f aca="false">CR106*(1-f_bleed_fatal)</f>
        <v>1.64751176481148E-006</v>
      </c>
      <c r="DA106" s="57" t="n">
        <f aca="false">CS106*(1-f_bleed_fatal)</f>
        <v>1.53199670858518E-005</v>
      </c>
      <c r="DB106" s="57" t="n">
        <f aca="false">CT106*f_mi_fatal</f>
        <v>4.53753028399269E-007</v>
      </c>
      <c r="DC106" s="57" t="n">
        <f aca="false">CT106-DB106</f>
        <v>3.29627199969386E-006</v>
      </c>
      <c r="DD106" s="57" t="n">
        <f aca="false">CJ106-CQ106-CR106-CS106-DB106</f>
        <v>0.00170683856729512</v>
      </c>
      <c r="DE106" s="19" t="n">
        <f aca="false">CW106*c_stroke_fatal+CX106*c_stroke_major+CY106*c_stroke_minor+CR106*c_ich+CS106*c_major_bleed+DB106*c_mi_fatal+DC106*c_mi_nonfatal+CU106*c_tia+CV106*c_minor_bleed</f>
        <v>1.39485163821537</v>
      </c>
      <c r="DF106" s="57" t="n">
        <f aca="false">dt*(DC106*dec_mi+DA106*dec_major_bleed+CV106*dec_minor_bleed+CU106*dec_tia)</f>
        <v>7.55747880579687E-007</v>
      </c>
      <c r="DG106" s="57" t="n">
        <f aca="false">J106*CI106+CW106+CR106-CZ106+CS106-DA106+DB106</f>
        <v>0.00029400214567648</v>
      </c>
      <c r="DH106" s="57" t="n">
        <f aca="false">AG106</f>
        <v>0.0029307538696757</v>
      </c>
      <c r="DI106" s="57" t="n">
        <f aca="false">AB106+AC106+BF106+BA106+BB106+BC106+CY106+CZ106</f>
        <v>0.000209954560514304</v>
      </c>
      <c r="DJ106" s="57" t="n">
        <f aca="false">AA106+AZ106+BY106+CX106+CE106+BZ106+CA106+CB106</f>
        <v>0.000108510508967076</v>
      </c>
      <c r="DK106" s="57" t="n">
        <f aca="false">AD106+DD106+DA106</f>
        <v>0.00174043085487991</v>
      </c>
      <c r="DL106" s="57" t="n">
        <f aca="false">K106+AJ106+BI106+CH106+DG106</f>
        <v>0.995010350205963</v>
      </c>
      <c r="DM106" s="58" t="n">
        <f aca="false">SUM(DH106:DL106)</f>
        <v>1</v>
      </c>
      <c r="DN106" s="19" t="n">
        <f aca="false">dt*(G106*Apixaban!$H$2+(H106+I106+J106)*c_aspirin)</f>
        <v>0.281951728464149</v>
      </c>
      <c r="DO106" s="19" t="n">
        <f aca="false">dt*(H106*c_lt_minor_stroke+I106*c_lt_major_stroke)</f>
        <v>1.55726402056945</v>
      </c>
      <c r="DP106" s="19" t="n">
        <f aca="false">AH106+BG106+CF106+DE106</f>
        <v>3.05292566210232</v>
      </c>
      <c r="DQ106" s="19" t="n">
        <f aca="false">DN106+DO106+DP106</f>
        <v>4.89214141113592</v>
      </c>
      <c r="DR106" s="57" t="n">
        <f aca="false">dt*(G106*(u_af-dec_per_year_over_70*MAX(B106-ref_age,0))+H106*(u_minor_stroke-dec_per_year_over_70*MAX(B106-ref_age,0))+I106*(u_major_stroke-dec_per_year_over_70*MAX(B106-ref_age,0))+J106*(u_af-dec_per_year_over_70*MAX(B106-ref_age,0)))-AI106-BH106-CG106-DF106</f>
        <v>0.00116088773457997</v>
      </c>
      <c r="DS106" s="57" t="n">
        <f aca="false">dt*(G106+H106+I106+J106)</f>
        <v>0.00147310428558383</v>
      </c>
      <c r="DT106" s="19" t="n">
        <f aca="false">DQ106*C106</f>
        <v>3.37169239164325</v>
      </c>
      <c r="DU106" s="19" t="n">
        <f aca="false">DN106*C106</f>
        <v>0.194322775606868</v>
      </c>
      <c r="DV106" s="19" t="n">
        <f aca="false">DP106*C106</f>
        <v>2.10409417105805</v>
      </c>
      <c r="DW106" s="19" t="n">
        <f aca="false">DO106*C106</f>
        <v>1.07327544497833</v>
      </c>
      <c r="DX106" s="57" t="n">
        <f aca="false">DR106*C106</f>
        <v>0.000800090596998178</v>
      </c>
      <c r="DY106" s="57" t="n">
        <f aca="false">DS106*C106</f>
        <v>0.0010152720648046</v>
      </c>
      <c r="DZ106" s="57" t="n">
        <f aca="false">T106+AS106+BR106+CQ106</f>
        <v>6.80986681704469E-005</v>
      </c>
      <c r="EA106" s="57" t="n">
        <f aca="false">U106+AT106+BS106+CR106</f>
        <v>4.59353934214572E-006</v>
      </c>
      <c r="EB106" s="57" t="n">
        <f aca="false">V106+AU106+BT106+CS106</f>
        <v>3.92901880791156E-005</v>
      </c>
      <c r="EC106" s="57" t="n">
        <f aca="false">G106*dt*C106</f>
        <v>0.000596563135892068</v>
      </c>
    </row>
    <row r="107" customFormat="false" ht="15" hidden="false" customHeight="false" outlineLevel="0" collapsed="false">
      <c r="A107" s="8" t="n">
        <v>101</v>
      </c>
      <c r="B107" s="54" t="n">
        <f aca="false">start_age+A107*dt</f>
        <v>95.25</v>
      </c>
      <c r="C107" s="16" t="n">
        <f aca="false">(1+disc_rate)^-(A107*dt)</f>
        <v>0.686645270740947</v>
      </c>
      <c r="D107" s="55" t="n">
        <f aca="false">IF(A107*dt&gt;=wane_start,(1-wane_decay)^(A107*dt-wane_start),1)</f>
        <v>1</v>
      </c>
      <c r="E107" s="25" t="n">
        <f aca="false">MIN(p_nonvasc_death*MIN(EXP(gomp_int+gomp_slope*INT(B107)),1)/qx_ref,0.999)</f>
        <v>0.451396568249239</v>
      </c>
      <c r="F107" s="55" t="n">
        <f aca="false">rr_stroke_per_decade^((B107-ref_age)/10)</f>
        <v>2.78375127602585</v>
      </c>
      <c r="G107" s="57" t="n">
        <f aca="false">DH106</f>
        <v>0.0029307538696757</v>
      </c>
      <c r="H107" s="57" t="n">
        <f aca="false">DI106</f>
        <v>0.000209954560514304</v>
      </c>
      <c r="I107" s="57" t="n">
        <f aca="false">DJ106</f>
        <v>0.000108510508967076</v>
      </c>
      <c r="J107" s="57" t="n">
        <f aca="false">DK106</f>
        <v>0.00174043085487991</v>
      </c>
      <c r="K107" s="57" t="n">
        <f aca="false">DL106</f>
        <v>0.995010350205963</v>
      </c>
      <c r="L107" s="57" t="n">
        <f aca="false">1-EXP(LN(1-E107)*dt)</f>
        <v>0.139373667543085</v>
      </c>
      <c r="M107" s="57" t="n">
        <f aca="false">G107*(1-L107)</f>
        <v>0.00252228395419291</v>
      </c>
      <c r="N107" s="57" t="n">
        <f aca="false">IF(Apixaban!$B$2=1,EXP(LN(or_apx_stroke)*D107)*(1-EXP(-r_stroke*F107*dt))/(1-(1-EXP(-r_stroke*F107*dt))+EXP(LN(or_apx_stroke)*D107)*(1-EXP(-r_stroke*F107*dt))),(1-EXP(-r_stroke*F107*dt)))</f>
        <v>0.00883892120879147</v>
      </c>
      <c r="O107" s="57" t="n">
        <f aca="false">IF(Apixaban!$B$2=1,EXP(LN(or_apx_ich)*D107)*(1-EXP(-r_ich*dt))/(1-(1-EXP(-r_ich*dt))+EXP(LN(or_apx_ich)*D107)*(1-EXP(-r_ich*dt))),(1-EXP(-r_ich*dt)))</f>
        <v>0.000843513249640701</v>
      </c>
      <c r="P107" s="57" t="n">
        <f aca="false">IF(Apixaban!$B$2=1,EXP(LN(or_apx_mb)*D107)*(1-EXP(-r_mb*dt))/(1-(1-EXP(-r_mb*dt))+EXP(LN(or_apx_mb)*D107)*(1-EXP(-r_mb*dt))),(1-EXP(-r_mb*dt)))</f>
        <v>0.00669446907979895</v>
      </c>
      <c r="Q107" s="57" t="n">
        <f aca="false">IF(Apixaban!$B$2=1,EXP(LN(or_apx_mi)*D107)*(1-EXP(-r_mi*dt))/(1-(1-EXP(-r_mi*dt))+EXP(LN(or_apx_mi)*D107)*(1-EXP(-r_mi*dt))),(1-EXP(-r_mi*dt)))</f>
        <v>0.00132321915530843</v>
      </c>
      <c r="R107" s="57" t="n">
        <f aca="false">(1-EXP(-r_tia*dt))</f>
        <v>0.0020060281549299</v>
      </c>
      <c r="S107" s="57" t="n">
        <f aca="false">(1-EXP(-r_minor*dt))</f>
        <v>0.0437937690785545</v>
      </c>
      <c r="T107" s="57" t="n">
        <f aca="false">M107*N107</f>
        <v>2.22942691373102E-005</v>
      </c>
      <c r="U107" s="57" t="n">
        <f aca="false">M107*O107</f>
        <v>2.12757993471786E-006</v>
      </c>
      <c r="V107" s="57" t="n">
        <f aca="false">M107*P107</f>
        <v>1.68853519418175E-005</v>
      </c>
      <c r="W107" s="57" t="n">
        <f aca="false">M107*Q107</f>
        <v>3.33753444331515E-006</v>
      </c>
      <c r="X107" s="57" t="n">
        <f aca="false">M107*R107</f>
        <v>5.05977262683889E-006</v>
      </c>
      <c r="Y107" s="57" t="n">
        <f aca="false">M107*S107</f>
        <v>0.000110460321040468</v>
      </c>
      <c r="Z107" s="57" t="n">
        <f aca="false">T107*f_stroke_fatal</f>
        <v>5.28374178554251E-006</v>
      </c>
      <c r="AA107" s="57" t="n">
        <f aca="false">T107*(1-f_stroke_fatal)*f_stroke_major</f>
        <v>5.66450560813863E-006</v>
      </c>
      <c r="AB107" s="57" t="n">
        <f aca="false">T107*(1-f_stroke_fatal)*(1-f_stroke_major)</f>
        <v>1.1346021743629E-005</v>
      </c>
      <c r="AC107" s="57" t="n">
        <f aca="false">U107*(1-f_bleed_fatal)</f>
        <v>1.94886322020156E-006</v>
      </c>
      <c r="AD107" s="57" t="n">
        <f aca="false">V107*(1-f_bleed_fatal)</f>
        <v>1.54669823787048E-005</v>
      </c>
      <c r="AE107" s="57" t="n">
        <f aca="false">W107*f_mi_fatal</f>
        <v>4.03841667641133E-007</v>
      </c>
      <c r="AF107" s="57" t="n">
        <f aca="false">W107-AE107</f>
        <v>2.93369277567402E-006</v>
      </c>
      <c r="AG107" s="57" t="n">
        <f aca="false">M107-T107-U107-V107-AE107</f>
        <v>0.00248057291151143</v>
      </c>
      <c r="AH107" s="19" t="n">
        <f aca="false">Z107*c_stroke_fatal+AA107*c_stroke_major+AB107*c_stroke_minor+U107*c_ich+V107*c_major_bleed+AE107*c_mi_fatal+AF107*c_mi_nonfatal+X107*c_tia+Y107*c_minor_bleed</f>
        <v>1.06881499018777</v>
      </c>
      <c r="AI107" s="57" t="n">
        <f aca="false">dt*(AF107*dec_mi+AD107*dec_major_bleed+Y107*dec_minor_bleed+X107*dec_tia)</f>
        <v>9.36703682472645E-007</v>
      </c>
      <c r="AJ107" s="57" t="n">
        <f aca="false">G107*L107+Z107+U107-AC107+V107-AD107+AE107</f>
        <v>0.000415754585213602</v>
      </c>
      <c r="AK107" s="57" t="n">
        <f aca="false">1-EXP(LN(1-E107)*hr_death_prior_stroke*dt)</f>
        <v>0.29193414982471</v>
      </c>
      <c r="AL107" s="57" t="n">
        <f aca="false">H107*(1-AK107)</f>
        <v>0.00014866165438874</v>
      </c>
      <c r="AM107" s="57" t="n">
        <f aca="false">(1-EXP(-r_stroke*F107*rr_stroke_prior*rr_asa_stroke*dt))</f>
        <v>0.0392163900242437</v>
      </c>
      <c r="AN107" s="57" t="n">
        <f aca="false">(1-EXP(-r_ich*rr_asa_ich*dt))</f>
        <v>0.00102357767802375</v>
      </c>
      <c r="AO107" s="57" t="n">
        <f aca="false">(1-EXP(-r_mb*rr_asa_mb*dt))</f>
        <v>0.00951809672747972</v>
      </c>
      <c r="AP107" s="57" t="n">
        <f aca="false">(1-EXP(-r_mi*rr_asa_mi*dt))</f>
        <v>0.00213413516393479</v>
      </c>
      <c r="AQ107" s="57" t="n">
        <f aca="false">(1-EXP(-r_tia*rr_asa_tia*dt))</f>
        <v>0.00312764565589152</v>
      </c>
      <c r="AR107" s="57" t="n">
        <f aca="false">(1-EXP(-r_minor*rr_asa_minor*dt))</f>
        <v>0.0278181950466747</v>
      </c>
      <c r="AS107" s="57" t="n">
        <f aca="false">AL107*AM107</f>
        <v>5.82997342015816E-006</v>
      </c>
      <c r="AT107" s="57" t="n">
        <f aca="false">AL107*AN107</f>
        <v>1.52166751010395E-007</v>
      </c>
      <c r="AU107" s="57" t="n">
        <f aca="false">AL107*AO107</f>
        <v>1.41497600613919E-006</v>
      </c>
      <c r="AV107" s="57" t="n">
        <f aca="false">AL107*AP107</f>
        <v>3.17264064159732E-007</v>
      </c>
      <c r="AW107" s="57" t="n">
        <f aca="false">AL107*AQ107</f>
        <v>4.6496097754659E-007</v>
      </c>
      <c r="AX107" s="57" t="n">
        <f aca="false">AL107*AR107</f>
        <v>4.13549889774732E-006</v>
      </c>
      <c r="AY107" s="57" t="n">
        <f aca="false">AS107*f_stroke_fatal_recur</f>
        <v>2.16927480990665E-006</v>
      </c>
      <c r="AZ107" s="57" t="n">
        <f aca="false">AS107*(1-f_stroke_fatal_recur)*f_stroke_major</f>
        <v>1.21901263721375E-006</v>
      </c>
      <c r="BA107" s="57" t="n">
        <f aca="false">AS107*(1-f_stroke_fatal_recur)*(1-f_stroke_major)</f>
        <v>2.44168597303776E-006</v>
      </c>
      <c r="BB107" s="57" t="n">
        <f aca="false">AT107*(1-f_bleed_fatal)</f>
        <v>1.39384743925522E-007</v>
      </c>
      <c r="BC107" s="57" t="n">
        <f aca="false">AU107*(1-f_bleed_fatal)</f>
        <v>1.2961180216235E-006</v>
      </c>
      <c r="BD107" s="57" t="n">
        <f aca="false">AV107*f_mi_fatal</f>
        <v>3.83889517633275E-008</v>
      </c>
      <c r="BE107" s="57" t="n">
        <f aca="false">AV107-BD107</f>
        <v>2.78875112396404E-007</v>
      </c>
      <c r="BF107" s="57" t="n">
        <f aca="false">AL107-AS107-AT107-AU107-BD107</f>
        <v>0.000141226149259669</v>
      </c>
      <c r="BG107" s="19" t="n">
        <f aca="false">AY107*c_stroke_fatal+AZ107*c_stroke_major+BA107*c_stroke_minor+AT107*c_ich+AU107*c_major_bleed+BD107*c_mi_fatal+BE107*c_mi_nonfatal+AW107*c_tia+AX107*c_minor_bleed</f>
        <v>0.221032838009571</v>
      </c>
      <c r="BH107" s="57" t="n">
        <f aca="false">dt*(BE107*dec_mi+BC107*dec_major_bleed+AX107*dec_minor_bleed+AW107*dec_tia)</f>
        <v>6.39386783492316E-008</v>
      </c>
      <c r="BI107" s="57" t="n">
        <f aca="false">H107*AK107+AY107+AT107-BB107+AU107-BC107+BD107</f>
        <v>6.36322098788346E-005</v>
      </c>
      <c r="BJ107" s="57" t="n">
        <f aca="false">1-EXP(LN(1-E107)*hr_death_prior_stroke*dt)</f>
        <v>0.29193414982471</v>
      </c>
      <c r="BK107" s="57" t="n">
        <f aca="false">I107*(1-BJ107)</f>
        <v>7.68325857847259E-005</v>
      </c>
      <c r="BL107" s="57" t="n">
        <f aca="false">(1-EXP(-r_stroke*F107*rr_stroke_prior*rr_asa_stroke*dt))</f>
        <v>0.0392163900242437</v>
      </c>
      <c r="BM107" s="57" t="n">
        <f aca="false">(1-EXP(-r_ich*rr_asa_ich*dt))</f>
        <v>0.00102357767802375</v>
      </c>
      <c r="BN107" s="57" t="n">
        <f aca="false">(1-EXP(-r_mb*rr_asa_mb*dt))</f>
        <v>0.00951809672747972</v>
      </c>
      <c r="BO107" s="57" t="n">
        <f aca="false">(1-EXP(-r_mi*rr_asa_mi*dt))</f>
        <v>0.00213413516393479</v>
      </c>
      <c r="BP107" s="57" t="n">
        <f aca="false">(1-EXP(-r_tia*rr_asa_tia*dt))</f>
        <v>0.00312764565589152</v>
      </c>
      <c r="BQ107" s="57" t="n">
        <f aca="false">(1-EXP(-r_minor*rr_asa_minor*dt))</f>
        <v>0.0278181950466747</v>
      </c>
      <c r="BR107" s="57" t="n">
        <f aca="false">BK107*BL107</f>
        <v>3.01309665070498E-006</v>
      </c>
      <c r="BS107" s="57" t="n">
        <f aca="false">BK107*BM107</f>
        <v>7.86441197540901E-008</v>
      </c>
      <c r="BT107" s="57" t="n">
        <f aca="false">BK107*BN107</f>
        <v>7.31299983321405E-007</v>
      </c>
      <c r="BU107" s="57" t="n">
        <f aca="false">BK107*BO107</f>
        <v>1.6397112305922E-007</v>
      </c>
      <c r="BV107" s="57" t="n">
        <f aca="false">BK107*BP107</f>
        <v>2.40305103160511E-007</v>
      </c>
      <c r="BW107" s="57" t="n">
        <f aca="false">BK107*BQ107</f>
        <v>2.13734385729987E-006</v>
      </c>
      <c r="BX107" s="57" t="n">
        <f aca="false">BR107*f_stroke_fatal_recur</f>
        <v>1.12114313276081E-006</v>
      </c>
      <c r="BY107" s="57" t="n">
        <f aca="false">BR107*(1-f_stroke_fatal_recur)*f_stroke_major</f>
        <v>6.30020521475406E-007</v>
      </c>
      <c r="BZ107" s="57" t="n">
        <f aca="false">BR107*(1-f_stroke_fatal_recur)*(1-f_stroke_major)</f>
        <v>1.26193299646876E-006</v>
      </c>
      <c r="CA107" s="57" t="n">
        <f aca="false">BS107*(1-f_bleed_fatal)</f>
        <v>7.20380136947465E-008</v>
      </c>
      <c r="CB107" s="57" t="n">
        <f aca="false">BT107*(1-f_bleed_fatal)</f>
        <v>6.69870784722407E-007</v>
      </c>
      <c r="CC107" s="57" t="n">
        <f aca="false">BU107*f_mi_fatal</f>
        <v>1.98405058901656E-008</v>
      </c>
      <c r="CD107" s="57" t="n">
        <f aca="false">BU107-CC107</f>
        <v>1.44130617169054E-007</v>
      </c>
      <c r="CE107" s="57" t="n">
        <f aca="false">BK107-BR107-BS107-BT107-CC107</f>
        <v>7.29897045250553E-005</v>
      </c>
      <c r="CF107" s="19" t="n">
        <f aca="false">BX107*c_stroke_fatal+BY107*c_stroke_major+BZ107*c_stroke_minor+BS107*c_ich+BT107*c_major_bleed+CC107*c_mi_fatal+CD107*c_mi_nonfatal+BV107*c_tia+BW107*c_minor_bleed</f>
        <v>0.114236078950148</v>
      </c>
      <c r="CG107" s="57" t="n">
        <f aca="false">dt*(CD107*dec_mi+CB107*dec_major_bleed+BW107*dec_minor_bleed+BV107*dec_tia)</f>
        <v>3.3045333777756E-008</v>
      </c>
      <c r="CH107" s="57" t="n">
        <f aca="false">I107*BJ107+BX107+BS107-CA107+BT107-CB107+CC107</f>
        <v>3.28869421256592E-005</v>
      </c>
      <c r="CI107" s="57" t="n">
        <f aca="false">1-EXP(LN(1-E107)*dt)</f>
        <v>0.139373667543085</v>
      </c>
      <c r="CJ107" s="57" t="n">
        <f aca="false">J107*(1-CI107)</f>
        <v>0.00149786062353015</v>
      </c>
      <c r="CK107" s="57" t="n">
        <f aca="false">(1-EXP(-r_stroke*F107*rr_asa_stroke*dt))</f>
        <v>0.0180202342172476</v>
      </c>
      <c r="CL107" s="57" t="n">
        <f aca="false">(1-EXP(-r_ich*rr_asa_ich*dt))</f>
        <v>0.00102357767802375</v>
      </c>
      <c r="CM107" s="57" t="n">
        <f aca="false">(1-EXP(-r_mb*rr_asa_mb*dt))</f>
        <v>0.00951809672747972</v>
      </c>
      <c r="CN107" s="57" t="n">
        <f aca="false">(1-EXP(-r_mi*rr_asa_mi*dt))</f>
        <v>0.00213413516393479</v>
      </c>
      <c r="CO107" s="57" t="n">
        <f aca="false">(1-EXP(-r_tia*rr_asa_tia*dt))</f>
        <v>0.00312764565589152</v>
      </c>
      <c r="CP107" s="57" t="n">
        <f aca="false">(1-EXP(-r_minor*rr_asa_minor*dt))</f>
        <v>0.0278181950466747</v>
      </c>
      <c r="CQ107" s="57" t="n">
        <f aca="false">CJ107*CK107</f>
        <v>2.69917992608059E-005</v>
      </c>
      <c r="CR107" s="57" t="n">
        <f aca="false">CJ107*CL107</f>
        <v>1.53317669903619E-006</v>
      </c>
      <c r="CS107" s="57" t="n">
        <f aca="false">CJ107*CM107</f>
        <v>1.42567822990431E-005</v>
      </c>
      <c r="CT107" s="57" t="n">
        <f aca="false">CJ107*CN107</f>
        <v>3.19663702734899E-006</v>
      </c>
      <c r="CU107" s="57" t="n">
        <f aca="false">CJ107*CO107</f>
        <v>4.68477727231505E-006</v>
      </c>
      <c r="CV107" s="57" t="n">
        <f aca="false">CJ107*CP107</f>
        <v>4.16677789780956E-005</v>
      </c>
      <c r="CW107" s="57" t="n">
        <f aca="false">CQ107*f_stroke_fatal</f>
        <v>6.397056424811E-006</v>
      </c>
      <c r="CX107" s="57" t="n">
        <f aca="false">CQ107*(1-f_stroke_fatal)*f_stroke_major</f>
        <v>6.85804936438631E-006</v>
      </c>
      <c r="CY107" s="57" t="n">
        <f aca="false">CQ107*(1-f_stroke_fatal)*(1-f_stroke_major)</f>
        <v>1.37366934716086E-005</v>
      </c>
      <c r="CZ107" s="57" t="n">
        <f aca="false">CR107*(1-f_bleed_fatal)</f>
        <v>1.40438985631715E-006</v>
      </c>
      <c r="DA107" s="57" t="n">
        <f aca="false">CS107*(1-f_bleed_fatal)</f>
        <v>1.30592125859235E-005</v>
      </c>
      <c r="DB107" s="57" t="n">
        <f aca="false">CT107*f_mi_fatal</f>
        <v>3.86793080309228E-007</v>
      </c>
      <c r="DC107" s="57" t="n">
        <f aca="false">CT107-DB107</f>
        <v>2.80984394703976E-006</v>
      </c>
      <c r="DD107" s="57" t="n">
        <f aca="false">CJ107-CQ107-CR107-CS107-DB107</f>
        <v>0.00145469207219096</v>
      </c>
      <c r="DE107" s="19" t="n">
        <f aca="false">CW107*c_stroke_fatal+CX107*c_stroke_major+CY107*c_stroke_minor+CR107*c_ich+CS107*c_major_bleed+DB107*c_mi_fatal+DC107*c_mi_nonfatal+CU107*c_tia+CV107*c_minor_bleed</f>
        <v>1.19898233371975</v>
      </c>
      <c r="DF107" s="57" t="n">
        <f aca="false">dt*(DC107*dec_mi+DA107*dec_major_bleed+CV107*dec_minor_bleed+CU107*dec_tia)</f>
        <v>6.44222809262155E-007</v>
      </c>
      <c r="DG107" s="57" t="n">
        <f aca="false">J107*CI107+CW107+CR107-CZ107+CS107-DA107+DB107</f>
        <v>0.000250680437410718</v>
      </c>
      <c r="DH107" s="57" t="n">
        <f aca="false">AG107</f>
        <v>0.00248057291151143</v>
      </c>
      <c r="DI107" s="57" t="n">
        <f aca="false">AB107+AC107+BF107+BA107+BB107+BC107+CY107+CZ107</f>
        <v>0.000173539306290012</v>
      </c>
      <c r="DJ107" s="57" t="n">
        <f aca="false">AA107+AZ107+BY107+CX107+CE107+BZ107+CA107+CB107</f>
        <v>8.93651344511553E-005</v>
      </c>
      <c r="DK107" s="57" t="n">
        <f aca="false">AD107+DD107+DA107</f>
        <v>0.00148321826715559</v>
      </c>
      <c r="DL107" s="57" t="n">
        <f aca="false">K107+AJ107+BI107+CH107+DG107</f>
        <v>0.995773304380591</v>
      </c>
      <c r="DM107" s="58" t="n">
        <f aca="false">SUM(DH107:DL107)</f>
        <v>0.999999999999999</v>
      </c>
      <c r="DN107" s="19" t="n">
        <f aca="false">dt*(G107*Apixaban!$H$2+(H107+I107+J107)*c_aspirin)</f>
        <v>0.238682317375352</v>
      </c>
      <c r="DO107" s="19" t="n">
        <f aca="false">dt*(H107*c_lt_minor_stroke+I107*c_lt_major_stroke)</f>
        <v>1.27600385090196</v>
      </c>
      <c r="DP107" s="19" t="n">
        <f aca="false">AH107+BG107+CF107+DE107</f>
        <v>2.60306624086723</v>
      </c>
      <c r="DQ107" s="19" t="n">
        <f aca="false">DN107+DO107+DP107</f>
        <v>4.11775240914454</v>
      </c>
      <c r="DR107" s="57" t="n">
        <f aca="false">dt*(G107*(u_af-dec_per_year_over_70*MAX(B107-ref_age,0))+H107*(u_minor_stroke-dec_per_year_over_70*MAX(B107-ref_age,0))+I107*(u_major_stroke-dec_per_year_over_70*MAX(B107-ref_age,0))+J107*(u_af-dec_per_year_over_70*MAX(B107-ref_age,0)))-AI107-BH107-CG107-DF107</f>
        <v>0.000983491947481485</v>
      </c>
      <c r="DS107" s="57" t="n">
        <f aca="false">dt*(G107+H107+I107+J107)</f>
        <v>0.00124741244850925</v>
      </c>
      <c r="DT107" s="19" t="n">
        <f aca="false">DQ107*C107</f>
        <v>2.82743521782124</v>
      </c>
      <c r="DU107" s="19" t="n">
        <f aca="false">DN107*C107</f>
        <v>0.163890084435275</v>
      </c>
      <c r="DV107" s="19" t="n">
        <f aca="false">DP107*C107</f>
        <v>1.7873831237169</v>
      </c>
      <c r="DW107" s="19" t="n">
        <f aca="false">DO107*C107</f>
        <v>0.876162009669064</v>
      </c>
      <c r="DX107" s="57" t="n">
        <f aca="false">DR107*C107</f>
        <v>0.000675310094549965</v>
      </c>
      <c r="DY107" s="57" t="n">
        <f aca="false">DS107*C107</f>
        <v>0.00085652985843226</v>
      </c>
      <c r="DZ107" s="57" t="n">
        <f aca="false">T107+AS107+BR107+CQ107</f>
        <v>5.81291384689792E-005</v>
      </c>
      <c r="EA107" s="57" t="n">
        <f aca="false">U107+AT107+BS107+CR107</f>
        <v>3.89156750451854E-006</v>
      </c>
      <c r="EB107" s="57" t="n">
        <f aca="false">V107+AU107+BT107+CS107</f>
        <v>3.32884102303212E-005</v>
      </c>
      <c r="EC107" s="57" t="n">
        <f aca="false">G107*dt*C107</f>
        <v>0.000503097071079637</v>
      </c>
    </row>
    <row r="108" customFormat="false" ht="15" hidden="false" customHeight="false" outlineLevel="0" collapsed="false">
      <c r="A108" s="8" t="n">
        <v>102</v>
      </c>
      <c r="B108" s="54" t="n">
        <f aca="false">start_age+A108*dt</f>
        <v>95.5</v>
      </c>
      <c r="C108" s="16" t="n">
        <f aca="false">(1+disc_rate)^-(A108*dt)</f>
        <v>0.684094222543048</v>
      </c>
      <c r="D108" s="55" t="n">
        <f aca="false">IF(A108*dt&gt;=wane_start,(1-wane_decay)^(A108*dt-wane_start),1)</f>
        <v>1</v>
      </c>
      <c r="E108" s="25" t="n">
        <f aca="false">MIN(p_nonvasc_death*MIN(EXP(gomp_int+gomp_slope*INT(B108)),1)/qx_ref,0.999)</f>
        <v>0.451396568249239</v>
      </c>
      <c r="F108" s="55" t="n">
        <f aca="false">rr_stroke_per_decade^((B108-ref_age)/10)</f>
        <v>2.8121126277129</v>
      </c>
      <c r="G108" s="57" t="n">
        <f aca="false">DH107</f>
        <v>0.00248057291151143</v>
      </c>
      <c r="H108" s="57" t="n">
        <f aca="false">DI107</f>
        <v>0.000173539306290012</v>
      </c>
      <c r="I108" s="57" t="n">
        <f aca="false">DJ107</f>
        <v>8.93651344511553E-005</v>
      </c>
      <c r="J108" s="57" t="n">
        <f aca="false">DK107</f>
        <v>0.00148321826715559</v>
      </c>
      <c r="K108" s="57" t="n">
        <f aca="false">DL107</f>
        <v>0.995773304380591</v>
      </c>
      <c r="L108" s="57" t="n">
        <f aca="false">1-EXP(LN(1-E108)*dt)</f>
        <v>0.139373667543085</v>
      </c>
      <c r="M108" s="57" t="n">
        <f aca="false">G108*(1-L108)</f>
        <v>0.00213484636722605</v>
      </c>
      <c r="N108" s="57" t="n">
        <f aca="false">IF(Apixaban!$B$2=1,EXP(LN(or_apx_stroke)*D108)*(1-EXP(-r_stroke*F108*dt))/(1-(1-EXP(-r_stroke*F108*dt))+EXP(LN(or_apx_stroke)*D108)*(1-EXP(-r_stroke*F108*dt))),(1-EXP(-r_stroke*F108*dt)))</f>
        <v>0.00892867663435172</v>
      </c>
      <c r="O108" s="57" t="n">
        <f aca="false">IF(Apixaban!$B$2=1,EXP(LN(or_apx_ich)*D108)*(1-EXP(-r_ich*dt))/(1-(1-EXP(-r_ich*dt))+EXP(LN(or_apx_ich)*D108)*(1-EXP(-r_ich*dt))),(1-EXP(-r_ich*dt)))</f>
        <v>0.000843513249640701</v>
      </c>
      <c r="P108" s="57" t="n">
        <f aca="false">IF(Apixaban!$B$2=1,EXP(LN(or_apx_mb)*D108)*(1-EXP(-r_mb*dt))/(1-(1-EXP(-r_mb*dt))+EXP(LN(or_apx_mb)*D108)*(1-EXP(-r_mb*dt))),(1-EXP(-r_mb*dt)))</f>
        <v>0.00669446907979895</v>
      </c>
      <c r="Q108" s="57" t="n">
        <f aca="false">IF(Apixaban!$B$2=1,EXP(LN(or_apx_mi)*D108)*(1-EXP(-r_mi*dt))/(1-(1-EXP(-r_mi*dt))+EXP(LN(or_apx_mi)*D108)*(1-EXP(-r_mi*dt))),(1-EXP(-r_mi*dt)))</f>
        <v>0.00132321915530843</v>
      </c>
      <c r="R108" s="57" t="n">
        <f aca="false">(1-EXP(-r_tia*dt))</f>
        <v>0.0020060281549299</v>
      </c>
      <c r="S108" s="57" t="n">
        <f aca="false">(1-EXP(-r_minor*dt))</f>
        <v>0.0437937690785545</v>
      </c>
      <c r="T108" s="57" t="n">
        <f aca="false">M108*N108</f>
        <v>1.90613528769819E-005</v>
      </c>
      <c r="U108" s="57" t="n">
        <f aca="false">M108*O108</f>
        <v>1.80077119670249E-006</v>
      </c>
      <c r="V108" s="57" t="n">
        <f aca="false">M108*P108</f>
        <v>1.42916629955159E-005</v>
      </c>
      <c r="W108" s="57" t="n">
        <f aca="false">M108*Q108</f>
        <v>2.82486960675412E-006</v>
      </c>
      <c r="X108" s="57" t="n">
        <f aca="false">M108*R108</f>
        <v>4.28256191910526E-006</v>
      </c>
      <c r="Y108" s="57" t="n">
        <f aca="false">M108*S108</f>
        <v>9.34929688244886E-005</v>
      </c>
      <c r="Z108" s="57" t="n">
        <f aca="false">T108*f_stroke_fatal</f>
        <v>4.51754063184471E-006</v>
      </c>
      <c r="AA108" s="57" t="n">
        <f aca="false">T108*(1-f_stroke_fatal)*f_stroke_major</f>
        <v>4.84308947763068E-006</v>
      </c>
      <c r="AB108" s="57" t="n">
        <f aca="false">T108*(1-f_stroke_fatal)*(1-f_stroke_major)</f>
        <v>9.7007227675065E-006</v>
      </c>
      <c r="AC108" s="57" t="n">
        <f aca="false">U108*(1-f_bleed_fatal)</f>
        <v>1.64950641617948E-006</v>
      </c>
      <c r="AD108" s="57" t="n">
        <f aca="false">V108*(1-f_bleed_fatal)</f>
        <v>1.30911633038926E-005</v>
      </c>
      <c r="AE108" s="57" t="n">
        <f aca="false">W108*f_mi_fatal</f>
        <v>3.41809222417249E-007</v>
      </c>
      <c r="AF108" s="57" t="n">
        <f aca="false">W108-AE108</f>
        <v>2.48306038433687E-006</v>
      </c>
      <c r="AG108" s="57" t="n">
        <f aca="false">M108-T108-U108-V108-AE108</f>
        <v>0.00209935077093443</v>
      </c>
      <c r="AH108" s="19" t="n">
        <f aca="false">Z108*c_stroke_fatal+AA108*c_stroke_major+AB108*c_stroke_minor+U108*c_ich+V108*c_major_bleed+AE108*c_mi_fatal+AF108*c_mi_nonfatal+X108*c_tia+Y108*c_minor_bleed</f>
        <v>0.911718433213039</v>
      </c>
      <c r="AI108" s="57" t="n">
        <f aca="false">dt*(AF108*dec_mi+AD108*dec_major_bleed+Y108*dec_minor_bleed+X108*dec_tia)</f>
        <v>7.92820511096605E-007</v>
      </c>
      <c r="AJ108" s="57" t="n">
        <f aca="false">G108*L108+Z108+U108-AC108+V108-AD108+AE108</f>
        <v>0.000351937658611783</v>
      </c>
      <c r="AK108" s="57" t="n">
        <f aca="false">1-EXP(LN(1-E108)*hr_death_prior_stroke*dt)</f>
        <v>0.29193414982471</v>
      </c>
      <c r="AL108" s="57" t="n">
        <f aca="false">H108*(1-AK108)</f>
        <v>0.000122877256447068</v>
      </c>
      <c r="AM108" s="57" t="n">
        <f aca="false">(1-EXP(-r_stroke*F108*rr_stroke_prior*rr_asa_stroke*dt))</f>
        <v>0.0396079149690949</v>
      </c>
      <c r="AN108" s="57" t="n">
        <f aca="false">(1-EXP(-r_ich*rr_asa_ich*dt))</f>
        <v>0.00102357767802375</v>
      </c>
      <c r="AO108" s="57" t="n">
        <f aca="false">(1-EXP(-r_mb*rr_asa_mb*dt))</f>
        <v>0.00951809672747972</v>
      </c>
      <c r="AP108" s="57" t="n">
        <f aca="false">(1-EXP(-r_mi*rr_asa_mi*dt))</f>
        <v>0.00213413516393479</v>
      </c>
      <c r="AQ108" s="57" t="n">
        <f aca="false">(1-EXP(-r_tia*rr_asa_tia*dt))</f>
        <v>0.00312764565589152</v>
      </c>
      <c r="AR108" s="57" t="n">
        <f aca="false">(1-EXP(-r_minor*rr_asa_minor*dt))</f>
        <v>0.0278181950466747</v>
      </c>
      <c r="AS108" s="57" t="n">
        <f aca="false">AL108*AM108</f>
        <v>4.86691192499112E-006</v>
      </c>
      <c r="AT108" s="57" t="n">
        <f aca="false">AL108*AN108</f>
        <v>1.25774416836018E-007</v>
      </c>
      <c r="AU108" s="57" t="n">
        <f aca="false">AL108*AO108</f>
        <v>1.16955761247052E-006</v>
      </c>
      <c r="AV108" s="57" t="n">
        <f aca="false">AL108*AP108</f>
        <v>2.6223667383152E-007</v>
      </c>
      <c r="AW108" s="57" t="n">
        <f aca="false">AL108*AQ108</f>
        <v>3.84316517334539E-007</v>
      </c>
      <c r="AX108" s="57" t="n">
        <f aca="false">AL108*AR108</f>
        <v>3.41822348664479E-006</v>
      </c>
      <c r="AY108" s="57" t="n">
        <f aca="false">AS108*f_stroke_fatal_recur</f>
        <v>1.81092925816995E-006</v>
      </c>
      <c r="AZ108" s="57" t="n">
        <f aca="false">AS108*(1-f_stroke_fatal_recur)*f_stroke_major</f>
        <v>1.01764222805145E-006</v>
      </c>
      <c r="BA108" s="57" t="n">
        <f aca="false">AS108*(1-f_stroke_fatal_recur)*(1-f_stroke_major)</f>
        <v>2.03834043876972E-006</v>
      </c>
      <c r="BB108" s="57" t="n">
        <f aca="false">AT108*(1-f_bleed_fatal)</f>
        <v>1.15209365821792E-007</v>
      </c>
      <c r="BC108" s="57" t="n">
        <f aca="false">AU108*(1-f_bleed_fatal)</f>
        <v>1.071314773023E-006</v>
      </c>
      <c r="BD108" s="57" t="n">
        <f aca="false">AV108*f_mi_fatal</f>
        <v>3.17306375336139E-008</v>
      </c>
      <c r="BE108" s="57" t="n">
        <f aca="false">AV108-BD108</f>
        <v>2.30506036297906E-007</v>
      </c>
      <c r="BF108" s="57" t="n">
        <f aca="false">AL108-AS108-AT108-AU108-BD108</f>
        <v>0.000116683281855236</v>
      </c>
      <c r="BG108" s="19" t="n">
        <f aca="false">AY108*c_stroke_fatal+AZ108*c_stroke_major+BA108*c_stroke_minor+AT108*c_ich+AU108*c_major_bleed+BD108*c_mi_fatal+BE108*c_mi_nonfatal+AW108*c_tia+AX108*c_minor_bleed</f>
        <v>0.184354918367549</v>
      </c>
      <c r="BH108" s="57" t="n">
        <f aca="false">dt*(BE108*dec_mi+BC108*dec_major_bleed+AX108*dec_minor_bleed+AW108*dec_tia)</f>
        <v>5.28489300667985E-008</v>
      </c>
      <c r="BI108" s="57" t="n">
        <f aca="false">H108*AK108+AY108+AT108-BB108+AU108-BC108+BD108</f>
        <v>5.261351762911E-005</v>
      </c>
      <c r="BJ108" s="57" t="n">
        <f aca="false">1-EXP(LN(1-E108)*hr_death_prior_stroke*dt)</f>
        <v>0.29193414982471</v>
      </c>
      <c r="BK108" s="57" t="n">
        <f aca="false">I108*(1-BJ108)</f>
        <v>6.32763999011864E-005</v>
      </c>
      <c r="BL108" s="57" t="n">
        <f aca="false">(1-EXP(-r_stroke*F108*rr_stroke_prior*rr_asa_stroke*dt))</f>
        <v>0.0396079149690949</v>
      </c>
      <c r="BM108" s="57" t="n">
        <f aca="false">(1-EXP(-r_ich*rr_asa_ich*dt))</f>
        <v>0.00102357767802375</v>
      </c>
      <c r="BN108" s="57" t="n">
        <f aca="false">(1-EXP(-r_mb*rr_asa_mb*dt))</f>
        <v>0.00951809672747972</v>
      </c>
      <c r="BO108" s="57" t="n">
        <f aca="false">(1-EXP(-r_mi*rr_asa_mi*dt))</f>
        <v>0.00213413516393479</v>
      </c>
      <c r="BP108" s="57" t="n">
        <f aca="false">(1-EXP(-r_tia*rr_asa_tia*dt))</f>
        <v>0.00312764565589152</v>
      </c>
      <c r="BQ108" s="57" t="n">
        <f aca="false">(1-EXP(-r_minor*rr_asa_minor*dt))</f>
        <v>0.0278181950466747</v>
      </c>
      <c r="BR108" s="57" t="n">
        <f aca="false">BK108*BL108</f>
        <v>2.50624626683663E-006</v>
      </c>
      <c r="BS108" s="57" t="n">
        <f aca="false">BK108*BM108</f>
        <v>6.47683104845583E-008</v>
      </c>
      <c r="BT108" s="57" t="n">
        <f aca="false">BK108*BN108</f>
        <v>6.0227089482618E-007</v>
      </c>
      <c r="BU108" s="57" t="n">
        <f aca="false">BK108*BO108</f>
        <v>1.35040390076322E-007</v>
      </c>
      <c r="BV108" s="57" t="n">
        <f aca="false">BK108*BP108</f>
        <v>1.979061572714E-007</v>
      </c>
      <c r="BW108" s="57" t="n">
        <f aca="false">BK108*BQ108</f>
        <v>1.76023523430259E-006</v>
      </c>
      <c r="BX108" s="57" t="n">
        <f aca="false">BR108*f_stroke_fatal_recur</f>
        <v>9.32549173427243E-007</v>
      </c>
      <c r="BY108" s="57" t="n">
        <f aca="false">BR108*(1-f_stroke_fatal_recur)*f_stroke_major</f>
        <v>5.24041132105327E-007</v>
      </c>
      <c r="BZ108" s="57" t="n">
        <f aca="false">BR108*(1-f_stroke_fatal_recur)*(1-f_stroke_major)</f>
        <v>1.04965596130406E-006</v>
      </c>
      <c r="CA108" s="57" t="n">
        <f aca="false">BS108*(1-f_bleed_fatal)</f>
        <v>5.93277724038554E-008</v>
      </c>
      <c r="CB108" s="57" t="n">
        <f aca="false">BT108*(1-f_bleed_fatal)</f>
        <v>5.51680139660781E-007</v>
      </c>
      <c r="CC108" s="57" t="n">
        <f aca="false">BU108*f_mi_fatal</f>
        <v>1.63398871992349E-008</v>
      </c>
      <c r="CD108" s="57" t="n">
        <f aca="false">BU108-CC108</f>
        <v>1.18700502877087E-007</v>
      </c>
      <c r="CE108" s="57" t="n">
        <f aca="false">BK108-BR108-BS108-BT108-CC108</f>
        <v>6.00867745418398E-005</v>
      </c>
      <c r="CF108" s="19" t="n">
        <f aca="false">BX108*c_stroke_fatal+BY108*c_stroke_major+BZ108*c_stroke_minor+BS108*c_ich+BT108*c_major_bleed+CC108*c_mi_fatal+CD108*c_mi_nonfatal+BV108*c_tia+BW108*c_minor_bleed</f>
        <v>0.0949347004943974</v>
      </c>
      <c r="CG108" s="57" t="n">
        <f aca="false">dt*(CD108*dec_mi+CB108*dec_major_bleed+BW108*dec_minor_bleed+BV108*dec_tia)</f>
        <v>2.72148819883289E-008</v>
      </c>
      <c r="CH108" s="57" t="n">
        <f aca="false">I108*BJ108+BX108+BS108-CA108+BT108-CB108+CC108</f>
        <v>2.70936549038415E-005</v>
      </c>
      <c r="CI108" s="57" t="n">
        <f aca="false">1-EXP(LN(1-E108)*dt)</f>
        <v>0.139373667543085</v>
      </c>
      <c r="CJ108" s="57" t="n">
        <f aca="false">J108*(1-CI108)</f>
        <v>0.00127649669749521</v>
      </c>
      <c r="CK108" s="57" t="n">
        <f aca="false">(1-EXP(-r_stroke*F108*rr_asa_stroke*dt))</f>
        <v>0.0182021464831538</v>
      </c>
      <c r="CL108" s="57" t="n">
        <f aca="false">(1-EXP(-r_ich*rr_asa_ich*dt))</f>
        <v>0.00102357767802375</v>
      </c>
      <c r="CM108" s="57" t="n">
        <f aca="false">(1-EXP(-r_mb*rr_asa_mb*dt))</f>
        <v>0.00951809672747972</v>
      </c>
      <c r="CN108" s="57" t="n">
        <f aca="false">(1-EXP(-r_mi*rr_asa_mi*dt))</f>
        <v>0.00213413516393479</v>
      </c>
      <c r="CO108" s="57" t="n">
        <f aca="false">(1-EXP(-r_tia*rr_asa_tia*dt))</f>
        <v>0.00312764565589152</v>
      </c>
      <c r="CP108" s="57" t="n">
        <f aca="false">(1-EXP(-r_minor*rr_asa_minor*dt))</f>
        <v>0.0278181950466747</v>
      </c>
      <c r="CQ108" s="57" t="n">
        <f aca="false">CJ108*CK108</f>
        <v>2.32349798730699E-005</v>
      </c>
      <c r="CR108" s="57" t="n">
        <f aca="false">CJ108*CL108</f>
        <v>1.30659352562713E-006</v>
      </c>
      <c r="CS108" s="57" t="n">
        <f aca="false">CJ108*CM108</f>
        <v>1.21498190390679E-005</v>
      </c>
      <c r="CT108" s="57" t="n">
        <f aca="false">CJ108*CN108</f>
        <v>2.72421648877117E-006</v>
      </c>
      <c r="CU108" s="57" t="n">
        <f aca="false">CJ108*CO108</f>
        <v>3.99242935068078E-006</v>
      </c>
      <c r="CV108" s="57" t="n">
        <f aca="false">CJ108*CP108</f>
        <v>3.5509834107358E-005</v>
      </c>
      <c r="CW108" s="57" t="n">
        <f aca="false">CQ108*f_stroke_fatal</f>
        <v>5.50669022991757E-006</v>
      </c>
      <c r="CX108" s="57" t="n">
        <f aca="false">CQ108*(1-f_stroke_fatal)*f_stroke_major</f>
        <v>5.90352045116973E-006</v>
      </c>
      <c r="CY108" s="57" t="n">
        <f aca="false">CQ108*(1-f_stroke_fatal)*(1-f_stroke_major)</f>
        <v>1.18247691919826E-005</v>
      </c>
      <c r="CZ108" s="57" t="n">
        <f aca="false">CR108*(1-f_bleed_fatal)</f>
        <v>1.19683966947445E-006</v>
      </c>
      <c r="DA108" s="57" t="n">
        <f aca="false">CS108*(1-f_bleed_fatal)</f>
        <v>1.11292342397862E-005</v>
      </c>
      <c r="DB108" s="57" t="n">
        <f aca="false">CT108*f_mi_fatal</f>
        <v>3.29630195141311E-007</v>
      </c>
      <c r="DC108" s="57" t="n">
        <f aca="false">CT108-DB108</f>
        <v>2.39458629362986E-006</v>
      </c>
      <c r="DD108" s="57" t="n">
        <f aca="false">CJ108-CQ108-CR108-CS108-DB108</f>
        <v>0.00123947567486231</v>
      </c>
      <c r="DE108" s="19" t="n">
        <f aca="false">CW108*c_stroke_fatal+CX108*c_stroke_major+CY108*c_stroke_minor+CR108*c_ich+CS108*c_major_bleed+DB108*c_mi_fatal+DC108*c_mi_nonfatal+CU108*c_tia+CV108*c_minor_bleed</f>
        <v>1.03036827768223</v>
      </c>
      <c r="DF108" s="57" t="n">
        <f aca="false">dt*(DC108*dec_mi+DA108*dec_major_bleed+CV108*dec_minor_bleed+CU108*dec_tia)</f>
        <v>5.49015225819958E-007</v>
      </c>
      <c r="DG108" s="57" t="n">
        <f aca="false">J108*CI108+CW108+CR108-CZ108+CS108-DA108+DB108</f>
        <v>0.000213688228740866</v>
      </c>
      <c r="DH108" s="57" t="n">
        <f aca="false">AG108</f>
        <v>0.00209935077093443</v>
      </c>
      <c r="DI108" s="57" t="n">
        <f aca="false">AB108+AC108+BF108+BA108+BB108+BC108+CY108+CZ108</f>
        <v>0.000144279984477994</v>
      </c>
      <c r="DJ108" s="57" t="n">
        <f aca="false">AA108+AZ108+BY108+CX108+CE108+BZ108+CA108+CB108</f>
        <v>7.40357317041657E-005</v>
      </c>
      <c r="DK108" s="57" t="n">
        <f aca="false">AD108+DD108+DA108</f>
        <v>0.00126369607240599</v>
      </c>
      <c r="DL108" s="57" t="n">
        <f aca="false">K108+AJ108+BI108+CH108+DG108</f>
        <v>0.996418637440477</v>
      </c>
      <c r="DM108" s="58" t="n">
        <f aca="false">SUM(DH108:DL108)</f>
        <v>0.999999999999999</v>
      </c>
      <c r="DN108" s="19" t="n">
        <f aca="false">dt*(G108*Apixaban!$H$2+(H108+I108+J108)*c_aspirin)</f>
        <v>0.202053331689886</v>
      </c>
      <c r="DO108" s="19" t="n">
        <f aca="false">dt*(H108*c_lt_minor_stroke+I108*c_lt_major_stroke)</f>
        <v>1.0525679155086</v>
      </c>
      <c r="DP108" s="19" t="n">
        <f aca="false">AH108+BG108+CF108+DE108</f>
        <v>2.22137632975722</v>
      </c>
      <c r="DQ108" s="19" t="n">
        <f aca="false">DN108+DO108+DP108</f>
        <v>3.4759975769557</v>
      </c>
      <c r="DR108" s="57" t="n">
        <f aca="false">dt*(G108*(u_af-dec_per_year_over_70*MAX(B108-ref_age,0))+H108*(u_minor_stroke-dec_per_year_over_70*MAX(B108-ref_age,0))+I108*(u_major_stroke-dec_per_year_over_70*MAX(B108-ref_age,0))+J108*(u_af-dec_per_year_over_70*MAX(B108-ref_age,0)))-AI108-BH108-CG108-DF108</f>
        <v>0.000833401041463708</v>
      </c>
      <c r="DS108" s="57" t="n">
        <f aca="false">dt*(G108+H108+I108+J108)</f>
        <v>0.00105667390485204</v>
      </c>
      <c r="DT108" s="19" t="n">
        <f aca="false">DQ108*C108</f>
        <v>2.37790985996903</v>
      </c>
      <c r="DU108" s="19" t="n">
        <f aca="false">DN108*C108</f>
        <v>0.138223516854625</v>
      </c>
      <c r="DV108" s="19" t="n">
        <f aca="false">DP108*C108</f>
        <v>1.51963071328079</v>
      </c>
      <c r="DW108" s="19" t="n">
        <f aca="false">DO108*C108</f>
        <v>0.720055629833614</v>
      </c>
      <c r="DX108" s="57" t="n">
        <f aca="false">DR108*C108</f>
        <v>0.000570124837526682</v>
      </c>
      <c r="DY108" s="57" t="n">
        <f aca="false">DS108*C108</f>
        <v>0.000722864513421286</v>
      </c>
      <c r="DZ108" s="57" t="n">
        <f aca="false">T108+AS108+BR108+CQ108</f>
        <v>4.96694909418796E-005</v>
      </c>
      <c r="EA108" s="57" t="n">
        <f aca="false">U108+AT108+BS108+CR108</f>
        <v>3.2979074496502E-006</v>
      </c>
      <c r="EB108" s="57" t="n">
        <f aca="false">V108+AU108+BT108+CS108</f>
        <v>2.82133105418805E-005</v>
      </c>
      <c r="EC108" s="57" t="n">
        <f aca="false">G108*dt*C108</f>
        <v>0.000424236399340438</v>
      </c>
    </row>
    <row r="109" customFormat="false" ht="15" hidden="false" customHeight="false" outlineLevel="0" collapsed="false">
      <c r="A109" s="8" t="n">
        <v>103</v>
      </c>
      <c r="B109" s="54" t="n">
        <f aca="false">start_age+A109*dt</f>
        <v>95.75</v>
      </c>
      <c r="C109" s="16" t="n">
        <f aca="false">(1+disc_rate)^-(A109*dt)</f>
        <v>0.681552652087421</v>
      </c>
      <c r="D109" s="55" t="n">
        <f aca="false">IF(A109*dt&gt;=wane_start,(1-wane_decay)^(A109*dt-wane_start),1)</f>
        <v>1</v>
      </c>
      <c r="E109" s="25" t="n">
        <f aca="false">MIN(p_nonvasc_death*MIN(EXP(gomp_int+gomp_slope*INT(B109)),1)/qx_ref,0.999)</f>
        <v>0.451396568249239</v>
      </c>
      <c r="F109" s="55" t="n">
        <f aca="false">rr_stroke_per_decade^((B109-ref_age)/10)</f>
        <v>2.84076292988072</v>
      </c>
      <c r="G109" s="57" t="n">
        <f aca="false">DH108</f>
        <v>0.00209935077093443</v>
      </c>
      <c r="H109" s="57" t="n">
        <f aca="false">DI108</f>
        <v>0.000144279984477994</v>
      </c>
      <c r="I109" s="57" t="n">
        <f aca="false">DJ108</f>
        <v>7.40357317041657E-005</v>
      </c>
      <c r="J109" s="57" t="n">
        <f aca="false">DK108</f>
        <v>0.00126369607240599</v>
      </c>
      <c r="K109" s="57" t="n">
        <f aca="false">DL108</f>
        <v>0.996418637440477</v>
      </c>
      <c r="L109" s="57" t="n">
        <f aca="false">1-EXP(LN(1-E109)*dt)</f>
        <v>0.139373667543085</v>
      </c>
      <c r="M109" s="57" t="n">
        <f aca="false">G109*(1-L109)</f>
        <v>0.0018067565545299</v>
      </c>
      <c r="N109" s="57" t="n">
        <f aca="false">IF(Apixaban!$B$2=1,EXP(LN(or_apx_stroke)*D109)*(1-EXP(-r_stroke*F109*dt))/(1-(1-EXP(-r_stroke*F109*dt))+EXP(LN(or_apx_stroke)*D109)*(1-EXP(-r_stroke*F109*dt))),(1-EXP(-r_stroke*F109*dt)))</f>
        <v>0.00901934042041932</v>
      </c>
      <c r="O109" s="57" t="n">
        <f aca="false">IF(Apixaban!$B$2=1,EXP(LN(or_apx_ich)*D109)*(1-EXP(-r_ich*dt))/(1-(1-EXP(-r_ich*dt))+EXP(LN(or_apx_ich)*D109)*(1-EXP(-r_ich*dt))),(1-EXP(-r_ich*dt)))</f>
        <v>0.000843513249640701</v>
      </c>
      <c r="P109" s="57" t="n">
        <f aca="false">IF(Apixaban!$B$2=1,EXP(LN(or_apx_mb)*D109)*(1-EXP(-r_mb*dt))/(1-(1-EXP(-r_mb*dt))+EXP(LN(or_apx_mb)*D109)*(1-EXP(-r_mb*dt))),(1-EXP(-r_mb*dt)))</f>
        <v>0.00669446907979895</v>
      </c>
      <c r="Q109" s="57" t="n">
        <f aca="false">IF(Apixaban!$B$2=1,EXP(LN(or_apx_mi)*D109)*(1-EXP(-r_mi*dt))/(1-(1-EXP(-r_mi*dt))+EXP(LN(or_apx_mi)*D109)*(1-EXP(-r_mi*dt))),(1-EXP(-r_mi*dt)))</f>
        <v>0.00132321915530843</v>
      </c>
      <c r="R109" s="57" t="n">
        <f aca="false">(1-EXP(-r_tia*dt))</f>
        <v>0.0020060281549299</v>
      </c>
      <c r="S109" s="57" t="n">
        <f aca="false">(1-EXP(-r_minor*dt))</f>
        <v>0.0437937690785545</v>
      </c>
      <c r="T109" s="57" t="n">
        <f aca="false">M109*N109</f>
        <v>1.62957524221291E-005</v>
      </c>
      <c r="U109" s="57" t="n">
        <f aca="false">M109*O109</f>
        <v>1.52402309262115E-006</v>
      </c>
      <c r="V109" s="57" t="n">
        <f aca="false">M109*P109</f>
        <v>1.20952758890245E-005</v>
      </c>
      <c r="W109" s="57" t="n">
        <f aca="false">M109*Q109</f>
        <v>2.39073488193302E-006</v>
      </c>
      <c r="X109" s="57" t="n">
        <f aca="false">M109*R109</f>
        <v>3.62440451749111E-006</v>
      </c>
      <c r="Y109" s="57" t="n">
        <f aca="false">M109*S109</f>
        <v>7.91246793302471E-005</v>
      </c>
      <c r="Z109" s="57" t="n">
        <f aca="false">T109*f_stroke_fatal</f>
        <v>3.86209332404459E-006</v>
      </c>
      <c r="AA109" s="57" t="n">
        <f aca="false">T109*(1-f_stroke_fatal)*f_stroke_major</f>
        <v>4.14040847966213E-006</v>
      </c>
      <c r="AB109" s="57" t="n">
        <f aca="false">T109*(1-f_stroke_fatal)*(1-f_stroke_major)</f>
        <v>8.29325061842234E-006</v>
      </c>
      <c r="AC109" s="57" t="n">
        <f aca="false">U109*(1-f_bleed_fatal)</f>
        <v>1.39600515284097E-006</v>
      </c>
      <c r="AD109" s="57" t="n">
        <f aca="false">V109*(1-f_bleed_fatal)</f>
        <v>1.10792727143464E-005</v>
      </c>
      <c r="AE109" s="57" t="n">
        <f aca="false">W109*f_mi_fatal</f>
        <v>2.89278920713895E-007</v>
      </c>
      <c r="AF109" s="57" t="n">
        <f aca="false">W109-AE109</f>
        <v>2.10145596121912E-006</v>
      </c>
      <c r="AG109" s="57" t="n">
        <f aca="false">M109-T109-U109-V109-AE109</f>
        <v>0.00177655222420541</v>
      </c>
      <c r="AH109" s="19" t="n">
        <f aca="false">Z109*c_stroke_fatal+AA109*c_stroke_major+AB109*c_stroke_minor+U109*c_ich+V109*c_major_bleed+AE109*c_mi_fatal+AF109*c_mi_nonfatal+X109*c_tia+Y109*c_minor_bleed</f>
        <v>0.777655010917101</v>
      </c>
      <c r="AI109" s="57" t="n">
        <f aca="false">dt*(AF109*dec_mi+AD109*dec_major_bleed+Y109*dec_minor_bleed+X109*dec_tia)</f>
        <v>6.70977395366765E-007</v>
      </c>
      <c r="AJ109" s="57" t="n">
        <f aca="false">G109*L109+Z109+U109-AC109+V109-AD109+AE109</f>
        <v>0.000297889609763751</v>
      </c>
      <c r="AK109" s="57" t="n">
        <f aca="false">1-EXP(LN(1-E109)*hr_death_prior_stroke*dt)</f>
        <v>0.29193414982471</v>
      </c>
      <c r="AL109" s="57" t="n">
        <f aca="false">H109*(1-AK109)</f>
        <v>0.000102159729872688</v>
      </c>
      <c r="AM109" s="57" t="n">
        <f aca="false">(1-EXP(-r_stroke*F109*rr_stroke_prior*rr_asa_stroke*dt))</f>
        <v>0.0400032668444909</v>
      </c>
      <c r="AN109" s="57" t="n">
        <f aca="false">(1-EXP(-r_ich*rr_asa_ich*dt))</f>
        <v>0.00102357767802375</v>
      </c>
      <c r="AO109" s="57" t="n">
        <f aca="false">(1-EXP(-r_mb*rr_asa_mb*dt))</f>
        <v>0.00951809672747972</v>
      </c>
      <c r="AP109" s="57" t="n">
        <f aca="false">(1-EXP(-r_mi*rr_asa_mi*dt))</f>
        <v>0.00213413516393479</v>
      </c>
      <c r="AQ109" s="57" t="n">
        <f aca="false">(1-EXP(-r_tia*rr_asa_tia*dt))</f>
        <v>0.00312764565589152</v>
      </c>
      <c r="AR109" s="57" t="n">
        <f aca="false">(1-EXP(-r_minor*rr_asa_minor*dt))</f>
        <v>0.0278181950466747</v>
      </c>
      <c r="AS109" s="57" t="n">
        <f aca="false">AL109*AM109</f>
        <v>4.08672293485826E-006</v>
      </c>
      <c r="AT109" s="57" t="n">
        <f aca="false">AL109*AN109</f>
        <v>1.0456841909062E-007</v>
      </c>
      <c r="AU109" s="57" t="n">
        <f aca="false">AL109*AO109</f>
        <v>9.72366190581447E-007</v>
      </c>
      <c r="AV109" s="57" t="n">
        <f aca="false">AL109*AP109</f>
        <v>2.18022671859384E-007</v>
      </c>
      <c r="AW109" s="57" t="n">
        <f aca="false">AL109*AQ109</f>
        <v>3.19519435343365E-007</v>
      </c>
      <c r="AX109" s="57" t="n">
        <f aca="false">AL109*AR109</f>
        <v>2.84189929151405E-006</v>
      </c>
      <c r="AY109" s="57" t="n">
        <f aca="false">AS109*f_stroke_fatal_recur</f>
        <v>1.52062873683141E-006</v>
      </c>
      <c r="AZ109" s="57" t="n">
        <f aca="false">AS109*(1-f_stroke_fatal_recur)*f_stroke_major</f>
        <v>8.5450936794294E-007</v>
      </c>
      <c r="BA109" s="57" t="n">
        <f aca="false">AS109*(1-f_stroke_fatal_recur)*(1-f_stroke_major)</f>
        <v>1.71158483008391E-006</v>
      </c>
      <c r="BB109" s="57" t="n">
        <f aca="false">AT109*(1-f_bleed_fatal)</f>
        <v>9.57846718870075E-008</v>
      </c>
      <c r="BC109" s="57" t="n">
        <f aca="false">AU109*(1-f_bleed_fatal)</f>
        <v>8.90687430572606E-007</v>
      </c>
      <c r="BD109" s="57" t="n">
        <f aca="false">AV109*f_mi_fatal</f>
        <v>2.63807432949854E-008</v>
      </c>
      <c r="BE109" s="57" t="n">
        <f aca="false">AV109-BD109</f>
        <v>1.91641928564398E-007</v>
      </c>
      <c r="BF109" s="57" t="n">
        <f aca="false">AL109-AS109-AT109-AU109-BD109</f>
        <v>9.69696915848631E-005</v>
      </c>
      <c r="BG109" s="19" t="n">
        <f aca="false">AY109*c_stroke_fatal+AZ109*c_stroke_major+BA109*c_stroke_minor+AT109*c_ich+AU109*c_major_bleed+BD109*c_mi_fatal+BE109*c_mi_nonfatal+AW109*c_tia+AX109*c_minor_bleed</f>
        <v>0.1546646394937</v>
      </c>
      <c r="BH109" s="57" t="n">
        <f aca="false">dt*(BE109*dec_mi+BC109*dec_major_bleed+AX109*dec_minor_bleed+AW109*dec_tia)</f>
        <v>4.39384193283197E-008</v>
      </c>
      <c r="BI109" s="57" t="n">
        <f aca="false">H109*AK109+AY109+AT109-BB109+AU109-BC109+BD109</f>
        <v>4.37577265926444E-005</v>
      </c>
      <c r="BJ109" s="57" t="n">
        <f aca="false">1-EXP(LN(1-E109)*hr_death_prior_stroke*dt)</f>
        <v>0.29193414982471</v>
      </c>
      <c r="BK109" s="57" t="n">
        <f aca="false">I109*(1-BJ109)</f>
        <v>5.24221733124597E-005</v>
      </c>
      <c r="BL109" s="57" t="n">
        <f aca="false">(1-EXP(-r_stroke*F109*rr_stroke_prior*rr_asa_stroke*dt))</f>
        <v>0.0400032668444909</v>
      </c>
      <c r="BM109" s="57" t="n">
        <f aca="false">(1-EXP(-r_ich*rr_asa_ich*dt))</f>
        <v>0.00102357767802375</v>
      </c>
      <c r="BN109" s="57" t="n">
        <f aca="false">(1-EXP(-r_mb*rr_asa_mb*dt))</f>
        <v>0.00951809672747972</v>
      </c>
      <c r="BO109" s="57" t="n">
        <f aca="false">(1-EXP(-r_mi*rr_asa_mi*dt))</f>
        <v>0.00213413516393479</v>
      </c>
      <c r="BP109" s="57" t="n">
        <f aca="false">(1-EXP(-r_tia*rr_asa_tia*dt))</f>
        <v>0.00312764565589152</v>
      </c>
      <c r="BQ109" s="57" t="n">
        <f aca="false">(1-EXP(-r_minor*rr_asa_minor*dt))</f>
        <v>0.0278181950466747</v>
      </c>
      <c r="BR109" s="57" t="n">
        <f aca="false">BK109*BL109</f>
        <v>2.09705818758647E-006</v>
      </c>
      <c r="BS109" s="57" t="n">
        <f aca="false">BK109*BM109</f>
        <v>5.36581664361259E-008</v>
      </c>
      <c r="BT109" s="57" t="n">
        <f aca="false">BK109*BN109</f>
        <v>4.98959316252698E-007</v>
      </c>
      <c r="BU109" s="57" t="n">
        <f aca="false">BK109*BO109</f>
        <v>1.11876003436004E-007</v>
      </c>
      <c r="BV109" s="57" t="n">
        <f aca="false">BK109*BP109</f>
        <v>1.63957982633107E-007</v>
      </c>
      <c r="BW109" s="57" t="n">
        <f aca="false">BK109*BQ109</f>
        <v>1.45829024197659E-006</v>
      </c>
      <c r="BX109" s="57" t="n">
        <f aca="false">BR109*f_stroke_fatal_recur</f>
        <v>7.80294381019051E-007</v>
      </c>
      <c r="BY109" s="57" t="n">
        <f aca="false">BR109*(1-f_stroke_fatal_recur)*f_stroke_major</f>
        <v>4.38482347586952E-007</v>
      </c>
      <c r="BZ109" s="57" t="n">
        <f aca="false">BR109*(1-f_stroke_fatal_recur)*(1-f_stroke_major)</f>
        <v>8.78281458980471E-007</v>
      </c>
      <c r="CA109" s="57" t="n">
        <f aca="false">BS109*(1-f_bleed_fatal)</f>
        <v>4.91508804554913E-008</v>
      </c>
      <c r="CB109" s="57" t="n">
        <f aca="false">BT109*(1-f_bleed_fatal)</f>
        <v>4.57046733687471E-007</v>
      </c>
      <c r="CC109" s="57" t="n">
        <f aca="false">BU109*f_mi_fatal</f>
        <v>1.35369964157565E-008</v>
      </c>
      <c r="CD109" s="57" t="n">
        <f aca="false">BU109-CC109</f>
        <v>9.83390070202478E-008</v>
      </c>
      <c r="CE109" s="57" t="n">
        <f aca="false">BK109-BR109-BS109-BT109-CC109</f>
        <v>4.97589606457687E-005</v>
      </c>
      <c r="CF109" s="19" t="n">
        <f aca="false">BX109*c_stroke_fatal+BY109*c_stroke_major+BZ109*c_stroke_minor+BS109*c_ich+BT109*c_major_bleed+CC109*c_mi_fatal+CD109*c_mi_nonfatal+BV109*c_tia+BW109*c_minor_bleed</f>
        <v>0.0793645064151193</v>
      </c>
      <c r="CG109" s="57" t="n">
        <f aca="false">dt*(CD109*dec_mi+CB109*dec_major_bleed+BW109*dec_minor_bleed+BV109*dec_tia)</f>
        <v>2.2546530183421E-008</v>
      </c>
      <c r="CH109" s="57" t="n">
        <f aca="false">I109*BJ109+BX109+BS109-CA109+BT109-CB109+CC109</f>
        <v>2.24538096376866E-005</v>
      </c>
      <c r="CI109" s="57" t="n">
        <f aca="false">1-EXP(LN(1-E109)*dt)</f>
        <v>0.139373667543085</v>
      </c>
      <c r="CJ109" s="57" t="n">
        <f aca="false">J109*(1-CI109)</f>
        <v>0.00108757011613497</v>
      </c>
      <c r="CK109" s="57" t="n">
        <f aca="false">(1-EXP(-r_stroke*F109*rr_asa_stroke*dt))</f>
        <v>0.0183858778874141</v>
      </c>
      <c r="CL109" s="57" t="n">
        <f aca="false">(1-EXP(-r_ich*rr_asa_ich*dt))</f>
        <v>0.00102357767802375</v>
      </c>
      <c r="CM109" s="57" t="n">
        <f aca="false">(1-EXP(-r_mb*rr_asa_mb*dt))</f>
        <v>0.00951809672747972</v>
      </c>
      <c r="CN109" s="57" t="n">
        <f aca="false">(1-EXP(-r_mi*rr_asa_mi*dt))</f>
        <v>0.00213413516393479</v>
      </c>
      <c r="CO109" s="57" t="n">
        <f aca="false">(1-EXP(-r_tia*rr_asa_tia*dt))</f>
        <v>0.00312764565589152</v>
      </c>
      <c r="CP109" s="57" t="n">
        <f aca="false">(1-EXP(-r_minor*rr_asa_minor*dt))</f>
        <v>0.0278181950466747</v>
      </c>
      <c r="CQ109" s="57" t="n">
        <f aca="false">CJ109*CK109</f>
        <v>1.99959313492584E-005</v>
      </c>
      <c r="CR109" s="57" t="n">
        <f aca="false">CJ109*CL109</f>
        <v>1.11321249416145E-006</v>
      </c>
      <c r="CS109" s="57" t="n">
        <f aca="false">CJ109*CM109</f>
        <v>1.0351597563289E-005</v>
      </c>
      <c r="CT109" s="57" t="n">
        <f aca="false">CJ109*CN109</f>
        <v>2.32102162808829E-006</v>
      </c>
      <c r="CU109" s="57" t="n">
        <f aca="false">CJ109*CO109</f>
        <v>3.40153394920698E-006</v>
      </c>
      <c r="CV109" s="57" t="n">
        <f aca="false">CJ109*CP109</f>
        <v>3.02542376175773E-005</v>
      </c>
      <c r="CW109" s="57" t="n">
        <f aca="false">CQ109*f_stroke_fatal</f>
        <v>4.73903572977423E-006</v>
      </c>
      <c r="CX109" s="57" t="n">
        <f aca="false">CQ109*(1-f_stroke_fatal)*f_stroke_major</f>
        <v>5.08054624128821E-006</v>
      </c>
      <c r="CY109" s="57" t="n">
        <f aca="false">CQ109*(1-f_stroke_fatal)*(1-f_stroke_major)</f>
        <v>1.01763493781959E-005</v>
      </c>
      <c r="CZ109" s="57" t="n">
        <f aca="false">CR109*(1-f_bleed_fatal)</f>
        <v>1.01970264465189E-006</v>
      </c>
      <c r="DA109" s="57" t="n">
        <f aca="false">CS109*(1-f_bleed_fatal)</f>
        <v>9.48206336797274E-006</v>
      </c>
      <c r="DB109" s="57" t="n">
        <f aca="false">CT109*f_mi_fatal</f>
        <v>2.80843616998683E-007</v>
      </c>
      <c r="DC109" s="57" t="n">
        <f aca="false">CT109-DB109</f>
        <v>2.04017801108961E-006</v>
      </c>
      <c r="DD109" s="57" t="n">
        <f aca="false">CJ109-CQ109-CR109-CS109-DB109</f>
        <v>0.00105582853111127</v>
      </c>
      <c r="DE109" s="19" t="n">
        <f aca="false">CW109*c_stroke_fatal+CX109*c_stroke_major+CY109*c_stroke_minor+CR109*c_ich+CS109*c_major_bleed+DB109*c_mi_fatal+DC109*c_mi_nonfatal+CU109*c_tia+CV109*c_minor_bleed</f>
        <v>0.885252584640002</v>
      </c>
      <c r="DF109" s="57" t="n">
        <f aca="false">dt*(DC109*dec_mi+DA109*dec_major_bleed+CV109*dec_minor_bleed+CU109*dec_tia)</f>
        <v>4.67758791759129E-007</v>
      </c>
      <c r="DG109" s="57" t="n">
        <f aca="false">J109*CI109+CW109+CR109-CZ109+CS109-DA109+DB109</f>
        <v>0.000182108879662612</v>
      </c>
      <c r="DH109" s="57" t="n">
        <f aca="false">AG109</f>
        <v>0.00177655222420541</v>
      </c>
      <c r="DI109" s="57" t="n">
        <f aca="false">AB109+AC109+BF109+BA109+BB109+BC109+CY109+CZ109</f>
        <v>0.000120553056311518</v>
      </c>
      <c r="DJ109" s="57" t="n">
        <f aca="false">AA109+AZ109+BY109+CX109+CE109+BZ109+CA109+CB109</f>
        <v>6.16573861553723E-005</v>
      </c>
      <c r="DK109" s="57" t="n">
        <f aca="false">AD109+DD109+DA109</f>
        <v>0.00107638986719358</v>
      </c>
      <c r="DL109" s="57" t="n">
        <f aca="false">K109+AJ109+BI109+CH109+DG109</f>
        <v>0.996964847466134</v>
      </c>
      <c r="DM109" s="58" t="n">
        <f aca="false">SUM(DH109:DL109)</f>
        <v>0.999999999999999</v>
      </c>
      <c r="DN109" s="19" t="n">
        <f aca="false">dt*(G109*Apixaban!$H$2+(H109+I109+J109)*c_aspirin)</f>
        <v>0.171042517923533</v>
      </c>
      <c r="DO109" s="19" t="n">
        <f aca="false">dt*(H109*c_lt_minor_stroke+I109*c_lt_major_stroke)</f>
        <v>0.873389977012254</v>
      </c>
      <c r="DP109" s="19" t="n">
        <f aca="false">AH109+BG109+CF109+DE109</f>
        <v>1.89693674146592</v>
      </c>
      <c r="DQ109" s="19" t="n">
        <f aca="false">DN109+DO109+DP109</f>
        <v>2.94136923640171</v>
      </c>
      <c r="DR109" s="57" t="n">
        <f aca="false">dt*(G109*(u_af-dec_per_year_over_70*MAX(B109-ref_age,0))+H109*(u_minor_stroke-dec_per_year_over_70*MAX(B109-ref_age,0))+I109*(u_major_stroke-dec_per_year_over_70*MAX(B109-ref_age,0))+J109*(u_af-dec_per_year_over_70*MAX(B109-ref_age,0)))-AI109-BH109-CG109-DF109</f>
        <v>0.000706334376592314</v>
      </c>
      <c r="DS109" s="57" t="n">
        <f aca="false">dt*(G109+H109+I109+J109)</f>
        <v>0.000895340639880645</v>
      </c>
      <c r="DT109" s="19" t="n">
        <f aca="false">DQ109*C109</f>
        <v>2.00469800383794</v>
      </c>
      <c r="DU109" s="19" t="n">
        <f aca="false">DN109*C109</f>
        <v>0.116574481710494</v>
      </c>
      <c r="DV109" s="19" t="n">
        <f aca="false">DP109*C109</f>
        <v>1.29286226698817</v>
      </c>
      <c r="DW109" s="19" t="n">
        <f aca="false">DO109*C109</f>
        <v>0.595261255139273</v>
      </c>
      <c r="DX109" s="57" t="n">
        <f aca="false">DR109*C109</f>
        <v>0.000481404067627007</v>
      </c>
      <c r="DY109" s="57" t="n">
        <f aca="false">DS109*C109</f>
        <v>0.000610221787632302</v>
      </c>
      <c r="DZ109" s="57" t="n">
        <f aca="false">T109+AS109+BR109+CQ109</f>
        <v>4.24754648938321E-005</v>
      </c>
      <c r="EA109" s="57" t="n">
        <f aca="false">U109+AT109+BS109+CR109</f>
        <v>2.79546217230935E-006</v>
      </c>
      <c r="EB109" s="57" t="n">
        <f aca="false">V109+AU109+BT109+CS109</f>
        <v>2.39181989591477E-005</v>
      </c>
      <c r="EC109" s="57" t="n">
        <f aca="false">G109*dt*C109</f>
        <v>0.000357704521398034</v>
      </c>
    </row>
    <row r="110" customFormat="false" ht="15" hidden="false" customHeight="false" outlineLevel="0" collapsed="false">
      <c r="A110" s="8" t="n">
        <v>104</v>
      </c>
      <c r="B110" s="54" t="n">
        <f aca="false">start_age+A110*dt</f>
        <v>96</v>
      </c>
      <c r="C110" s="16" t="n">
        <f aca="false">(1+disc_rate)^-(A110*dt)</f>
        <v>0.67902052416203</v>
      </c>
      <c r="D110" s="55" t="n">
        <f aca="false">IF(A110*dt&gt;=wane_start,(1-wane_decay)^(A110*dt-wane_start),1)</f>
        <v>1</v>
      </c>
      <c r="E110" s="25" t="n">
        <f aca="false">MIN(p_nonvasc_death*MIN(EXP(gomp_int+gomp_slope*INT(B110)),1)/qx_ref,0.999)</f>
        <v>0.501187263110617</v>
      </c>
      <c r="F110" s="55" t="n">
        <f aca="false">rr_stroke_per_decade^((B110-ref_age)/10)</f>
        <v>2.86970512640803</v>
      </c>
      <c r="G110" s="57" t="n">
        <f aca="false">DH109</f>
        <v>0.00177655222420541</v>
      </c>
      <c r="H110" s="57" t="n">
        <f aca="false">DI109</f>
        <v>0.000120553056311518</v>
      </c>
      <c r="I110" s="57" t="n">
        <f aca="false">DJ109</f>
        <v>6.16573861553723E-005</v>
      </c>
      <c r="J110" s="57" t="n">
        <f aca="false">DK109</f>
        <v>0.00107638986719358</v>
      </c>
      <c r="K110" s="57" t="n">
        <f aca="false">DL109</f>
        <v>0.996964847466134</v>
      </c>
      <c r="L110" s="57" t="n">
        <f aca="false">1-EXP(LN(1-E110)*dt)</f>
        <v>0.159603212505678</v>
      </c>
      <c r="M110" s="57" t="n">
        <f aca="false">G110*(1-L110)</f>
        <v>0.00149300878203812</v>
      </c>
      <c r="N110" s="57" t="n">
        <f aca="false">IF(Apixaban!$B$2=1,EXP(LN(or_apx_stroke)*D110)*(1-EXP(-r_stroke*F110*dt))/(1-(1-EXP(-r_stroke*F110*dt))+EXP(LN(or_apx_stroke)*D110)*(1-EXP(-r_stroke*F110*dt))),(1-EXP(-r_stroke*F110*dt)))</f>
        <v>0.00911092169695101</v>
      </c>
      <c r="O110" s="57" t="n">
        <f aca="false">IF(Apixaban!$B$2=1,EXP(LN(or_apx_ich)*D110)*(1-EXP(-r_ich*dt))/(1-(1-EXP(-r_ich*dt))+EXP(LN(or_apx_ich)*D110)*(1-EXP(-r_ich*dt))),(1-EXP(-r_ich*dt)))</f>
        <v>0.000843513249640701</v>
      </c>
      <c r="P110" s="57" t="n">
        <f aca="false">IF(Apixaban!$B$2=1,EXP(LN(or_apx_mb)*D110)*(1-EXP(-r_mb*dt))/(1-(1-EXP(-r_mb*dt))+EXP(LN(or_apx_mb)*D110)*(1-EXP(-r_mb*dt))),(1-EXP(-r_mb*dt)))</f>
        <v>0.00669446907979895</v>
      </c>
      <c r="Q110" s="57" t="n">
        <f aca="false">IF(Apixaban!$B$2=1,EXP(LN(or_apx_mi)*D110)*(1-EXP(-r_mi*dt))/(1-(1-EXP(-r_mi*dt))+EXP(LN(or_apx_mi)*D110)*(1-EXP(-r_mi*dt))),(1-EXP(-r_mi*dt)))</f>
        <v>0.00132321915530843</v>
      </c>
      <c r="R110" s="57" t="n">
        <f aca="false">(1-EXP(-r_tia*dt))</f>
        <v>0.0020060281549299</v>
      </c>
      <c r="S110" s="57" t="n">
        <f aca="false">(1-EXP(-r_minor*dt))</f>
        <v>0.0437937690785545</v>
      </c>
      <c r="T110" s="57" t="n">
        <f aca="false">M110*N110</f>
        <v>1.36026861060095E-005</v>
      </c>
      <c r="U110" s="57" t="n">
        <f aca="false">M110*O110</f>
        <v>1.25937268947908E-006</v>
      </c>
      <c r="V110" s="57" t="n">
        <f aca="false">M110*P110</f>
        <v>9.99490112722248E-006</v>
      </c>
      <c r="W110" s="57" t="n">
        <f aca="false">M110*Q110</f>
        <v>1.97557781943655E-006</v>
      </c>
      <c r="X110" s="57" t="n">
        <f aca="false">M110*R110</f>
        <v>2.99501765232606E-006</v>
      </c>
      <c r="Y110" s="57" t="n">
        <f aca="false">M110*S110</f>
        <v>6.53844818328312E-005</v>
      </c>
      <c r="Z110" s="57" t="n">
        <f aca="false">T110*f_stroke_fatal</f>
        <v>3.22383660712425E-006</v>
      </c>
      <c r="AA110" s="57" t="n">
        <f aca="false">T110*(1-f_stroke_fatal)*f_stroke_major</f>
        <v>3.45615688312879E-006</v>
      </c>
      <c r="AB110" s="57" t="n">
        <f aca="false">T110*(1-f_stroke_fatal)*(1-f_stroke_major)</f>
        <v>6.92269261575646E-006</v>
      </c>
      <c r="AC110" s="57" t="n">
        <f aca="false">U110*(1-f_bleed_fatal)</f>
        <v>1.15358538356284E-006</v>
      </c>
      <c r="AD110" s="57" t="n">
        <f aca="false">V110*(1-f_bleed_fatal)</f>
        <v>9.15532943253579E-006</v>
      </c>
      <c r="AE110" s="57" t="n">
        <f aca="false">W110*f_mi_fatal</f>
        <v>2.39044916151822E-007</v>
      </c>
      <c r="AF110" s="57" t="n">
        <f aca="false">W110-AE110</f>
        <v>1.73653290328472E-006</v>
      </c>
      <c r="AG110" s="57" t="n">
        <f aca="false">M110-T110-U110-V110-AE110</f>
        <v>0.00146791277719926</v>
      </c>
      <c r="AH110" s="19" t="n">
        <f aca="false">Z110*c_stroke_fatal+AA110*c_stroke_major+AB110*c_stroke_minor+U110*c_ich+V110*c_major_bleed+AE110*c_mi_fatal+AF110*c_mi_nonfatal+X110*c_tia+Y110*c_minor_bleed</f>
        <v>0.647665193315316</v>
      </c>
      <c r="AI110" s="57" t="n">
        <f aca="false">dt*(AF110*dec_mi+AD110*dec_major_bleed+Y110*dec_minor_bleed+X110*dec_tia)</f>
        <v>5.54460500680068E-007</v>
      </c>
      <c r="AJ110" s="57" t="n">
        <f aca="false">G110*L110+Z110+U110-AC110+V110-AD110+AE110</f>
        <v>0.000287951682691171</v>
      </c>
      <c r="AK110" s="57" t="n">
        <f aca="false">1-EXP(LN(1-E110)*hr_death_prior_stroke*dt)</f>
        <v>0.329630754020851</v>
      </c>
      <c r="AL110" s="57" t="n">
        <f aca="false">H110*(1-AK110)</f>
        <v>8.08150614600341E-005</v>
      </c>
      <c r="AM110" s="57" t="n">
        <f aca="false">(1-EXP(-r_stroke*F110*rr_stroke_prior*rr_asa_stroke*dt))</f>
        <v>0.0404024813902498</v>
      </c>
      <c r="AN110" s="57" t="n">
        <f aca="false">(1-EXP(-r_ich*rr_asa_ich*dt))</f>
        <v>0.00102357767802375</v>
      </c>
      <c r="AO110" s="57" t="n">
        <f aca="false">(1-EXP(-r_mb*rr_asa_mb*dt))</f>
        <v>0.00951809672747972</v>
      </c>
      <c r="AP110" s="57" t="n">
        <f aca="false">(1-EXP(-r_mi*rr_asa_mi*dt))</f>
        <v>0.00213413516393479</v>
      </c>
      <c r="AQ110" s="57" t="n">
        <f aca="false">(1-EXP(-r_tia*rr_asa_tia*dt))</f>
        <v>0.00312764565589152</v>
      </c>
      <c r="AR110" s="57" t="n">
        <f aca="false">(1-EXP(-r_minor*rr_asa_minor*dt))</f>
        <v>0.0278181950466747</v>
      </c>
      <c r="AS110" s="57" t="n">
        <f aca="false">AL110*AM110</f>
        <v>3.26512901669092E-006</v>
      </c>
      <c r="AT110" s="57" t="n">
        <f aca="false">AL110*AN110</f>
        <v>8.2720492958608E-008</v>
      </c>
      <c r="AU110" s="57" t="n">
        <f aca="false">AL110*AO110</f>
        <v>7.69205572013822E-007</v>
      </c>
      <c r="AV110" s="57" t="n">
        <f aca="false">AL110*AP110</f>
        <v>1.7247026443741E-007</v>
      </c>
      <c r="AW110" s="57" t="n">
        <f aca="false">AL110*AQ110</f>
        <v>2.52760875906082E-007</v>
      </c>
      <c r="AX110" s="57" t="n">
        <f aca="false">AL110*AR110</f>
        <v>2.24812914240423E-006</v>
      </c>
      <c r="AY110" s="57" t="n">
        <f aca="false">AS110*f_stroke_fatal_recur</f>
        <v>1.21492185582052E-006</v>
      </c>
      <c r="AZ110" s="57" t="n">
        <f aca="false">AS110*(1-f_stroke_fatal_recur)*f_stroke_major</f>
        <v>6.82718984569842E-007</v>
      </c>
      <c r="BA110" s="57" t="n">
        <f aca="false">AS110*(1-f_stroke_fatal_recur)*(1-f_stroke_major)</f>
        <v>1.36748817630055E-006</v>
      </c>
      <c r="BB110" s="57" t="n">
        <f aca="false">AT110*(1-f_bleed_fatal)</f>
        <v>7.57719715500849E-008</v>
      </c>
      <c r="BC110" s="57" t="n">
        <f aca="false">AU110*(1-f_bleed_fatal)</f>
        <v>7.04592303964661E-007</v>
      </c>
      <c r="BD110" s="57" t="n">
        <f aca="false">AV110*f_mi_fatal</f>
        <v>2.08689019969266E-008</v>
      </c>
      <c r="BE110" s="57" t="n">
        <f aca="false">AV110-BD110</f>
        <v>1.51601362440483E-007</v>
      </c>
      <c r="BF110" s="57" t="n">
        <f aca="false">AL110-AS110-AT110-AU110-BD110</f>
        <v>7.66771374763738E-005</v>
      </c>
      <c r="BG110" s="19" t="n">
        <f aca="false">AY110*c_stroke_fatal+AZ110*c_stroke_major+BA110*c_stroke_minor+AT110*c_ich+AU110*c_major_bleed+BD110*c_mi_fatal+BE110*c_mi_nonfatal+AW110*c_tia+AX110*c_minor_bleed</f>
        <v>0.12346229135039</v>
      </c>
      <c r="BH110" s="57" t="n">
        <f aca="false">dt*(BE110*dec_mi+BC110*dec_major_bleed+AX110*dec_minor_bleed+AW110*dec_tia)</f>
        <v>3.47581778348477E-008</v>
      </c>
      <c r="BI110" s="57" t="n">
        <f aca="false">H110*AK110+AY110+AT110-BB110+AU110-BC110+BD110</f>
        <v>4.10453473987588E-005</v>
      </c>
      <c r="BJ110" s="57" t="n">
        <f aca="false">1-EXP(LN(1-E110)*hr_death_prior_stroke*dt)</f>
        <v>0.329630754020851</v>
      </c>
      <c r="BK110" s="57" t="n">
        <f aca="false">I110*(1-BJ110)</f>
        <v>4.13332154660222E-005</v>
      </c>
      <c r="BL110" s="57" t="n">
        <f aca="false">(1-EXP(-r_stroke*F110*rr_stroke_prior*rr_asa_stroke*dt))</f>
        <v>0.0404024813902498</v>
      </c>
      <c r="BM110" s="57" t="n">
        <f aca="false">(1-EXP(-r_ich*rr_asa_ich*dt))</f>
        <v>0.00102357767802375</v>
      </c>
      <c r="BN110" s="57" t="n">
        <f aca="false">(1-EXP(-r_mb*rr_asa_mb*dt))</f>
        <v>0.00951809672747972</v>
      </c>
      <c r="BO110" s="57" t="n">
        <f aca="false">(1-EXP(-r_mi*rr_asa_mi*dt))</f>
        <v>0.00213413516393479</v>
      </c>
      <c r="BP110" s="57" t="n">
        <f aca="false">(1-EXP(-r_tia*rr_asa_tia*dt))</f>
        <v>0.00312764565589152</v>
      </c>
      <c r="BQ110" s="57" t="n">
        <f aca="false">(1-EXP(-r_minor*rr_asa_minor*dt))</f>
        <v>0.0278181950466747</v>
      </c>
      <c r="BR110" s="57" t="n">
        <f aca="false">BK110*BL110</f>
        <v>1.66996446866515E-006</v>
      </c>
      <c r="BS110" s="57" t="n">
        <f aca="false">BK110*BM110</f>
        <v>4.23077567119662E-008</v>
      </c>
      <c r="BT110" s="57" t="n">
        <f aca="false">BK110*BN110</f>
        <v>3.9341354286336E-007</v>
      </c>
      <c r="BU110" s="57" t="n">
        <f aca="false">BK110*BO110</f>
        <v>8.82106685645313E-008</v>
      </c>
      <c r="BV110" s="57" t="n">
        <f aca="false">BK110*BP110</f>
        <v>1.29275651796333E-007</v>
      </c>
      <c r="BW110" s="57" t="n">
        <f aca="false">BK110*BQ110</f>
        <v>1.14981544974004E-006</v>
      </c>
      <c r="BX110" s="57" t="n">
        <f aca="false">BR110*f_stroke_fatal_recur</f>
        <v>6.21377079145615E-007</v>
      </c>
      <c r="BY110" s="57" t="n">
        <f aca="false">BR110*(1-f_stroke_fatal_recur)*f_stroke_major</f>
        <v>3.49179600710004E-007</v>
      </c>
      <c r="BZ110" s="57" t="n">
        <f aca="false">BR110*(1-f_stroke_fatal_recur)*(1-f_stroke_major)</f>
        <v>6.99407788809529E-007</v>
      </c>
      <c r="CA110" s="57" t="n">
        <f aca="false">BS110*(1-f_bleed_fatal)</f>
        <v>3.8753905148161E-008</v>
      </c>
      <c r="CB110" s="57" t="n">
        <f aca="false">BT110*(1-f_bleed_fatal)</f>
        <v>3.60366805262838E-007</v>
      </c>
      <c r="CC110" s="57" t="n">
        <f aca="false">BU110*f_mi_fatal</f>
        <v>1.06734908963083E-008</v>
      </c>
      <c r="CD110" s="57" t="n">
        <f aca="false">BU110-CC110</f>
        <v>7.7537177668223E-008</v>
      </c>
      <c r="CE110" s="57" t="n">
        <f aca="false">BK110-BR110-BS110-BT110-CC110</f>
        <v>3.92168562068854E-005</v>
      </c>
      <c r="CF110" s="19" t="n">
        <f aca="false">BX110*c_stroke_fatal+BY110*c_stroke_major+BZ110*c_stroke_minor+BS110*c_ich+BT110*c_major_bleed+CC110*c_mi_fatal+CD110*c_mi_nonfatal+BV110*c_tia+BW110*c_minor_bleed</f>
        <v>0.0631453270976989</v>
      </c>
      <c r="CG110" s="57" t="n">
        <f aca="false">dt*(CD110*dec_mi+CB110*dec_major_bleed+BW110*dec_minor_bleed+BV110*dec_tia)</f>
        <v>1.77772215685879E-008</v>
      </c>
      <c r="CH110" s="57" t="n">
        <f aca="false">I110*BJ110+BX110+BS110-CA110+BT110-CB110+CC110</f>
        <v>2.09928218485564E-005</v>
      </c>
      <c r="CI110" s="57" t="n">
        <f aca="false">1-EXP(LN(1-E110)*dt)</f>
        <v>0.159603212505678</v>
      </c>
      <c r="CJ110" s="57" t="n">
        <f aca="false">J110*(1-CI110)</f>
        <v>0.000904594586480928</v>
      </c>
      <c r="CK110" s="57" t="n">
        <f aca="false">(1-EXP(-r_stroke*F110*rr_asa_stroke*dt))</f>
        <v>0.0185714462695167</v>
      </c>
      <c r="CL110" s="57" t="n">
        <f aca="false">(1-EXP(-r_ich*rr_asa_ich*dt))</f>
        <v>0.00102357767802375</v>
      </c>
      <c r="CM110" s="57" t="n">
        <f aca="false">(1-EXP(-r_mb*rr_asa_mb*dt))</f>
        <v>0.00951809672747972</v>
      </c>
      <c r="CN110" s="57" t="n">
        <f aca="false">(1-EXP(-r_mi*rr_asa_mi*dt))</f>
        <v>0.00213413516393479</v>
      </c>
      <c r="CO110" s="57" t="n">
        <f aca="false">(1-EXP(-r_tia*rr_asa_tia*dt))</f>
        <v>0.00312764565589152</v>
      </c>
      <c r="CP110" s="57" t="n">
        <f aca="false">(1-EXP(-r_minor*rr_asa_minor*dt))</f>
        <v>0.0278181950466747</v>
      </c>
      <c r="CQ110" s="57" t="n">
        <f aca="false">CJ110*CK110</f>
        <v>1.67996297585262E-005</v>
      </c>
      <c r="CR110" s="57" t="n">
        <f aca="false">CJ110*CL110</f>
        <v>9.25922826382998E-007</v>
      </c>
      <c r="CS110" s="57" t="n">
        <f aca="false">CJ110*CM110</f>
        <v>8.61001877327999E-006</v>
      </c>
      <c r="CT110" s="57" t="n">
        <f aca="false">CJ110*CN110</f>
        <v>1.930527116114E-006</v>
      </c>
      <c r="CU110" s="57" t="n">
        <f aca="false">CJ110*CO110</f>
        <v>2.82925132875006E-006</v>
      </c>
      <c r="CV110" s="57" t="n">
        <f aca="false">CJ110*CP110</f>
        <v>2.51641886448925E-005</v>
      </c>
      <c r="CW110" s="57" t="n">
        <f aca="false">CQ110*f_stroke_fatal</f>
        <v>3.98151225277071E-006</v>
      </c>
      <c r="CX110" s="57" t="n">
        <f aca="false">CQ110*(1-f_stroke_fatal)*f_stroke_major</f>
        <v>4.26843312941658E-006</v>
      </c>
      <c r="CY110" s="57" t="n">
        <f aca="false">CQ110*(1-f_stroke_fatal)*(1-f_stroke_major)</f>
        <v>8.54968437633892E-006</v>
      </c>
      <c r="CZ110" s="57" t="n">
        <f aca="false">CR110*(1-f_bleed_fatal)</f>
        <v>8.48145308966827E-007</v>
      </c>
      <c r="DA110" s="57" t="n">
        <f aca="false">CS110*(1-f_bleed_fatal)</f>
        <v>7.88677719632447E-006</v>
      </c>
      <c r="DB110" s="57" t="n">
        <f aca="false">CT110*f_mi_fatal</f>
        <v>2.33593781049794E-007</v>
      </c>
      <c r="DC110" s="57" t="n">
        <f aca="false">CT110-DB110</f>
        <v>1.69693333506421E-006</v>
      </c>
      <c r="DD110" s="57" t="n">
        <f aca="false">CJ110-CQ110-CR110-CS110-DB110</f>
        <v>0.000878025421341689</v>
      </c>
      <c r="DE110" s="19" t="n">
        <f aca="false">CW110*c_stroke_fatal+CX110*c_stroke_major+CY110*c_stroke_minor+CR110*c_ich+CS110*c_major_bleed+DB110*c_mi_fatal+DC110*c_mi_nonfatal+CU110*c_tia+CV110*c_minor_bleed</f>
        <v>0.742517647743552</v>
      </c>
      <c r="DF110" s="57" t="n">
        <f aca="false">dt*(DC110*dec_mi+DA110*dec_major_bleed+CV110*dec_minor_bleed+CU110*dec_tia)</f>
        <v>3.89061877047434E-007</v>
      </c>
      <c r="DG110" s="57" t="n">
        <f aca="false">J110*CI110+CW110+CR110-CZ110+CS110-DA110+DB110</f>
        <v>0.000176811405840849</v>
      </c>
      <c r="DH110" s="57" t="n">
        <f aca="false">AG110</f>
        <v>0.00146791277719926</v>
      </c>
      <c r="DI110" s="57" t="n">
        <f aca="false">AB110+AC110+BF110+BA110+BB110+BC110+CY110+CZ110</f>
        <v>9.62990976128141E-005</v>
      </c>
      <c r="DJ110" s="57" t="n">
        <f aca="false">AA110+AZ110+BY110+CX110+CE110+BZ110+CA110+CB110</f>
        <v>4.90718733039312E-005</v>
      </c>
      <c r="DK110" s="57" t="n">
        <f aca="false">AD110+DD110+DA110</f>
        <v>0.000895067527970549</v>
      </c>
      <c r="DL110" s="57" t="n">
        <f aca="false">K110+AJ110+BI110+CH110+DG110</f>
        <v>0.997491648723913</v>
      </c>
      <c r="DM110" s="58" t="n">
        <f aca="false">SUM(DH110:DL110)</f>
        <v>0.999999999999999</v>
      </c>
      <c r="DN110" s="19" t="n">
        <f aca="false">dt*(G110*Apixaban!$H$2+(H110+I110+J110)*c_aspirin)</f>
        <v>0.144786398940034</v>
      </c>
      <c r="DO110" s="19" t="n">
        <f aca="false">dt*(H110*c_lt_minor_stroke+I110*c_lt_major_stroke)</f>
        <v>0.728434348457012</v>
      </c>
      <c r="DP110" s="19" t="n">
        <f aca="false">AH110+BG110+CF110+DE110</f>
        <v>1.57679045950696</v>
      </c>
      <c r="DQ110" s="19" t="n">
        <f aca="false">DN110+DO110+DP110</f>
        <v>2.450011206904</v>
      </c>
      <c r="DR110" s="57" t="n">
        <f aca="false">dt*(G110*(u_af-dec_per_year_over_70*MAX(B110-ref_age,0))+H110*(u_minor_stroke-dec_per_year_over_70*MAX(B110-ref_age,0))+I110*(u_major_stroke-dec_per_year_over_70*MAX(B110-ref_age,0))+J110*(u_af-dec_per_year_over_70*MAX(B110-ref_age,0)))-AI110-BH110-CG110-DF110</f>
        <v>0.000598733962922057</v>
      </c>
      <c r="DS110" s="57" t="n">
        <f aca="false">dt*(G110+H110+I110+J110)</f>
        <v>0.000758788133466471</v>
      </c>
      <c r="DT110" s="19" t="n">
        <f aca="false">DQ110*C110</f>
        <v>1.6636078939148</v>
      </c>
      <c r="DU110" s="19" t="n">
        <f aca="false">DN110*C110</f>
        <v>0.0983129364997945</v>
      </c>
      <c r="DV110" s="19" t="n">
        <f aca="false">DP110*C110</f>
        <v>1.0706730843081</v>
      </c>
      <c r="DW110" s="19" t="n">
        <f aca="false">DO110*C110</f>
        <v>0.494621873106907</v>
      </c>
      <c r="DX110" s="57" t="n">
        <f aca="false">DR110*C110</f>
        <v>0.000406552649336945</v>
      </c>
      <c r="DY110" s="57" t="n">
        <f aca="false">DS110*C110</f>
        <v>0.000515232716114332</v>
      </c>
      <c r="DZ110" s="57" t="n">
        <f aca="false">T110+AS110+BR110+CQ110</f>
        <v>3.53374093498918E-005</v>
      </c>
      <c r="EA110" s="57" t="n">
        <f aca="false">U110+AT110+BS110+CR110</f>
        <v>2.31032376553265E-006</v>
      </c>
      <c r="EB110" s="57" t="n">
        <f aca="false">V110+AU110+BT110+CS110</f>
        <v>1.97675390153796E-005</v>
      </c>
      <c r="EC110" s="57" t="n">
        <f aca="false">G110*dt*C110</f>
        <v>0.000301578855620295</v>
      </c>
    </row>
    <row r="111" customFormat="false" ht="15" hidden="false" customHeight="false" outlineLevel="0" collapsed="false">
      <c r="A111" s="8" t="n">
        <v>105</v>
      </c>
      <c r="B111" s="54" t="n">
        <f aca="false">start_age+A111*dt</f>
        <v>96.25</v>
      </c>
      <c r="C111" s="16" t="n">
        <f aca="false">(1+disc_rate)^-(A111*dt)</f>
        <v>0.676497803685662</v>
      </c>
      <c r="D111" s="55" t="n">
        <f aca="false">IF(A111*dt&gt;=wane_start,(1-wane_decay)^(A111*dt-wane_start),1)</f>
        <v>1</v>
      </c>
      <c r="E111" s="25" t="n">
        <f aca="false">MIN(p_nonvasc_death*MIN(EXP(gomp_int+gomp_slope*INT(B111)),1)/qx_ref,0.999)</f>
        <v>0.501187263110617</v>
      </c>
      <c r="F111" s="55" t="n">
        <f aca="false">rr_stroke_per_decade^((B111-ref_age)/10)</f>
        <v>2.89894219116634</v>
      </c>
      <c r="G111" s="57" t="n">
        <f aca="false">DH110</f>
        <v>0.00146791277719926</v>
      </c>
      <c r="H111" s="57" t="n">
        <f aca="false">DI110</f>
        <v>9.62990976128141E-005</v>
      </c>
      <c r="I111" s="57" t="n">
        <f aca="false">DJ110</f>
        <v>4.90718733039312E-005</v>
      </c>
      <c r="J111" s="57" t="n">
        <f aca="false">DK110</f>
        <v>0.000895067527970549</v>
      </c>
      <c r="K111" s="57" t="n">
        <f aca="false">DL110</f>
        <v>0.997491648723913</v>
      </c>
      <c r="L111" s="57" t="n">
        <f aca="false">1-EXP(LN(1-E111)*dt)</f>
        <v>0.159603212505678</v>
      </c>
      <c r="M111" s="57" t="n">
        <f aca="false">G111*(1-L111)</f>
        <v>0.00123362918228012</v>
      </c>
      <c r="N111" s="57" t="n">
        <f aca="false">IF(Apixaban!$B$2=1,EXP(LN(or_apx_stroke)*D111)*(1-EXP(-r_stroke*F111*dt))/(1-(1-EXP(-r_stroke*F111*dt))+EXP(LN(or_apx_stroke)*D111)*(1-EXP(-r_stroke*F111*dt))),(1-EXP(-r_stroke*F111*dt)))</f>
        <v>0.00920342968437037</v>
      </c>
      <c r="O111" s="57" t="n">
        <f aca="false">IF(Apixaban!$B$2=1,EXP(LN(or_apx_ich)*D111)*(1-EXP(-r_ich*dt))/(1-(1-EXP(-r_ich*dt))+EXP(LN(or_apx_ich)*D111)*(1-EXP(-r_ich*dt))),(1-EXP(-r_ich*dt)))</f>
        <v>0.000843513249640701</v>
      </c>
      <c r="P111" s="57" t="n">
        <f aca="false">IF(Apixaban!$B$2=1,EXP(LN(or_apx_mb)*D111)*(1-EXP(-r_mb*dt))/(1-(1-EXP(-r_mb*dt))+EXP(LN(or_apx_mb)*D111)*(1-EXP(-r_mb*dt))),(1-EXP(-r_mb*dt)))</f>
        <v>0.00669446907979895</v>
      </c>
      <c r="Q111" s="57" t="n">
        <f aca="false">IF(Apixaban!$B$2=1,EXP(LN(or_apx_mi)*D111)*(1-EXP(-r_mi*dt))/(1-(1-EXP(-r_mi*dt))+EXP(LN(or_apx_mi)*D111)*(1-EXP(-r_mi*dt))),(1-EXP(-r_mi*dt)))</f>
        <v>0.00132321915530843</v>
      </c>
      <c r="R111" s="57" t="n">
        <f aca="false">(1-EXP(-r_tia*dt))</f>
        <v>0.0020060281549299</v>
      </c>
      <c r="S111" s="57" t="n">
        <f aca="false">(1-EXP(-r_minor*dt))</f>
        <v>0.0437937690785545</v>
      </c>
      <c r="T111" s="57" t="n">
        <f aca="false">M111*N111</f>
        <v>1.13536194357024E-005</v>
      </c>
      <c r="U111" s="57" t="n">
        <f aca="false">M111*O111</f>
        <v>1.04058256039671E-006</v>
      </c>
      <c r="V111" s="57" t="n">
        <f aca="false">M111*P111</f>
        <v>8.25849241671194E-006</v>
      </c>
      <c r="W111" s="57" t="n">
        <f aca="false">M111*Q111</f>
        <v>1.63236176454053E-006</v>
      </c>
      <c r="X111" s="57" t="n">
        <f aca="false">M111*R111</f>
        <v>2.47469487239707E-006</v>
      </c>
      <c r="Y111" s="57" t="n">
        <f aca="false">M111*S111</f>
        <v>5.40252715373417E-005</v>
      </c>
      <c r="Z111" s="57" t="n">
        <f aca="false">T111*f_stroke_fatal</f>
        <v>2.69080780626147E-006</v>
      </c>
      <c r="AA111" s="57" t="n">
        <f aca="false">T111*(1-f_stroke_fatal)*f_stroke_major</f>
        <v>2.88471627260384E-006</v>
      </c>
      <c r="AB111" s="57" t="n">
        <f aca="false">T111*(1-f_stroke_fatal)*(1-f_stroke_major)</f>
        <v>5.77809535683711E-006</v>
      </c>
      <c r="AC111" s="57" t="n">
        <f aca="false">U111*(1-f_bleed_fatal)</f>
        <v>9.53173625323383E-007</v>
      </c>
      <c r="AD111" s="57" t="n">
        <f aca="false">V111*(1-f_bleed_fatal)</f>
        <v>7.56477905370814E-006</v>
      </c>
      <c r="AE111" s="57" t="n">
        <f aca="false">W111*f_mi_fatal</f>
        <v>1.97515773509404E-007</v>
      </c>
      <c r="AF111" s="57" t="n">
        <f aca="false">W111-AE111</f>
        <v>1.43484599103113E-006</v>
      </c>
      <c r="AG111" s="57" t="n">
        <f aca="false">M111-T111-U111-V111-AE111</f>
        <v>0.0012127789720938</v>
      </c>
      <c r="AH111" s="19" t="n">
        <f aca="false">Z111*c_stroke_fatal+AA111*c_stroke_major+AB111*c_stroke_minor+U111*c_ich+V111*c_major_bleed+AE111*c_mi_fatal+AF111*c_mi_nonfatal+X111*c_tia+Y111*c_minor_bleed</f>
        <v>0.539363157295255</v>
      </c>
      <c r="AI111" s="57" t="n">
        <f aca="false">dt*(AF111*dec_mi+AD111*dec_major_bleed+Y111*dec_minor_bleed+X111*dec_tia)</f>
        <v>4.58134380915595E-007</v>
      </c>
      <c r="AJ111" s="57" t="n">
        <f aca="false">G111*L111+Z111+U111-AC111+V111-AD111+AE111</f>
        <v>0.000237953040796981</v>
      </c>
      <c r="AK111" s="57" t="n">
        <f aca="false">1-EXP(LN(1-E111)*hr_death_prior_stroke*dt)</f>
        <v>0.329630754020851</v>
      </c>
      <c r="AL111" s="57" t="n">
        <f aca="false">H111*(1-AK111)</f>
        <v>6.45559534551747E-005</v>
      </c>
      <c r="AM111" s="57" t="n">
        <f aca="false">(1-EXP(-r_stroke*F111*rr_stroke_prior*rr_asa_stroke*dt))</f>
        <v>0.0408055946458331</v>
      </c>
      <c r="AN111" s="57" t="n">
        <f aca="false">(1-EXP(-r_ich*rr_asa_ich*dt))</f>
        <v>0.00102357767802375</v>
      </c>
      <c r="AO111" s="57" t="n">
        <f aca="false">(1-EXP(-r_mb*rr_asa_mb*dt))</f>
        <v>0.00951809672747972</v>
      </c>
      <c r="AP111" s="57" t="n">
        <f aca="false">(1-EXP(-r_mi*rr_asa_mi*dt))</f>
        <v>0.00213413516393479</v>
      </c>
      <c r="AQ111" s="57" t="n">
        <f aca="false">(1-EXP(-r_tia*rr_asa_tia*dt))</f>
        <v>0.00312764565589152</v>
      </c>
      <c r="AR111" s="57" t="n">
        <f aca="false">(1-EXP(-r_minor*rr_asa_minor*dt))</f>
        <v>0.0278181950466747</v>
      </c>
      <c r="AS111" s="57" t="n">
        <f aca="false">AL111*AM111</f>
        <v>2.63424406866713E-006</v>
      </c>
      <c r="AT111" s="57" t="n">
        <f aca="false">AL111*AN111</f>
        <v>6.60780329402567E-008</v>
      </c>
      <c r="AU111" s="57" t="n">
        <f aca="false">AL111*AO111</f>
        <v>6.14449809321031E-007</v>
      </c>
      <c r="AV111" s="57" t="n">
        <f aca="false">AL111*AP111</f>
        <v>1.37771130310026E-007</v>
      </c>
      <c r="AW111" s="57" t="n">
        <f aca="false">AL111*AQ111</f>
        <v>2.01908147386012E-007</v>
      </c>
      <c r="AX111" s="57" t="n">
        <f aca="false">AL111*AR111</f>
        <v>1.7958301046401E-006</v>
      </c>
      <c r="AY111" s="57" t="n">
        <f aca="false">AS111*f_stroke_fatal_recur</f>
        <v>9.80175875510352E-007</v>
      </c>
      <c r="AZ111" s="57" t="n">
        <f aca="false">AS111*(1-f_stroke_fatal_recur)*f_stroke_major</f>
        <v>5.50804708321206E-007</v>
      </c>
      <c r="BA111" s="57" t="n">
        <f aca="false">AS111*(1-f_stroke_fatal_recur)*(1-f_stroke_major)</f>
        <v>1.10326348483557E-006</v>
      </c>
      <c r="BB111" s="57" t="n">
        <f aca="false">AT111*(1-f_bleed_fatal)</f>
        <v>6.05274781732752E-008</v>
      </c>
      <c r="BC111" s="57" t="n">
        <f aca="false">AU111*(1-f_bleed_fatal)</f>
        <v>5.62836025338065E-007</v>
      </c>
      <c r="BD111" s="57" t="n">
        <f aca="false">AV111*f_mi_fatal</f>
        <v>1.66703067675131E-008</v>
      </c>
      <c r="BE111" s="57" t="n">
        <f aca="false">AV111-BD111</f>
        <v>1.21100823542513E-007</v>
      </c>
      <c r="BF111" s="57" t="n">
        <f aca="false">AL111-AS111-AT111-AU111-BD111</f>
        <v>6.12245112374788E-005</v>
      </c>
      <c r="BG111" s="19" t="n">
        <f aca="false">AY111*c_stroke_fatal+AZ111*c_stroke_major+BA111*c_stroke_minor+AT111*c_ich+AU111*c_major_bleed+BD111*c_mi_fatal+BE111*c_mi_nonfatal+AW111*c_tia+AX111*c_minor_bleed</f>
        <v>0.0995202976720632</v>
      </c>
      <c r="BH111" s="57" t="n">
        <f aca="false">dt*(BE111*dec_mi+BC111*dec_major_bleed+AX111*dec_minor_bleed+AW111*dec_tia)</f>
        <v>2.77652119537492E-008</v>
      </c>
      <c r="BI111" s="57" t="n">
        <f aca="false">H111*AK111+AY111+AT111-BB111+AU111-BC111+BD111</f>
        <v>3.27971546786672E-005</v>
      </c>
      <c r="BJ111" s="57" t="n">
        <f aca="false">1-EXP(LN(1-E111)*hr_death_prior_stroke*dt)</f>
        <v>0.329630754020851</v>
      </c>
      <c r="BK111" s="57" t="n">
        <f aca="false">I111*(1-BJ111)</f>
        <v>3.28962747055407E-005</v>
      </c>
      <c r="BL111" s="57" t="n">
        <f aca="false">(1-EXP(-r_stroke*F111*rr_stroke_prior*rr_asa_stroke*dt))</f>
        <v>0.0408055946458331</v>
      </c>
      <c r="BM111" s="57" t="n">
        <f aca="false">(1-EXP(-r_ich*rr_asa_ich*dt))</f>
        <v>0.00102357767802375</v>
      </c>
      <c r="BN111" s="57" t="n">
        <f aca="false">(1-EXP(-r_mb*rr_asa_mb*dt))</f>
        <v>0.00951809672747972</v>
      </c>
      <c r="BO111" s="57" t="n">
        <f aca="false">(1-EXP(-r_mi*rr_asa_mi*dt))</f>
        <v>0.00213413516393479</v>
      </c>
      <c r="BP111" s="57" t="n">
        <f aca="false">(1-EXP(-r_tia*rr_asa_tia*dt))</f>
        <v>0.00312764565589152</v>
      </c>
      <c r="BQ111" s="57" t="n">
        <f aca="false">(1-EXP(-r_minor*rr_asa_minor*dt))</f>
        <v>0.0278181950466747</v>
      </c>
      <c r="BR111" s="57" t="n">
        <f aca="false">BK111*BL111</f>
        <v>1.34235205099227E-006</v>
      </c>
      <c r="BS111" s="57" t="n">
        <f aca="false">BK111*BM111</f>
        <v>3.36718924787286E-008</v>
      </c>
      <c r="BT111" s="57" t="n">
        <f aca="false">BK111*BN111</f>
        <v>3.13109924621081E-007</v>
      </c>
      <c r="BU111" s="57" t="n">
        <f aca="false">BK111*BO111</f>
        <v>7.0205096611553E-008</v>
      </c>
      <c r="BV111" s="57" t="n">
        <f aca="false">BK111*BP111</f>
        <v>1.02887890677798E-007</v>
      </c>
      <c r="BW111" s="57" t="n">
        <f aca="false">BK111*BQ111</f>
        <v>9.15114986067722E-007</v>
      </c>
      <c r="BX111" s="57" t="n">
        <f aca="false">BR111*f_stroke_fatal_recur</f>
        <v>4.99475774653712E-007</v>
      </c>
      <c r="BY111" s="57" t="n">
        <f aca="false">BR111*(1-f_stroke_fatal_recur)*f_stroke_major</f>
        <v>2.80677800020738E-007</v>
      </c>
      <c r="BZ111" s="57" t="n">
        <f aca="false">BR111*(1-f_stroke_fatal_recur)*(1-f_stroke_major)</f>
        <v>5.62198476317815E-007</v>
      </c>
      <c r="CA111" s="57" t="n">
        <f aca="false">BS111*(1-f_bleed_fatal)</f>
        <v>3.08434535105154E-008</v>
      </c>
      <c r="CB111" s="57" t="n">
        <f aca="false">BT111*(1-f_bleed_fatal)</f>
        <v>2.8680869095291E-007</v>
      </c>
      <c r="CC111" s="57" t="n">
        <f aca="false">BU111*f_mi_fatal</f>
        <v>8.49481668999791E-009</v>
      </c>
      <c r="CD111" s="57" t="n">
        <f aca="false">BU111-CC111</f>
        <v>6.17102799215551E-008</v>
      </c>
      <c r="CE111" s="57" t="n">
        <f aca="false">BK111-BR111-BS111-BT111-CC111</f>
        <v>3.11986460207586E-005</v>
      </c>
      <c r="CF111" s="19" t="n">
        <f aca="false">BX111*c_stroke_fatal+BY111*c_stroke_major+BZ111*c_stroke_minor+BS111*c_ich+BT111*c_major_bleed+CC111*c_mi_fatal+CD111*c_mi_nonfatal+BV111*c_tia+BW111*c_minor_bleed</f>
        <v>0.0507133250424473</v>
      </c>
      <c r="CG111" s="57" t="n">
        <f aca="false">dt*(CD111*dec_mi+CB111*dec_major_bleed+BW111*dec_minor_bleed+BV111*dec_tia)</f>
        <v>1.41485330291389E-008</v>
      </c>
      <c r="CH111" s="57" t="n">
        <f aca="false">I111*BJ111+BX111+BS111-CA111+BT111-CB111+CC111</f>
        <v>1.67126988623706E-005</v>
      </c>
      <c r="CI111" s="57" t="n">
        <f aca="false">1-EXP(LN(1-E111)*dt)</f>
        <v>0.159603212505678</v>
      </c>
      <c r="CJ111" s="57" t="n">
        <f aca="false">J111*(1-CI111)</f>
        <v>0.000752211875096933</v>
      </c>
      <c r="CK111" s="57" t="n">
        <f aca="false">(1-EXP(-r_stroke*F111*rr_asa_stroke*dt))</f>
        <v>0.0187588696366847</v>
      </c>
      <c r="CL111" s="57" t="n">
        <f aca="false">(1-EXP(-r_ich*rr_asa_ich*dt))</f>
        <v>0.00102357767802375</v>
      </c>
      <c r="CM111" s="57" t="n">
        <f aca="false">(1-EXP(-r_mb*rr_asa_mb*dt))</f>
        <v>0.00951809672747972</v>
      </c>
      <c r="CN111" s="57" t="n">
        <f aca="false">(1-EXP(-r_mi*rr_asa_mi*dt))</f>
        <v>0.00213413516393479</v>
      </c>
      <c r="CO111" s="57" t="n">
        <f aca="false">(1-EXP(-r_tia*rr_asa_tia*dt))</f>
        <v>0.00312764565589152</v>
      </c>
      <c r="CP111" s="57" t="n">
        <f aca="false">(1-EXP(-r_minor*rr_asa_minor*dt))</f>
        <v>0.0278181950466747</v>
      </c>
      <c r="CQ111" s="57" t="n">
        <f aca="false">CJ111*CK111</f>
        <v>1.41106445041095E-005</v>
      </c>
      <c r="CR111" s="57" t="n">
        <f aca="false">CJ111*CL111</f>
        <v>7.69947284493607E-007</v>
      </c>
      <c r="CS111" s="57" t="n">
        <f aca="false">CJ111*CM111</f>
        <v>7.1596253867315E-006</v>
      </c>
      <c r="CT111" s="57" t="n">
        <f aca="false">CJ111*CN111</f>
        <v>1.60532181337369E-006</v>
      </c>
      <c r="CU111" s="57" t="n">
        <f aca="false">CJ111*CO111</f>
        <v>2.35265220345694E-006</v>
      </c>
      <c r="CV111" s="57" t="n">
        <f aca="false">CJ111*CP111</f>
        <v>2.09251766578714E-005</v>
      </c>
      <c r="CW111" s="57" t="n">
        <f aca="false">CQ111*f_stroke_fatal</f>
        <v>3.34422274747396E-006</v>
      </c>
      <c r="CX111" s="57" t="n">
        <f aca="false">CQ111*(1-f_stroke_fatal)*f_stroke_major</f>
        <v>3.58521844495965E-006</v>
      </c>
      <c r="CY111" s="57" t="n">
        <f aca="false">CQ111*(1-f_stroke_fatal)*(1-f_stroke_major)</f>
        <v>7.18120331167593E-006</v>
      </c>
      <c r="CZ111" s="57" t="n">
        <f aca="false">CR111*(1-f_bleed_fatal)</f>
        <v>7.05271712596144E-007</v>
      </c>
      <c r="DA111" s="57" t="n">
        <f aca="false">CS111*(1-f_bleed_fatal)</f>
        <v>6.55821685424606E-006</v>
      </c>
      <c r="DB111" s="57" t="n">
        <f aca="false">CT111*f_mi_fatal</f>
        <v>1.94243939418217E-007</v>
      </c>
      <c r="DC111" s="57" t="n">
        <f aca="false">CT111-DB111</f>
        <v>1.41107787395547E-006</v>
      </c>
      <c r="DD111" s="57" t="n">
        <f aca="false">CJ111-CQ111-CR111-CS111-DB111</f>
        <v>0.00072997741398218</v>
      </c>
      <c r="DE111" s="19" t="n">
        <f aca="false">CW111*c_stroke_fatal+CX111*c_stroke_major+CY111*c_stroke_minor+CR111*c_ich+CS111*c_major_bleed+DB111*c_mi_fatal+DC111*c_mi_nonfatal+CU111*c_tia+CV111*c_minor_bleed</f>
        <v>0.622646423107287</v>
      </c>
      <c r="DF111" s="57" t="n">
        <f aca="false">dt*(DC111*dec_mi+DA111*dec_major_bleed+CV111*dec_minor_bleed+CU111*dec_tia)</f>
        <v>3.23522789585866E-007</v>
      </c>
      <c r="DG111" s="57" t="n">
        <f aca="false">J111*CI111+CW111+CR111-CZ111+CS111-DA111+DB111</f>
        <v>0.000147060203664891</v>
      </c>
      <c r="DH111" s="57" t="n">
        <f aca="false">AG111</f>
        <v>0.0012127789720938</v>
      </c>
      <c r="DI111" s="57" t="n">
        <f aca="false">AB111+AC111+BF111+BA111+BB111+BC111+CY111+CZ111</f>
        <v>7.75688822322583E-005</v>
      </c>
      <c r="DJ111" s="57" t="n">
        <f aca="false">AA111+AZ111+BY111+CX111+CE111+BZ111+CA111+CB111</f>
        <v>3.93799138674453E-005</v>
      </c>
      <c r="DK111" s="57" t="n">
        <f aca="false">AD111+DD111+DA111</f>
        <v>0.000744100409890135</v>
      </c>
      <c r="DL111" s="57" t="n">
        <f aca="false">K111+AJ111+BI111+CH111+DG111</f>
        <v>0.997926171821916</v>
      </c>
      <c r="DM111" s="58" t="n">
        <f aca="false">SUM(DH111:DL111)</f>
        <v>0.999999999999999</v>
      </c>
      <c r="DN111" s="19" t="n">
        <f aca="false">dt*(G111*Apixaban!$H$2+(H111+I111+J111)*c_aspirin)</f>
        <v>0.119637559719408</v>
      </c>
      <c r="DO111" s="19" t="n">
        <f aca="false">dt*(H111*c_lt_minor_stroke+I111*c_lt_major_stroke)</f>
        <v>0.580701457543456</v>
      </c>
      <c r="DP111" s="19" t="n">
        <f aca="false">AH111+BG111+CF111+DE111</f>
        <v>1.31224320311705</v>
      </c>
      <c r="DQ111" s="19" t="n">
        <f aca="false">DN111+DO111+DP111</f>
        <v>2.01258222037992</v>
      </c>
      <c r="DR111" s="57" t="n">
        <f aca="false">dt*(G111*(u_af-dec_per_year_over_70*MAX(B111-ref_age,0))+H111*(u_minor_stroke-dec_per_year_over_70*MAX(B111-ref_age,0))+I111*(u_major_stroke-dec_per_year_over_70*MAX(B111-ref_age,0))+J111*(u_af-dec_per_year_over_70*MAX(B111-ref_age,0)))-AI111-BH111-CG111-DF111</f>
        <v>0.000495042641926723</v>
      </c>
      <c r="DS111" s="57" t="n">
        <f aca="false">dt*(G111+H111+I111+J111)</f>
        <v>0.000627087819021637</v>
      </c>
      <c r="DT111" s="19" t="n">
        <f aca="false">DQ111*C111</f>
        <v>1.36150745182383</v>
      </c>
      <c r="DU111" s="19" t="n">
        <f aca="false">DN111*C111</f>
        <v>0.0809345463884918</v>
      </c>
      <c r="DV111" s="19" t="n">
        <f aca="false">DP111*C111</f>
        <v>0.887729644810124</v>
      </c>
      <c r="DW111" s="19" t="n">
        <f aca="false">DO111*C111</f>
        <v>0.39284326062521</v>
      </c>
      <c r="DX111" s="57" t="n">
        <f aca="false">DR111*C111</f>
        <v>0.000334895259994176</v>
      </c>
      <c r="DY111" s="57" t="n">
        <f aca="false">DS111*C111</f>
        <v>0.000424223532286169</v>
      </c>
      <c r="DZ111" s="57" t="n">
        <f aca="false">T111+AS111+BR111+CQ111</f>
        <v>2.94408600594713E-005</v>
      </c>
      <c r="EA111" s="57" t="n">
        <f aca="false">U111+AT111+BS111+CR111</f>
        <v>1.9102797703093E-006</v>
      </c>
      <c r="EB111" s="57" t="n">
        <f aca="false">V111+AU111+BT111+CS111</f>
        <v>1.63456775373856E-005</v>
      </c>
      <c r="EC111" s="57" t="n">
        <f aca="false">G111*dt*C111</f>
        <v>0.000248259942444354</v>
      </c>
    </row>
    <row r="112" customFormat="false" ht="15" hidden="false" customHeight="false" outlineLevel="0" collapsed="false">
      <c r="A112" s="8" t="n">
        <v>106</v>
      </c>
      <c r="B112" s="54" t="n">
        <f aca="false">start_age+A112*dt</f>
        <v>96.5</v>
      </c>
      <c r="C112" s="16" t="n">
        <f aca="false">(1+disc_rate)^-(A112*dt)</f>
        <v>0.673984455707437</v>
      </c>
      <c r="D112" s="55" t="n">
        <f aca="false">IF(A112*dt&gt;=wane_start,(1-wane_decay)^(A112*dt-wane_start),1)</f>
        <v>1</v>
      </c>
      <c r="E112" s="25" t="n">
        <f aca="false">MIN(p_nonvasc_death*MIN(EXP(gomp_int+gomp_slope*INT(B112)),1)/qx_ref,0.999)</f>
        <v>0.501187263110617</v>
      </c>
      <c r="F112" s="55" t="n">
        <f aca="false">rr_stroke_per_decade^((B112-ref_age)/10)</f>
        <v>2.92847712832549</v>
      </c>
      <c r="G112" s="57" t="n">
        <f aca="false">DH111</f>
        <v>0.0012127789720938</v>
      </c>
      <c r="H112" s="57" t="n">
        <f aca="false">DI111</f>
        <v>7.75688822322583E-005</v>
      </c>
      <c r="I112" s="57" t="n">
        <f aca="false">DJ111</f>
        <v>3.93799138674453E-005</v>
      </c>
      <c r="J112" s="57" t="n">
        <f aca="false">DK111</f>
        <v>0.000744100409890135</v>
      </c>
      <c r="K112" s="57" t="n">
        <f aca="false">DL111</f>
        <v>0.997926171821916</v>
      </c>
      <c r="L112" s="57" t="n">
        <f aca="false">1-EXP(LN(1-E112)*dt)</f>
        <v>0.159603212505678</v>
      </c>
      <c r="M112" s="57" t="n">
        <f aca="false">G112*(1-L112)</f>
        <v>0.0010192155520883</v>
      </c>
      <c r="N112" s="57" t="n">
        <f aca="false">IF(Apixaban!$B$2=1,EXP(LN(or_apx_stroke)*D112)*(1-EXP(-r_stroke*F112*dt))/(1-(1-EXP(-r_stroke*F112*dt))+EXP(LN(or_apx_stroke)*D112)*(1-EXP(-r_stroke*F112*dt))),(1-EXP(-r_stroke*F112*dt)))</f>
        <v>0.00929687369443712</v>
      </c>
      <c r="O112" s="57" t="n">
        <f aca="false">IF(Apixaban!$B$2=1,EXP(LN(or_apx_ich)*D112)*(1-EXP(-r_ich*dt))/(1-(1-EXP(-r_ich*dt))+EXP(LN(or_apx_ich)*D112)*(1-EXP(-r_ich*dt))),(1-EXP(-r_ich*dt)))</f>
        <v>0.000843513249640701</v>
      </c>
      <c r="P112" s="57" t="n">
        <f aca="false">IF(Apixaban!$B$2=1,EXP(LN(or_apx_mb)*D112)*(1-EXP(-r_mb*dt))/(1-(1-EXP(-r_mb*dt))+EXP(LN(or_apx_mb)*D112)*(1-EXP(-r_mb*dt))),(1-EXP(-r_mb*dt)))</f>
        <v>0.00669446907979895</v>
      </c>
      <c r="Q112" s="57" t="n">
        <f aca="false">IF(Apixaban!$B$2=1,EXP(LN(or_apx_mi)*D112)*(1-EXP(-r_mi*dt))/(1-(1-EXP(-r_mi*dt))+EXP(LN(or_apx_mi)*D112)*(1-EXP(-r_mi*dt))),(1-EXP(-r_mi*dt)))</f>
        <v>0.00132321915530843</v>
      </c>
      <c r="R112" s="57" t="n">
        <f aca="false">(1-EXP(-r_tia*dt))</f>
        <v>0.0020060281549299</v>
      </c>
      <c r="S112" s="57" t="n">
        <f aca="false">(1-EXP(-r_minor*dt))</f>
        <v>0.0437937690785545</v>
      </c>
      <c r="T112" s="57" t="n">
        <f aca="false">M112*N112</f>
        <v>9.47551825517089E-006</v>
      </c>
      <c r="U112" s="57" t="n">
        <f aca="false">M112*O112</f>
        <v>8.5972182242634E-007</v>
      </c>
      <c r="V112" s="57" t="n">
        <f aca="false">M112*P112</f>
        <v>6.82310699910532E-006</v>
      </c>
      <c r="W112" s="57" t="n">
        <f aca="false">M112*Q112</f>
        <v>1.34864554191149E-006</v>
      </c>
      <c r="X112" s="57" t="n">
        <f aca="false">M112*R112</f>
        <v>2.04457509343154E-006</v>
      </c>
      <c r="Y112" s="57" t="n">
        <f aca="false">M112*S112</f>
        <v>4.46352905294263E-005</v>
      </c>
      <c r="Z112" s="57" t="n">
        <f aca="false">T112*f_stroke_fatal</f>
        <v>2.2456978264755E-006</v>
      </c>
      <c r="AA112" s="57" t="n">
        <f aca="false">T112*(1-f_stroke_fatal)*f_stroke_major</f>
        <v>2.40753020275556E-006</v>
      </c>
      <c r="AB112" s="57" t="n">
        <f aca="false">T112*(1-f_stroke_fatal)*(1-f_stroke_major)</f>
        <v>4.82229022593982E-006</v>
      </c>
      <c r="AC112" s="57" t="n">
        <f aca="false">U112*(1-f_bleed_fatal)</f>
        <v>7.87505189342527E-007</v>
      </c>
      <c r="AD112" s="57" t="n">
        <f aca="false">V112*(1-f_bleed_fatal)</f>
        <v>6.24996601118047E-006</v>
      </c>
      <c r="AE112" s="57" t="n">
        <f aca="false">W112*f_mi_fatal</f>
        <v>1.6318611057129E-007</v>
      </c>
      <c r="AF112" s="57" t="n">
        <f aca="false">W112-AE112</f>
        <v>1.1854594313402E-006</v>
      </c>
      <c r="AG112" s="57" t="n">
        <f aca="false">M112-T112-U112-V112-AE112</f>
        <v>0.00100189401890102</v>
      </c>
      <c r="AH112" s="19" t="n">
        <f aca="false">Z112*c_stroke_fatal+AA112*c_stroke_major+AB112*c_stroke_minor+U112*c_ich+V112*c_major_bleed+AE112*c_mi_fatal+AF112*c_mi_nonfatal+X112*c_tia+Y112*c_minor_bleed</f>
        <v>0.44913683596211</v>
      </c>
      <c r="AI112" s="57" t="n">
        <f aca="false">dt*(AF112*dec_mi+AD112*dec_major_bleed+Y112*dec_minor_bleed+X112*dec_tia)</f>
        <v>3.7850732836303E-007</v>
      </c>
      <c r="AJ112" s="57" t="n">
        <f aca="false">G112*L112+Z112+U112-AC112+V112-AD112+AE112</f>
        <v>0.000196617661563561</v>
      </c>
      <c r="AK112" s="57" t="n">
        <f aca="false">1-EXP(LN(1-E112)*hr_death_prior_stroke*dt)</f>
        <v>0.329630754020851</v>
      </c>
      <c r="AL112" s="57" t="n">
        <f aca="false">H112*(1-AK112)</f>
        <v>5.19997930934844E-005</v>
      </c>
      <c r="AM112" s="57" t="n">
        <f aca="false">(1-EXP(-r_stroke*F112*rr_stroke_prior*rr_asa_stroke*dt))</f>
        <v>0.0412126429521403</v>
      </c>
      <c r="AN112" s="57" t="n">
        <f aca="false">(1-EXP(-r_ich*rr_asa_ich*dt))</f>
        <v>0.00102357767802375</v>
      </c>
      <c r="AO112" s="57" t="n">
        <f aca="false">(1-EXP(-r_mb*rr_asa_mb*dt))</f>
        <v>0.00951809672747972</v>
      </c>
      <c r="AP112" s="57" t="n">
        <f aca="false">(1-EXP(-r_mi*rr_asa_mi*dt))</f>
        <v>0.00213413516393479</v>
      </c>
      <c r="AQ112" s="57" t="n">
        <f aca="false">(1-EXP(-r_tia*rr_asa_tia*dt))</f>
        <v>0.00312764565589152</v>
      </c>
      <c r="AR112" s="57" t="n">
        <f aca="false">(1-EXP(-r_minor*rr_asa_minor*dt))</f>
        <v>0.0278181950466747</v>
      </c>
      <c r="AS112" s="57" t="n">
        <f aca="false">AL112*AM112</f>
        <v>2.14304890634695E-006</v>
      </c>
      <c r="AT112" s="57" t="n">
        <f aca="false">AL112*AN112</f>
        <v>5.3225827472344E-008</v>
      </c>
      <c r="AU112" s="57" t="n">
        <f aca="false">AL112*AO112</f>
        <v>4.94939060472716E-007</v>
      </c>
      <c r="AV112" s="57" t="n">
        <f aca="false">AL112*AP112</f>
        <v>1.10974586958139E-007</v>
      </c>
      <c r="AW112" s="57" t="n">
        <f aca="false">AL112*AQ112</f>
        <v>1.62636926976094E-007</v>
      </c>
      <c r="AX112" s="57" t="n">
        <f aca="false">AL112*AR112</f>
        <v>1.44654038666128E-006</v>
      </c>
      <c r="AY112" s="57" t="n">
        <f aca="false">AS112*f_stroke_fatal_recur</f>
        <v>7.97407067562635E-007</v>
      </c>
      <c r="AZ112" s="57" t="n">
        <f aca="false">AS112*(1-f_stroke_fatal_recur)*f_stroke_major</f>
        <v>4.48098732315175E-007</v>
      </c>
      <c r="BA112" s="57" t="n">
        <f aca="false">AS112*(1-f_stroke_fatal_recur)*(1-f_stroke_major)</f>
        <v>8.97543106469135E-007</v>
      </c>
      <c r="BB112" s="57" t="n">
        <f aca="false">AT112*(1-f_bleed_fatal)</f>
        <v>4.87548579646671E-008</v>
      </c>
      <c r="BC112" s="57" t="n">
        <f aca="false">AU112*(1-f_bleed_fatal)</f>
        <v>4.53364179393008E-007</v>
      </c>
      <c r="BD112" s="57" t="n">
        <f aca="false">AV112*f_mi_fatal</f>
        <v>1.34279250219348E-008</v>
      </c>
      <c r="BE112" s="57" t="n">
        <f aca="false">AV112-BD112</f>
        <v>9.75466619362038E-008</v>
      </c>
      <c r="BF112" s="57" t="n">
        <f aca="false">AL112-AS112-AT112-AU112-BD112</f>
        <v>4.92951513741705E-005</v>
      </c>
      <c r="BG112" s="19" t="n">
        <f aca="false">AY112*c_stroke_fatal+AZ112*c_stroke_major+BA112*c_stroke_minor+AT112*c_ich+AU112*c_major_bleed+BD112*c_mi_fatal+BE112*c_mi_nonfatal+AW112*c_tia+AX112*c_minor_bleed</f>
        <v>0.0808933644499187</v>
      </c>
      <c r="BH112" s="57" t="n">
        <f aca="false">dt*(BE112*dec_mi+BC112*dec_major_bleed+AX112*dec_minor_bleed+AW112*dec_tia)</f>
        <v>2.23648664378291E-008</v>
      </c>
      <c r="BI112" s="57" t="n">
        <f aca="false">H112*AK112+AY112+AT112-BB112+AU112-BC112+BD112</f>
        <v>2.64259699819458E-005</v>
      </c>
      <c r="BJ112" s="57" t="n">
        <f aca="false">1-EXP(LN(1-E112)*hr_death_prior_stroke*dt)</f>
        <v>0.329630754020851</v>
      </c>
      <c r="BK112" s="57" t="n">
        <f aca="false">I112*(1-BJ112)</f>
        <v>2.63990831660431E-005</v>
      </c>
      <c r="BL112" s="57" t="n">
        <f aca="false">(1-EXP(-r_stroke*F112*rr_stroke_prior*rr_asa_stroke*dt))</f>
        <v>0.0412126429521403</v>
      </c>
      <c r="BM112" s="57" t="n">
        <f aca="false">(1-EXP(-r_ich*rr_asa_ich*dt))</f>
        <v>0.00102357767802375</v>
      </c>
      <c r="BN112" s="57" t="n">
        <f aca="false">(1-EXP(-r_mb*rr_asa_mb*dt))</f>
        <v>0.00951809672747972</v>
      </c>
      <c r="BO112" s="57" t="n">
        <f aca="false">(1-EXP(-r_mi*rr_asa_mi*dt))</f>
        <v>0.00213413516393479</v>
      </c>
      <c r="BP112" s="57" t="n">
        <f aca="false">(1-EXP(-r_tia*rr_asa_tia*dt))</f>
        <v>0.00312764565589152</v>
      </c>
      <c r="BQ112" s="57" t="n">
        <f aca="false">(1-EXP(-r_minor*rr_asa_minor*dt))</f>
        <v>0.0278181950466747</v>
      </c>
      <c r="BR112" s="57" t="n">
        <f aca="false">BK112*BL112</f>
        <v>1.08797598878599E-006</v>
      </c>
      <c r="BS112" s="57" t="n">
        <f aca="false">BK112*BM112</f>
        <v>2.70215122490542E-008</v>
      </c>
      <c r="BT112" s="57" t="n">
        <f aca="false">BK112*BN112</f>
        <v>2.5126902709118E-007</v>
      </c>
      <c r="BU112" s="57" t="n">
        <f aca="false">BK112*BO112</f>
        <v>5.63392116802917E-008</v>
      </c>
      <c r="BV112" s="57" t="n">
        <f aca="false">BK112*BP112</f>
        <v>8.25669777837937E-008</v>
      </c>
      <c r="BW112" s="57" t="n">
        <f aca="false">BK112*BQ112</f>
        <v>7.34374844566375E-007</v>
      </c>
      <c r="BX112" s="57" t="n">
        <f aca="false">BR112*f_stroke_fatal_recur</f>
        <v>4.0482498566738E-007</v>
      </c>
      <c r="BY112" s="57" t="n">
        <f aca="false">BR112*(1-f_stroke_fatal_recur)*f_stroke_major</f>
        <v>2.27489284038498E-007</v>
      </c>
      <c r="BZ112" s="57" t="n">
        <f aca="false">BR112*(1-f_stroke_fatal_recur)*(1-f_stroke_major)</f>
        <v>4.55661719080115E-007</v>
      </c>
      <c r="CA112" s="57" t="n">
        <f aca="false">BS112*(1-f_bleed_fatal)</f>
        <v>2.47517052201336E-008</v>
      </c>
      <c r="CB112" s="57" t="n">
        <f aca="false">BT112*(1-f_bleed_fatal)</f>
        <v>2.30162428815521E-007</v>
      </c>
      <c r="CC112" s="57" t="n">
        <f aca="false">BU112*f_mi_fatal</f>
        <v>6.81704461331529E-009</v>
      </c>
      <c r="CD112" s="57" t="n">
        <f aca="false">BU112-CC112</f>
        <v>4.95221670669764E-008</v>
      </c>
      <c r="CE112" s="57" t="n">
        <f aca="false">BK112-BR112-BS112-BT112-CC112</f>
        <v>2.50259995933036E-005</v>
      </c>
      <c r="CF112" s="19" t="n">
        <f aca="false">BX112*c_stroke_fatal+BY112*c_stroke_major+BZ112*c_stroke_minor+BS112*c_ich+BT112*c_major_bleed+CC112*c_mi_fatal+CD112*c_mi_nonfatal+BV112*c_tia+BW112*c_minor_bleed</f>
        <v>0.041067676016619</v>
      </c>
      <c r="CG112" s="57" t="n">
        <f aca="false">dt*(CD112*dec_mi+CB112*dec_major_bleed+BW112*dec_minor_bleed+BV112*dec_tia)</f>
        <v>1.13541215063734E-008</v>
      </c>
      <c r="CH112" s="57" t="n">
        <f aca="false">I112*BJ112+BX112+BS112-CA112+BT112-CB112+CC112</f>
        <v>1.34158491369874E-005</v>
      </c>
      <c r="CI112" s="57" t="n">
        <f aca="false">1-EXP(LN(1-E112)*dt)</f>
        <v>0.159603212505678</v>
      </c>
      <c r="CJ112" s="57" t="n">
        <f aca="false">J112*(1-CI112)</f>
        <v>0.000625339594044877</v>
      </c>
      <c r="CK112" s="57" t="n">
        <f aca="false">(1-EXP(-r_stroke*F112*rr_asa_stroke*dt))</f>
        <v>0.0189481661653036</v>
      </c>
      <c r="CL112" s="57" t="n">
        <f aca="false">(1-EXP(-r_ich*rr_asa_ich*dt))</f>
        <v>0.00102357767802375</v>
      </c>
      <c r="CM112" s="57" t="n">
        <f aca="false">(1-EXP(-r_mb*rr_asa_mb*dt))</f>
        <v>0.00951809672747972</v>
      </c>
      <c r="CN112" s="57" t="n">
        <f aca="false">(1-EXP(-r_mi*rr_asa_mi*dt))</f>
        <v>0.00213413516393479</v>
      </c>
      <c r="CO112" s="57" t="n">
        <f aca="false">(1-EXP(-r_tia*rr_asa_tia*dt))</f>
        <v>0.00312764565589152</v>
      </c>
      <c r="CP112" s="57" t="n">
        <f aca="false">(1-EXP(-r_minor*rr_asa_minor*dt))</f>
        <v>0.0278181950466747</v>
      </c>
      <c r="CQ112" s="57" t="n">
        <f aca="false">CJ112*CK112</f>
        <v>1.18490385377058E-005</v>
      </c>
      <c r="CR112" s="57" t="n">
        <f aca="false">CJ112*CL112</f>
        <v>6.40083649648767E-007</v>
      </c>
      <c r="CS112" s="57" t="n">
        <f aca="false">CJ112*CM112</f>
        <v>5.95204274364204E-006</v>
      </c>
      <c r="CT112" s="57" t="n">
        <f aca="false">CJ112*CN112</f>
        <v>1.33455921705188E-006</v>
      </c>
      <c r="CU112" s="57" t="n">
        <f aca="false">CJ112*CO112</f>
        <v>1.95584066477143E-006</v>
      </c>
      <c r="CV112" s="57" t="n">
        <f aca="false">CJ112*CP112</f>
        <v>1.73958187975488E-005</v>
      </c>
      <c r="CW112" s="57" t="n">
        <f aca="false">CQ112*f_stroke_fatal</f>
        <v>2.80822213343628E-006</v>
      </c>
      <c r="CX112" s="57" t="n">
        <f aca="false">CQ112*(1-f_stroke_fatal)*f_stroke_major</f>
        <v>3.01059186262176E-006</v>
      </c>
      <c r="CY112" s="57" t="n">
        <f aca="false">CQ112*(1-f_stroke_fatal)*(1-f_stroke_major)</f>
        <v>6.03022454164778E-006</v>
      </c>
      <c r="CZ112" s="57" t="n">
        <f aca="false">CR112*(1-f_bleed_fatal)</f>
        <v>5.86316623078271E-007</v>
      </c>
      <c r="DA112" s="57" t="n">
        <f aca="false">CS112*(1-f_bleed_fatal)</f>
        <v>5.45207115317611E-006</v>
      </c>
      <c r="DB112" s="57" t="n">
        <f aca="false">CT112*f_mi_fatal</f>
        <v>1.61481665263277E-007</v>
      </c>
      <c r="DC112" s="57" t="n">
        <f aca="false">CT112-DB112</f>
        <v>1.1730775517886E-006</v>
      </c>
      <c r="DD112" s="57" t="n">
        <f aca="false">CJ112-CQ112-CR112-CS112-DB112</f>
        <v>0.000606736947448617</v>
      </c>
      <c r="DE112" s="19" t="n">
        <f aca="false">CW112*c_stroke_fatal+CX112*c_stroke_major+CY112*c_stroke_minor+CR112*c_ich+CS112*c_major_bleed+DB112*c_mi_fatal+DC112*c_mi_nonfatal+CU112*c_tia+CV112*c_minor_bleed</f>
        <v>0.522001040685253</v>
      </c>
      <c r="DF112" s="57" t="n">
        <f aca="false">dt*(DC112*dec_mi+DA112*dec_major_bleed+CV112*dec_minor_bleed+CU112*dec_tia)</f>
        <v>2.68955618226342E-007</v>
      </c>
      <c r="DG112" s="57" t="n">
        <f aca="false">J112*CI112+CW112+CR112-CZ112+CS112-DA112+DB112</f>
        <v>0.000122284258260994</v>
      </c>
      <c r="DH112" s="57" t="n">
        <f aca="false">AG112</f>
        <v>0.00100189401890102</v>
      </c>
      <c r="DI112" s="57" t="n">
        <f aca="false">AB112+AC112+BF112+BA112+BB112+BC112+CY112+CZ112</f>
        <v>6.29211500980057E-005</v>
      </c>
      <c r="DJ112" s="57" t="n">
        <f aca="false">AA112+AZ112+BY112+CX112+CE112+BZ112+CA112+CB112</f>
        <v>3.18302855281504E-005</v>
      </c>
      <c r="DK112" s="57" t="n">
        <f aca="false">AD112+DD112+DA112</f>
        <v>0.000618438984612974</v>
      </c>
      <c r="DL112" s="57" t="n">
        <f aca="false">K112+AJ112+BI112+CH112+DG112</f>
        <v>0.998284915560859</v>
      </c>
      <c r="DM112" s="58" t="n">
        <f aca="false">SUM(DH112:DL112)</f>
        <v>0.999999999999999</v>
      </c>
      <c r="DN112" s="19" t="n">
        <f aca="false">dt*(G112*Apixaban!$H$2+(H112+I112+J112)*c_aspirin)</f>
        <v>0.0988578077440535</v>
      </c>
      <c r="DO112" s="19" t="n">
        <f aca="false">dt*(H112*c_lt_minor_stroke+I112*c_lt_major_stroke)</f>
        <v>0.466792070984115</v>
      </c>
      <c r="DP112" s="19" t="n">
        <f aca="false">AH112+BG112+CF112+DE112</f>
        <v>1.0930989171139</v>
      </c>
      <c r="DQ112" s="19" t="n">
        <f aca="false">DN112+DO112+DP112</f>
        <v>1.65874879584207</v>
      </c>
      <c r="DR112" s="57" t="n">
        <f aca="false">dt*(G112*(u_af-dec_per_year_over_70*MAX(B112-ref_age,0))+H112*(u_minor_stroke-dec_per_year_over_70*MAX(B112-ref_age,0))+I112*(u_major_stroke-dec_per_year_over_70*MAX(B112-ref_age,0))+J112*(u_af-dec_per_year_over_70*MAX(B112-ref_age,0)))-AI112-BH112-CG112-DF112</f>
        <v>0.000409421155786697</v>
      </c>
      <c r="DS112" s="57" t="n">
        <f aca="false">dt*(G112+H112+I112+J112)</f>
        <v>0.00051845704452091</v>
      </c>
      <c r="DT112" s="19" t="n">
        <f aca="false">DQ112*C112</f>
        <v>1.11797090432098</v>
      </c>
      <c r="DU112" s="19" t="n">
        <f aca="false">DN112*C112</f>
        <v>0.0666286257448063</v>
      </c>
      <c r="DV112" s="19" t="n">
        <f aca="false">DP112*C112</f>
        <v>0.736731678685401</v>
      </c>
      <c r="DW112" s="19" t="n">
        <f aca="false">DO112*C112</f>
        <v>0.314610599890776</v>
      </c>
      <c r="DX112" s="57" t="n">
        <f aca="false">DR112*C112</f>
        <v>0.000275943494838006</v>
      </c>
      <c r="DY112" s="57" t="n">
        <f aca="false">DS112*C112</f>
        <v>0.000349431988959112</v>
      </c>
      <c r="DZ112" s="57" t="n">
        <f aca="false">T112+AS112+BR112+CQ112</f>
        <v>2.45555816880096E-005</v>
      </c>
      <c r="EA112" s="57" t="n">
        <f aca="false">U112+AT112+BS112+CR112</f>
        <v>1.58005281179651E-006</v>
      </c>
      <c r="EB112" s="57" t="n">
        <f aca="false">V112+AU112+BT112+CS112</f>
        <v>1.35213578303113E-005</v>
      </c>
      <c r="EC112" s="57" t="n">
        <f aca="false">G112*dt*C112</f>
        <v>0.000204348543850016</v>
      </c>
    </row>
    <row r="113" customFormat="false" ht="15" hidden="false" customHeight="false" outlineLevel="0" collapsed="false">
      <c r="A113" s="8" t="n">
        <v>107</v>
      </c>
      <c r="B113" s="54" t="n">
        <f aca="false">start_age+A113*dt</f>
        <v>96.75</v>
      </c>
      <c r="C113" s="16" t="n">
        <f aca="false">(1+disc_rate)^-(A113*dt)</f>
        <v>0.671480445406326</v>
      </c>
      <c r="D113" s="55" t="n">
        <f aca="false">IF(A113*dt&gt;=wane_start,(1-wane_decay)^(A113*dt-wane_start),1)</f>
        <v>1</v>
      </c>
      <c r="E113" s="25" t="n">
        <f aca="false">MIN(p_nonvasc_death*MIN(EXP(gomp_int+gomp_slope*INT(B113)),1)/qx_ref,0.999)</f>
        <v>0.501187263110617</v>
      </c>
      <c r="F113" s="55" t="n">
        <f aca="false">rr_stroke_per_decade^((B113-ref_age)/10)</f>
        <v>2.95831297266231</v>
      </c>
      <c r="G113" s="57" t="n">
        <f aca="false">DH112</f>
        <v>0.00100189401890102</v>
      </c>
      <c r="H113" s="57" t="n">
        <f aca="false">DI112</f>
        <v>6.29211500980057E-005</v>
      </c>
      <c r="I113" s="57" t="n">
        <f aca="false">DJ112</f>
        <v>3.18302855281504E-005</v>
      </c>
      <c r="J113" s="57" t="n">
        <f aca="false">DK112</f>
        <v>0.000618438984612974</v>
      </c>
      <c r="K113" s="57" t="n">
        <f aca="false">DL112</f>
        <v>0.998284915560859</v>
      </c>
      <c r="L113" s="57" t="n">
        <f aca="false">1-EXP(LN(1-E113)*dt)</f>
        <v>0.159603212505678</v>
      </c>
      <c r="M113" s="57" t="n">
        <f aca="false">G113*(1-L113)</f>
        <v>0.000841988514894195</v>
      </c>
      <c r="N113" s="57" t="n">
        <f aca="false">IF(Apixaban!$B$2=1,EXP(LN(or_apx_stroke)*D113)*(1-EXP(-r_stroke*F113*dt))/(1-(1-EXP(-r_stroke*F113*dt))+EXP(LN(or_apx_stroke)*D113)*(1-EXP(-r_stroke*F113*dt))),(1-EXP(-r_stroke*F113*dt)))</f>
        <v>0.0093912631311243</v>
      </c>
      <c r="O113" s="57" t="n">
        <f aca="false">IF(Apixaban!$B$2=1,EXP(LN(or_apx_ich)*D113)*(1-EXP(-r_ich*dt))/(1-(1-EXP(-r_ich*dt))+EXP(LN(or_apx_ich)*D113)*(1-EXP(-r_ich*dt))),(1-EXP(-r_ich*dt)))</f>
        <v>0.000843513249640701</v>
      </c>
      <c r="P113" s="57" t="n">
        <f aca="false">IF(Apixaban!$B$2=1,EXP(LN(or_apx_mb)*D113)*(1-EXP(-r_mb*dt))/(1-(1-EXP(-r_mb*dt))+EXP(LN(or_apx_mb)*D113)*(1-EXP(-r_mb*dt))),(1-EXP(-r_mb*dt)))</f>
        <v>0.00669446907979895</v>
      </c>
      <c r="Q113" s="57" t="n">
        <f aca="false">IF(Apixaban!$B$2=1,EXP(LN(or_apx_mi)*D113)*(1-EXP(-r_mi*dt))/(1-(1-EXP(-r_mi*dt))+EXP(LN(or_apx_mi)*D113)*(1-EXP(-r_mi*dt))),(1-EXP(-r_mi*dt)))</f>
        <v>0.00132321915530843</v>
      </c>
      <c r="R113" s="57" t="n">
        <f aca="false">(1-EXP(-r_tia*dt))</f>
        <v>0.0020060281549299</v>
      </c>
      <c r="S113" s="57" t="n">
        <f aca="false">(1-EXP(-r_minor*dt))</f>
        <v>0.0437937690785545</v>
      </c>
      <c r="T113" s="57" t="n">
        <f aca="false">M113*N113</f>
        <v>7.90733569675595E-006</v>
      </c>
      <c r="U113" s="57" t="n">
        <f aca="false">M113*O113</f>
        <v>7.1022846835855E-007</v>
      </c>
      <c r="V113" s="57" t="n">
        <f aca="false">M113*P113</f>
        <v>5.63666607850503E-006</v>
      </c>
      <c r="W113" s="57" t="n">
        <f aca="false">M113*Q113</f>
        <v>1.11413533145769E-006</v>
      </c>
      <c r="X113" s="57" t="n">
        <f aca="false">M113*R113</f>
        <v>1.68905266700536E-006</v>
      </c>
      <c r="Y113" s="57" t="n">
        <f aca="false">M113*S113</f>
        <v>3.68738505880714E-005</v>
      </c>
      <c r="Z113" s="57" t="n">
        <f aca="false">T113*f_stroke_fatal</f>
        <v>1.87403856013116E-006</v>
      </c>
      <c r="AA113" s="57" t="n">
        <f aca="false">T113*(1-f_stroke_fatal)*f_stroke_major</f>
        <v>2.00908794649606E-006</v>
      </c>
      <c r="AB113" s="57" t="n">
        <f aca="false">T113*(1-f_stroke_fatal)*(1-f_stroke_major)</f>
        <v>4.02420919012874E-006</v>
      </c>
      <c r="AC113" s="57" t="n">
        <f aca="false">U113*(1-f_bleed_fatal)</f>
        <v>6.50569277016432E-007</v>
      </c>
      <c r="AD113" s="57" t="n">
        <f aca="false">V113*(1-f_bleed_fatal)</f>
        <v>5.1631861279106E-006</v>
      </c>
      <c r="AE113" s="57" t="n">
        <f aca="false">W113*f_mi_fatal</f>
        <v>1.34810375106381E-007</v>
      </c>
      <c r="AF113" s="57" t="n">
        <f aca="false">W113-AE113</f>
        <v>9.79324956351314E-007</v>
      </c>
      <c r="AG113" s="57" t="n">
        <f aca="false">M113-T113-U113-V113-AE113</f>
        <v>0.000827599474275469</v>
      </c>
      <c r="AH113" s="19" t="n">
        <f aca="false">Z113*c_stroke_fatal+AA113*c_stroke_major+AB113*c_stroke_minor+U113*c_ich+V113*c_major_bleed+AE113*c_mi_fatal+AF113*c_mi_nonfatal+X113*c_tia+Y113*c_minor_bleed</f>
        <v>0.373974757110604</v>
      </c>
      <c r="AI113" s="57" t="n">
        <f aca="false">dt*(AF113*dec_mi+AD113*dec_major_bleed+Y113*dec_minor_bleed+X113*dec_tia)</f>
        <v>3.12690306414543E-007</v>
      </c>
      <c r="AJ113" s="57" t="n">
        <f aca="false">G113*L113+Z113+U113-AC113+V113-AD113+AE113</f>
        <v>0.000162447492084002</v>
      </c>
      <c r="AK113" s="57" t="n">
        <f aca="false">1-EXP(LN(1-E113)*hr_death_prior_stroke*dt)</f>
        <v>0.329630754020851</v>
      </c>
      <c r="AL113" s="57" t="n">
        <f aca="false">H113*(1-AK113)</f>
        <v>4.21804039473409E-005</v>
      </c>
      <c r="AM113" s="57" t="n">
        <f aca="false">(1-EXP(-r_stroke*F113*rr_stroke_prior*rr_asa_stroke*dt))</f>
        <v>0.0416236629532983</v>
      </c>
      <c r="AN113" s="57" t="n">
        <f aca="false">(1-EXP(-r_ich*rr_asa_ich*dt))</f>
        <v>0.00102357767802375</v>
      </c>
      <c r="AO113" s="57" t="n">
        <f aca="false">(1-EXP(-r_mb*rr_asa_mb*dt))</f>
        <v>0.00951809672747972</v>
      </c>
      <c r="AP113" s="57" t="n">
        <f aca="false">(1-EXP(-r_mi*rr_asa_mi*dt))</f>
        <v>0.00213413516393479</v>
      </c>
      <c r="AQ113" s="57" t="n">
        <f aca="false">(1-EXP(-r_tia*rr_asa_tia*dt))</f>
        <v>0.00312764565589152</v>
      </c>
      <c r="AR113" s="57" t="n">
        <f aca="false">(1-EXP(-r_minor*rr_asa_minor*dt))</f>
        <v>0.0278181950466747</v>
      </c>
      <c r="AS113" s="57" t="n">
        <f aca="false">AL113*AM113</f>
        <v>1.75570291713809E-006</v>
      </c>
      <c r="AT113" s="57" t="n">
        <f aca="false">AL113*AN113</f>
        <v>4.31749199305229E-008</v>
      </c>
      <c r="AU113" s="57" t="n">
        <f aca="false">AL113*AO113</f>
        <v>4.01477164774958E-007</v>
      </c>
      <c r="AV113" s="57" t="n">
        <f aca="false">AL113*AP113</f>
        <v>9.00186832929942E-008</v>
      </c>
      <c r="AW113" s="57" t="n">
        <f aca="false">AL113*AQ113</f>
        <v>1.3192535716965E-007</v>
      </c>
      <c r="AX113" s="57" t="n">
        <f aca="false">AL113*AR113</f>
        <v>1.17338270415466E-006</v>
      </c>
      <c r="AY113" s="57" t="n">
        <f aca="false">AS113*f_stroke_fatal_recur</f>
        <v>6.53279498437913E-007</v>
      </c>
      <c r="AZ113" s="57" t="n">
        <f aca="false">AS113*(1-f_stroke_fatal_recur)*f_stroke_major</f>
        <v>3.6710699842716E-007</v>
      </c>
      <c r="BA113" s="57" t="n">
        <f aca="false">AS113*(1-f_stroke_fatal_recur)*(1-f_stroke_major)</f>
        <v>7.3531642027302E-007</v>
      </c>
      <c r="BB113" s="57" t="n">
        <f aca="false">AT113*(1-f_bleed_fatal)</f>
        <v>3.9548226656359E-008</v>
      </c>
      <c r="BC113" s="57" t="n">
        <f aca="false">AU113*(1-f_bleed_fatal)</f>
        <v>3.67753082933862E-007</v>
      </c>
      <c r="BD113" s="57" t="n">
        <f aca="false">AV113*f_mi_fatal</f>
        <v>1.08922606784523E-008</v>
      </c>
      <c r="BE113" s="57" t="n">
        <f aca="false">AV113-BD113</f>
        <v>7.91264226145419E-008</v>
      </c>
      <c r="BF113" s="57" t="n">
        <f aca="false">AL113-AS113-AT113-AU113-BD113</f>
        <v>3.99691566848189E-005</v>
      </c>
      <c r="BG113" s="19" t="n">
        <f aca="false">AY113*c_stroke_fatal+AZ113*c_stroke_major+BA113*c_stroke_minor+AT113*c_ich+AU113*c_major_bleed+BD113*c_mi_fatal+BE113*c_mi_nonfatal+AW113*c_tia+AX113*c_minor_bleed</f>
        <v>0.0662156231840878</v>
      </c>
      <c r="BH113" s="57" t="n">
        <f aca="false">dt*(BE113*dec_mi+BC113*dec_major_bleed+AX113*dec_minor_bleed+AW113*dec_tia)</f>
        <v>1.81415933498044E-008</v>
      </c>
      <c r="BI113" s="57" t="n">
        <f aca="false">H113*AK113+AY113+AT113-BB113+AU113-BC113+BD113</f>
        <v>2.14422686848964E-005</v>
      </c>
      <c r="BJ113" s="57" t="n">
        <f aca="false">1-EXP(LN(1-E113)*hr_death_prior_stroke*dt)</f>
        <v>0.329630754020851</v>
      </c>
      <c r="BK113" s="57" t="n">
        <f aca="false">I113*(1-BJ113)</f>
        <v>2.13380445088072E-005</v>
      </c>
      <c r="BL113" s="57" t="n">
        <f aca="false">(1-EXP(-r_stroke*F113*rr_stroke_prior*rr_asa_stroke*dt))</f>
        <v>0.0416236629532983</v>
      </c>
      <c r="BM113" s="57" t="n">
        <f aca="false">(1-EXP(-r_ich*rr_asa_ich*dt))</f>
        <v>0.00102357767802375</v>
      </c>
      <c r="BN113" s="57" t="n">
        <f aca="false">(1-EXP(-r_mb*rr_asa_mb*dt))</f>
        <v>0.00951809672747972</v>
      </c>
      <c r="BO113" s="57" t="n">
        <f aca="false">(1-EXP(-r_mi*rr_asa_mi*dt))</f>
        <v>0.00213413516393479</v>
      </c>
      <c r="BP113" s="57" t="n">
        <f aca="false">(1-EXP(-r_tia*rr_asa_tia*dt))</f>
        <v>0.00312764565589152</v>
      </c>
      <c r="BQ113" s="57" t="n">
        <f aca="false">(1-EXP(-r_minor*rr_asa_minor*dt))</f>
        <v>0.0278181950466747</v>
      </c>
      <c r="BR113" s="57" t="n">
        <f aca="false">BK113*BL113</f>
        <v>8.88167572717068E-007</v>
      </c>
      <c r="BS113" s="57" t="n">
        <f aca="false">BK113*BM113</f>
        <v>2.18411460518922E-008</v>
      </c>
      <c r="BT113" s="57" t="n">
        <f aca="false">BK113*BN113</f>
        <v>2.03097571610094E-007</v>
      </c>
      <c r="BU113" s="57" t="n">
        <f aca="false">BK113*BO113</f>
        <v>4.55382711158511E-008</v>
      </c>
      <c r="BV113" s="57" t="n">
        <f aca="false">BK113*BP113</f>
        <v>6.67378422131907E-008</v>
      </c>
      <c r="BW113" s="57" t="n">
        <f aca="false">BK113*BQ113</f>
        <v>5.93585884060624E-007</v>
      </c>
      <c r="BX113" s="57" t="n">
        <f aca="false">BR113*f_stroke_fatal_recur</f>
        <v>3.30478272132294E-007</v>
      </c>
      <c r="BY113" s="57" t="n">
        <f aca="false">BR113*(1-f_stroke_fatal_recur)*f_stroke_major</f>
        <v>1.8571053709473E-007</v>
      </c>
      <c r="BZ113" s="57" t="n">
        <f aca="false">BR113*(1-f_stroke_fatal_recur)*(1-f_stroke_major)</f>
        <v>3.71978763490045E-007</v>
      </c>
      <c r="CA113" s="57" t="n">
        <f aca="false">BS113*(1-f_bleed_fatal)</f>
        <v>2.00064897835333E-008</v>
      </c>
      <c r="CB113" s="57" t="n">
        <f aca="false">BT113*(1-f_bleed_fatal)</f>
        <v>1.86037375594846E-007</v>
      </c>
      <c r="CC113" s="57" t="n">
        <f aca="false">BU113*f_mi_fatal</f>
        <v>5.51013080501798E-009</v>
      </c>
      <c r="CD113" s="57" t="n">
        <f aca="false">BU113-CC113</f>
        <v>4.00281403108331E-008</v>
      </c>
      <c r="CE113" s="57" t="n">
        <f aca="false">BK113-BR113-BS113-BT113-CC113</f>
        <v>2.02194280876231E-005</v>
      </c>
      <c r="CF113" s="19" t="n">
        <f aca="false">BX113*c_stroke_fatal+BY113*c_stroke_major+BZ113*c_stroke_minor+BS113*c_ich+BT113*c_major_bleed+CC113*c_mi_fatal+CD113*c_mi_nonfatal+BV113*c_tia+BW113*c_minor_bleed</f>
        <v>0.0334968796516122</v>
      </c>
      <c r="CG113" s="57" t="n">
        <f aca="false">dt*(CD113*dec_mi+CB113*dec_major_bleed+BW113*dec_minor_bleed+BV113*dec_tia)</f>
        <v>9.17739258358169E-009</v>
      </c>
      <c r="CH113" s="57" t="n">
        <f aca="false">I113*BJ113+BX113+BS113-CA113+BT113-CB113+CC113</f>
        <v>1.08471242745641E-005</v>
      </c>
      <c r="CI113" s="57" t="n">
        <f aca="false">1-EXP(LN(1-E113)*dt)</f>
        <v>0.159603212505678</v>
      </c>
      <c r="CJ113" s="57" t="n">
        <f aca="false">J113*(1-CI113)</f>
        <v>0.000519734135929993</v>
      </c>
      <c r="CK113" s="57" t="n">
        <f aca="false">(1-EXP(-r_stroke*F113*rr_asa_stroke*dt))</f>
        <v>0.0191393542023588</v>
      </c>
      <c r="CL113" s="57" t="n">
        <f aca="false">(1-EXP(-r_ich*rr_asa_ich*dt))</f>
        <v>0.00102357767802375</v>
      </c>
      <c r="CM113" s="57" t="n">
        <f aca="false">(1-EXP(-r_mb*rr_asa_mb*dt))</f>
        <v>0.00951809672747972</v>
      </c>
      <c r="CN113" s="57" t="n">
        <f aca="false">(1-EXP(-r_mi*rr_asa_mi*dt))</f>
        <v>0.00213413516393479</v>
      </c>
      <c r="CO113" s="57" t="n">
        <f aca="false">(1-EXP(-r_tia*rr_asa_tia*dt))</f>
        <v>0.00312764565589152</v>
      </c>
      <c r="CP113" s="57" t="n">
        <f aca="false">(1-EXP(-r_minor*rr_asa_minor*dt))</f>
        <v>0.0278181950466747</v>
      </c>
      <c r="CQ113" s="57" t="n">
        <f aca="false">CJ113*CK113</f>
        <v>9.94737571862103E-006</v>
      </c>
      <c r="CR113" s="57" t="n">
        <f aca="false">CJ113*CL113</f>
        <v>5.31988260044901E-007</v>
      </c>
      <c r="CS113" s="57" t="n">
        <f aca="false">CJ113*CM113</f>
        <v>4.94687977835477E-006</v>
      </c>
      <c r="CT113" s="57" t="n">
        <f aca="false">CJ113*CN113</f>
        <v>1.10918289538546E-006</v>
      </c>
      <c r="CU113" s="57" t="n">
        <f aca="false">CJ113*CO113</f>
        <v>1.62554421245998E-006</v>
      </c>
      <c r="CV113" s="57" t="n">
        <f aca="false">CJ113*CP113</f>
        <v>1.44580655657155E-005</v>
      </c>
      <c r="CW113" s="57" t="n">
        <f aca="false">CQ113*f_stroke_fatal</f>
        <v>2.35752804531318E-006</v>
      </c>
      <c r="CX113" s="57" t="n">
        <f aca="false">CQ113*(1-f_stroke_fatal)*f_stroke_major</f>
        <v>2.52741927521151E-006</v>
      </c>
      <c r="CY113" s="57" t="n">
        <f aca="false">CQ113*(1-f_stroke_fatal)*(1-f_stroke_major)</f>
        <v>5.06242839809634E-006</v>
      </c>
      <c r="CZ113" s="57" t="n">
        <f aca="false">CR113*(1-f_bleed_fatal)</f>
        <v>4.87301246201129E-007</v>
      </c>
      <c r="DA113" s="57" t="n">
        <f aca="false">CS113*(1-f_bleed_fatal)</f>
        <v>4.53134187697297E-006</v>
      </c>
      <c r="DB113" s="57" t="n">
        <f aca="false">CT113*f_mi_fatal</f>
        <v>1.34211130341641E-007</v>
      </c>
      <c r="DC113" s="57" t="n">
        <f aca="false">CT113-DB113</f>
        <v>9.74971765043823E-007</v>
      </c>
      <c r="DD113" s="57" t="n">
        <f aca="false">CJ113-CQ113-CR113-CS113-DB113</f>
        <v>0.000504173681042631</v>
      </c>
      <c r="DE113" s="19" t="n">
        <f aca="false">CW113*c_stroke_fatal+CX113*c_stroke_major+CY113*c_stroke_minor+CR113*c_ich+CS113*c_major_bleed+DB113*c_mi_fatal+DC113*c_mi_nonfatal+CU113*c_tia+CV113*c_minor_bleed</f>
        <v>0.437518458075915</v>
      </c>
      <c r="DF113" s="57" t="n">
        <f aca="false">dt*(DC113*dec_mi+DA113*dec_major_bleed+CV113*dec_minor_bleed+CU113*dec_tia)</f>
        <v>2.23535207387417E-007</v>
      </c>
      <c r="DG113" s="57" t="n">
        <f aca="false">J113*CI113+CW113+CR113-CZ113+CS113-DA113+DB113</f>
        <v>0.000101656812773861</v>
      </c>
      <c r="DH113" s="57" t="n">
        <f aca="false">AG113</f>
        <v>0.000827599474275469</v>
      </c>
      <c r="DI113" s="57" t="n">
        <f aca="false">AB113+AC113+BF113+BA113+BB113+BC113+CY113+CZ113</f>
        <v>5.13362825261248E-005</v>
      </c>
      <c r="DJ113" s="57" t="n">
        <f aca="false">AA113+AZ113+BY113+CX113+CE113+BZ113+CA113+CB113</f>
        <v>2.5886775473721E-005</v>
      </c>
      <c r="DK113" s="57" t="n">
        <f aca="false">AD113+DD113+DA113</f>
        <v>0.000513868209047515</v>
      </c>
      <c r="DL113" s="57" t="n">
        <f aca="false">K113+AJ113+BI113+CH113+DG113</f>
        <v>0.998581309258677</v>
      </c>
      <c r="DM113" s="58" t="n">
        <f aca="false">SUM(DH113:DL113)</f>
        <v>0.999999999999999</v>
      </c>
      <c r="DN113" s="19" t="n">
        <f aca="false">dt*(G113*Apixaban!$H$2+(H113+I113+J113)*c_aspirin)</f>
        <v>0.0816860521019487</v>
      </c>
      <c r="DO113" s="19" t="n">
        <f aca="false">dt*(H113*c_lt_minor_stroke+I113*c_lt_major_stroke)</f>
        <v>0.377905517999264</v>
      </c>
      <c r="DP113" s="19" t="n">
        <f aca="false">AH113+BG113+CF113+DE113</f>
        <v>0.91120571802222</v>
      </c>
      <c r="DQ113" s="19" t="n">
        <f aca="false">DN113+DO113+DP113</f>
        <v>1.37079728812343</v>
      </c>
      <c r="DR113" s="57" t="n">
        <f aca="false">dt*(G113*(u_af-dec_per_year_over_70*MAX(B113-ref_age,0))+H113*(u_minor_stroke-dec_per_year_over_70*MAX(B113-ref_age,0))+I113*(u_major_stroke-dec_per_year_over_70*MAX(B113-ref_age,0))+J113*(u_af-dec_per_year_over_70*MAX(B113-ref_age,0)))-AI113-BH113-CG113-DF113</f>
        <v>0.000338672100712733</v>
      </c>
      <c r="DS113" s="57" t="n">
        <f aca="false">dt*(G113+H113+I113+J113)</f>
        <v>0.000428771109785038</v>
      </c>
      <c r="DT113" s="19" t="n">
        <f aca="false">DQ113*C113</f>
        <v>0.920463573590906</v>
      </c>
      <c r="DU113" s="19" t="n">
        <f aca="false">DN113*C113</f>
        <v>0.0548505866489009</v>
      </c>
      <c r="DV113" s="19" t="n">
        <f aca="false">DP113*C113</f>
        <v>0.611856821394351</v>
      </c>
      <c r="DW113" s="19" t="n">
        <f aca="false">DO113*C113</f>
        <v>0.253756165547654</v>
      </c>
      <c r="DX113" s="57" t="n">
        <f aca="false">DR113*C113</f>
        <v>0.000227411693033282</v>
      </c>
      <c r="DY113" s="57" t="n">
        <f aca="false">DS113*C113</f>
        <v>0.000287911415775822</v>
      </c>
      <c r="DZ113" s="57" t="n">
        <f aca="false">T113+AS113+BR113+CQ113</f>
        <v>2.04985819052322E-005</v>
      </c>
      <c r="EA113" s="57" t="n">
        <f aca="false">U113+AT113+BS113+CR113</f>
        <v>1.30723279438587E-006</v>
      </c>
      <c r="EB113" s="57" t="n">
        <f aca="false">V113+AU113+BT113+CS113</f>
        <v>1.11881205932448E-005</v>
      </c>
      <c r="EC113" s="57" t="n">
        <f aca="false">G113*dt*C113</f>
        <v>0.000168188060515398</v>
      </c>
    </row>
    <row r="114" customFormat="false" ht="15" hidden="false" customHeight="false" outlineLevel="0" collapsed="false">
      <c r="A114" s="8" t="n">
        <v>108</v>
      </c>
      <c r="B114" s="54" t="n">
        <f aca="false">start_age+A114*dt</f>
        <v>97</v>
      </c>
      <c r="C114" s="16" t="n">
        <f aca="false">(1+disc_rate)^-(A114*dt)</f>
        <v>0.66898573809067</v>
      </c>
      <c r="D114" s="55" t="n">
        <f aca="false">IF(A114*dt&gt;=wane_start,(1-wane_decay)^(A114*dt-wane_start),1)</f>
        <v>1</v>
      </c>
      <c r="E114" s="25" t="n">
        <f aca="false">MIN(p_nonvasc_death*MIN(EXP(gomp_int+gomp_slope*INT(B114)),1)/qx_ref,0.999)</f>
        <v>0.55647005398946</v>
      </c>
      <c r="F114" s="55" t="n">
        <f aca="false">rr_stroke_per_decade^((B114-ref_age)/10)</f>
        <v>2.9884527898725</v>
      </c>
      <c r="G114" s="57" t="n">
        <f aca="false">DH113</f>
        <v>0.000827599474275469</v>
      </c>
      <c r="H114" s="57" t="n">
        <f aca="false">DI113</f>
        <v>5.13362825261248E-005</v>
      </c>
      <c r="I114" s="57" t="n">
        <f aca="false">DJ113</f>
        <v>2.5886775473721E-005</v>
      </c>
      <c r="J114" s="57" t="n">
        <f aca="false">DK113</f>
        <v>0.000513868209047515</v>
      </c>
      <c r="K114" s="57" t="n">
        <f aca="false">DL113</f>
        <v>0.998581309258677</v>
      </c>
      <c r="L114" s="57" t="n">
        <f aca="false">1-EXP(LN(1-E114)*dt)</f>
        <v>0.183923753770145</v>
      </c>
      <c r="M114" s="57" t="n">
        <f aca="false">G114*(1-L114)</f>
        <v>0.000675384272348526</v>
      </c>
      <c r="N114" s="57" t="n">
        <f aca="false">IF(Apixaban!$B$2=1,EXP(LN(or_apx_stroke)*D114)*(1-EXP(-r_stroke*F114*dt))/(1-(1-EXP(-r_stroke*F114*dt))+EXP(LN(or_apx_stroke)*D114)*(1-EXP(-r_stroke*F114*dt))),(1-EXP(-r_stroke*F114*dt)))</f>
        <v>0.00948660749150359</v>
      </c>
      <c r="O114" s="57" t="n">
        <f aca="false">IF(Apixaban!$B$2=1,EXP(LN(or_apx_ich)*D114)*(1-EXP(-r_ich*dt))/(1-(1-EXP(-r_ich*dt))+EXP(LN(or_apx_ich)*D114)*(1-EXP(-r_ich*dt))),(1-EXP(-r_ich*dt)))</f>
        <v>0.000843513249640701</v>
      </c>
      <c r="P114" s="57" t="n">
        <f aca="false">IF(Apixaban!$B$2=1,EXP(LN(or_apx_mb)*D114)*(1-EXP(-r_mb*dt))/(1-(1-EXP(-r_mb*dt))+EXP(LN(or_apx_mb)*D114)*(1-EXP(-r_mb*dt))),(1-EXP(-r_mb*dt)))</f>
        <v>0.00669446907979895</v>
      </c>
      <c r="Q114" s="57" t="n">
        <f aca="false">IF(Apixaban!$B$2=1,EXP(LN(or_apx_mi)*D114)*(1-EXP(-r_mi*dt))/(1-(1-EXP(-r_mi*dt))+EXP(LN(or_apx_mi)*D114)*(1-EXP(-r_mi*dt))),(1-EXP(-r_mi*dt)))</f>
        <v>0.00132321915530843</v>
      </c>
      <c r="R114" s="57" t="n">
        <f aca="false">(1-EXP(-r_tia*dt))</f>
        <v>0.0020060281549299</v>
      </c>
      <c r="S114" s="57" t="n">
        <f aca="false">(1-EXP(-r_minor*dt))</f>
        <v>0.0437937690785545</v>
      </c>
      <c r="T114" s="57" t="n">
        <f aca="false">M114*N114</f>
        <v>6.40710549770523E-006</v>
      </c>
      <c r="U114" s="57" t="n">
        <f aca="false">M114*O114</f>
        <v>5.69695582324925E-007</v>
      </c>
      <c r="V114" s="57" t="n">
        <f aca="false">M114*P114</f>
        <v>4.52133912821972E-006</v>
      </c>
      <c r="W114" s="57" t="n">
        <f aca="false">M114*Q114</f>
        <v>8.93681406365614E-007</v>
      </c>
      <c r="X114" s="57" t="n">
        <f aca="false">M114*R114</f>
        <v>1.35483986572798E-006</v>
      </c>
      <c r="Y114" s="57" t="n">
        <f aca="false">M114*S114</f>
        <v>2.95776228625189E-005</v>
      </c>
      <c r="Z114" s="57" t="n">
        <f aca="false">T114*f_stroke_fatal</f>
        <v>1.51848400295614E-006</v>
      </c>
      <c r="AA114" s="57" t="n">
        <f aca="false">T114*(1-f_stroke_fatal)*f_stroke_major</f>
        <v>1.62791095775145E-006</v>
      </c>
      <c r="AB114" s="57" t="n">
        <f aca="false">T114*(1-f_stroke_fatal)*(1-f_stroke_major)</f>
        <v>3.26071053699764E-006</v>
      </c>
      <c r="AC114" s="57" t="n">
        <f aca="false">U114*(1-f_bleed_fatal)</f>
        <v>5.21841153409631E-007</v>
      </c>
      <c r="AD114" s="57" t="n">
        <f aca="false">V114*(1-f_bleed_fatal)</f>
        <v>4.14154664144926E-006</v>
      </c>
      <c r="AE114" s="57" t="n">
        <f aca="false">W114*f_mi_fatal</f>
        <v>1.08135450170239E-007</v>
      </c>
      <c r="AF114" s="57" t="n">
        <f aca="false">W114-AE114</f>
        <v>7.85545956195375E-007</v>
      </c>
      <c r="AG114" s="57" t="n">
        <f aca="false">M114-T114-U114-V114-AE114</f>
        <v>0.000663777996690106</v>
      </c>
      <c r="AH114" s="19" t="n">
        <f aca="false">Z114*c_stroke_fatal+AA114*c_stroke_major+AB114*c_stroke_minor+U114*c_ich+V114*c_major_bleed+AE114*c_mi_fatal+AF114*c_mi_nonfatal+X114*c_tia+Y114*c_minor_bleed</f>
        <v>0.302355591728843</v>
      </c>
      <c r="AI114" s="57" t="n">
        <f aca="false">dt*(AF114*dec_mi+AD114*dec_major_bleed+Y114*dec_minor_bleed+X114*dec_tia)</f>
        <v>2.5081828473012E-007</v>
      </c>
      <c r="AJ114" s="57" t="n">
        <f aca="false">G114*L114+Z114+U114-AC114+V114-AD114+AE114</f>
        <v>0.000154269468295755</v>
      </c>
      <c r="AK114" s="57" t="n">
        <f aca="false">1-EXP(LN(1-E114)*hr_death_prior_stroke*dt)</f>
        <v>0.373413988751993</v>
      </c>
      <c r="AL114" s="57" t="n">
        <f aca="false">H114*(1-AK114)</f>
        <v>3.21665965003453E-005</v>
      </c>
      <c r="AM114" s="57" t="n">
        <f aca="false">(1-EXP(-r_stroke*F114*rr_stroke_prior*rr_asa_stroke*dt))</f>
        <v>0.0420386915984448</v>
      </c>
      <c r="AN114" s="57" t="n">
        <f aca="false">(1-EXP(-r_ich*rr_asa_ich*dt))</f>
        <v>0.00102357767802375</v>
      </c>
      <c r="AO114" s="57" t="n">
        <f aca="false">(1-EXP(-r_mb*rr_asa_mb*dt))</f>
        <v>0.00951809672747972</v>
      </c>
      <c r="AP114" s="57" t="n">
        <f aca="false">(1-EXP(-r_mi*rr_asa_mi*dt))</f>
        <v>0.00213413516393479</v>
      </c>
      <c r="AQ114" s="57" t="n">
        <f aca="false">(1-EXP(-r_tia*rr_asa_tia*dt))</f>
        <v>0.00312764565589152</v>
      </c>
      <c r="AR114" s="57" t="n">
        <f aca="false">(1-EXP(-r_minor*rr_asa_minor*dt))</f>
        <v>0.0278181950466747</v>
      </c>
      <c r="AS114" s="57" t="n">
        <f aca="false">AL114*AM114</f>
        <v>1.35224163004963E-006</v>
      </c>
      <c r="AT114" s="57" t="n">
        <f aca="false">AL114*AN114</f>
        <v>3.29250101557502E-008</v>
      </c>
      <c r="AU114" s="57" t="n">
        <f aca="false">AL114*AO114</f>
        <v>3.06164776884097E-007</v>
      </c>
      <c r="AV114" s="57" t="n">
        <f aca="false">AL114*AP114</f>
        <v>6.86478646954887E-008</v>
      </c>
      <c r="AW114" s="57" t="n">
        <f aca="false">AL114*AQ114</f>
        <v>1.0060571580912E-007</v>
      </c>
      <c r="AX114" s="57" t="n">
        <f aca="false">AL114*AR114</f>
        <v>8.9481665543429E-007</v>
      </c>
      <c r="AY114" s="57" t="n">
        <f aca="false">AS114*f_stroke_fatal_recur</f>
        <v>5.03155588125166E-007</v>
      </c>
      <c r="AZ114" s="57" t="n">
        <f aca="false">AS114*(1-f_stroke_fatal_recur)*f_stroke_major</f>
        <v>2.82745651960846E-007</v>
      </c>
      <c r="BA114" s="57" t="n">
        <f aca="false">AS114*(1-f_stroke_fatal_recur)*(1-f_stroke_major)</f>
        <v>5.66340389963617E-007</v>
      </c>
      <c r="BB114" s="57" t="n">
        <f aca="false">AT114*(1-f_bleed_fatal)</f>
        <v>3.01593093026672E-008</v>
      </c>
      <c r="BC114" s="57" t="n">
        <f aca="false">AU114*(1-f_bleed_fatal)</f>
        <v>2.80446935625833E-007</v>
      </c>
      <c r="BD114" s="57" t="n">
        <f aca="false">AV114*f_mi_fatal</f>
        <v>8.30639162815414E-009</v>
      </c>
      <c r="BE114" s="57" t="n">
        <f aca="false">AV114-BD114</f>
        <v>6.03414730673346E-008</v>
      </c>
      <c r="BF114" s="57" t="n">
        <f aca="false">AL114-AS114-AT114-AU114-BD114</f>
        <v>3.04669586916277E-005</v>
      </c>
      <c r="BG114" s="19" t="n">
        <f aca="false">AY114*c_stroke_fatal+AZ114*c_stroke_major+BA114*c_stroke_minor+AT114*c_ich+AU114*c_major_bleed+BD114*c_mi_fatal+BE114*c_mi_nonfatal+AW114*c_tia+AX114*c_minor_bleed</f>
        <v>0.0509560551657181</v>
      </c>
      <c r="BH114" s="57" t="n">
        <f aca="false">dt*(BE114*dec_mi+BC114*dec_major_bleed+AX114*dec_minor_bleed+AW114*dec_tia)</f>
        <v>1.38347018649947E-008</v>
      </c>
      <c r="BI114" s="57" t="n">
        <f aca="false">H114*AK114+AY114+AT114-BB114+AU114-BC114+BD114</f>
        <v>1.97096315476441E-005</v>
      </c>
      <c r="BJ114" s="57" t="n">
        <f aca="false">1-EXP(LN(1-E114)*hr_death_prior_stroke*dt)</f>
        <v>0.373413988751993</v>
      </c>
      <c r="BK114" s="57" t="n">
        <f aca="false">I114*(1-BJ114)</f>
        <v>1.62202913881516E-005</v>
      </c>
      <c r="BL114" s="57" t="n">
        <f aca="false">(1-EXP(-r_stroke*F114*rr_stroke_prior*rr_asa_stroke*dt))</f>
        <v>0.0420386915984448</v>
      </c>
      <c r="BM114" s="57" t="n">
        <f aca="false">(1-EXP(-r_ich*rr_asa_ich*dt))</f>
        <v>0.00102357767802375</v>
      </c>
      <c r="BN114" s="57" t="n">
        <f aca="false">(1-EXP(-r_mb*rr_asa_mb*dt))</f>
        <v>0.00951809672747972</v>
      </c>
      <c r="BO114" s="57" t="n">
        <f aca="false">(1-EXP(-r_mi*rr_asa_mi*dt))</f>
        <v>0.00213413516393479</v>
      </c>
      <c r="BP114" s="57" t="n">
        <f aca="false">(1-EXP(-r_tia*rr_asa_tia*dt))</f>
        <v>0.00312764565589152</v>
      </c>
      <c r="BQ114" s="57" t="n">
        <f aca="false">(1-EXP(-r_minor*rr_asa_minor*dt))</f>
        <v>0.0278181950466747</v>
      </c>
      <c r="BR114" s="57" t="n">
        <f aca="false">BK114*BL114</f>
        <v>6.81879827303414E-007</v>
      </c>
      <c r="BS114" s="57" t="n">
        <f aca="false">BK114*BM114</f>
        <v>1.66027281959528E-008</v>
      </c>
      <c r="BT114" s="57" t="n">
        <f aca="false">BK114*BN114</f>
        <v>1.54386302380333E-007</v>
      </c>
      <c r="BU114" s="57" t="n">
        <f aca="false">BK114*BO114</f>
        <v>3.4616294220723E-008</v>
      </c>
      <c r="BV114" s="57" t="n">
        <f aca="false">BK114*BP114</f>
        <v>5.07313238974469E-008</v>
      </c>
      <c r="BW114" s="57" t="n">
        <f aca="false">BK114*BQ114</f>
        <v>4.51219229549499E-007</v>
      </c>
      <c r="BX114" s="57" t="n">
        <f aca="false">BR114*f_stroke_fatal_recur</f>
        <v>2.53720664941327E-007</v>
      </c>
      <c r="BY114" s="57" t="n">
        <f aca="false">BR114*(1-f_stroke_fatal_recur)*f_stroke_major</f>
        <v>1.42577001066575E-007</v>
      </c>
      <c r="BZ114" s="57" t="n">
        <f aca="false">BR114*(1-f_stroke_fatal_recur)*(1-f_stroke_major)</f>
        <v>2.85582161295512E-007</v>
      </c>
      <c r="CA114" s="57" t="n">
        <f aca="false">BS114*(1-f_bleed_fatal)</f>
        <v>1.52080990274927E-008</v>
      </c>
      <c r="CB114" s="57" t="n">
        <f aca="false">BT114*(1-f_bleed_fatal)</f>
        <v>1.41417852980385E-007</v>
      </c>
      <c r="CC114" s="57" t="n">
        <f aca="false">BU114*f_mi_fatal</f>
        <v>4.18857160070748E-009</v>
      </c>
      <c r="CD114" s="57" t="n">
        <f aca="false">BU114-CC114</f>
        <v>3.04277226200155E-008</v>
      </c>
      <c r="CE114" s="57" t="n">
        <f aca="false">BK114-BR114-BS114-BT114-CC114</f>
        <v>1.53632339586712E-005</v>
      </c>
      <c r="CF114" s="19" t="n">
        <f aca="false">BX114*c_stroke_fatal+BY114*c_stroke_major+BZ114*c_stroke_minor+BS114*c_ich+BT114*c_major_bleed+CC114*c_mi_fatal+CD114*c_mi_nonfatal+BV114*c_tia+BW114*c_minor_bleed</f>
        <v>0.025695042457159</v>
      </c>
      <c r="CG114" s="57" t="n">
        <f aca="false">dt*(CD114*dec_mi+CB114*dec_major_bleed+BW114*dec_minor_bleed+BV114*dec_tia)</f>
        <v>6.97627103681947E-009</v>
      </c>
      <c r="CH114" s="57" t="n">
        <f aca="false">I114*BJ114+BX114+BS114-CA114+BT114-CB114+CC114</f>
        <v>9.93875640067985E-006</v>
      </c>
      <c r="CI114" s="57" t="n">
        <f aca="false">1-EXP(LN(1-E114)*dt)</f>
        <v>0.183923753770145</v>
      </c>
      <c r="CJ114" s="57" t="n">
        <f aca="false">J114*(1-CI114)</f>
        <v>0.000419355639096354</v>
      </c>
      <c r="CK114" s="57" t="n">
        <f aca="false">(1-EXP(-r_stroke*F114*rr_asa_stroke*dt))</f>
        <v>0.0193324522668811</v>
      </c>
      <c r="CL114" s="57" t="n">
        <f aca="false">(1-EXP(-r_ich*rr_asa_ich*dt))</f>
        <v>0.00102357767802375</v>
      </c>
      <c r="CM114" s="57" t="n">
        <f aca="false">(1-EXP(-r_mb*rr_asa_mb*dt))</f>
        <v>0.00951809672747972</v>
      </c>
      <c r="CN114" s="57" t="n">
        <f aca="false">(1-EXP(-r_mi*rr_asa_mi*dt))</f>
        <v>0.00213413516393479</v>
      </c>
      <c r="CO114" s="57" t="n">
        <f aca="false">(1-EXP(-r_tia*rr_asa_tia*dt))</f>
        <v>0.00312764565589152</v>
      </c>
      <c r="CP114" s="57" t="n">
        <f aca="false">(1-EXP(-r_minor*rr_asa_minor*dt))</f>
        <v>0.0278181950466747</v>
      </c>
      <c r="CQ114" s="57" t="n">
        <f aca="false">CJ114*CK114</f>
        <v>8.10717287567767E-006</v>
      </c>
      <c r="CR114" s="57" t="n">
        <f aca="false">CJ114*CL114</f>
        <v>4.2924307133241E-007</v>
      </c>
      <c r="CS114" s="57" t="n">
        <f aca="false">CJ114*CM114</f>
        <v>3.99146753613317E-006</v>
      </c>
      <c r="CT114" s="57" t="n">
        <f aca="false">CJ114*CN114</f>
        <v>8.94961615589877E-007</v>
      </c>
      <c r="CU114" s="57" t="n">
        <f aca="false">CJ114*CO114</f>
        <v>1.31159584289332E-006</v>
      </c>
      <c r="CV114" s="57" t="n">
        <f aca="false">CJ114*CP114</f>
        <v>1.16657169623053E-005</v>
      </c>
      <c r="CW114" s="57" t="n">
        <f aca="false">CQ114*f_stroke_fatal</f>
        <v>1.92139997153561E-006</v>
      </c>
      <c r="CX114" s="57" t="n">
        <f aca="false">CQ114*(1-f_stroke_fatal)*f_stroke_major</f>
        <v>2.05986237707931E-006</v>
      </c>
      <c r="CY114" s="57" t="n">
        <f aca="false">CQ114*(1-f_stroke_fatal)*(1-f_stroke_major)</f>
        <v>4.12591052706276E-006</v>
      </c>
      <c r="CZ114" s="57" t="n">
        <f aca="false">CR114*(1-f_bleed_fatal)</f>
        <v>3.93186653340488E-007</v>
      </c>
      <c r="DA114" s="57" t="n">
        <f aca="false">CS114*(1-f_bleed_fatal)</f>
        <v>3.65618426309799E-006</v>
      </c>
      <c r="DB114" s="57" t="n">
        <f aca="false">CT114*f_mi_fatal</f>
        <v>1.08290355486375E-007</v>
      </c>
      <c r="DC114" s="57" t="n">
        <f aca="false">CT114-DB114</f>
        <v>7.86671260103502E-007</v>
      </c>
      <c r="DD114" s="57" t="n">
        <f aca="false">CJ114-CQ114-CR114-CS114-DB114</f>
        <v>0.000406719465257724</v>
      </c>
      <c r="DE114" s="19" t="n">
        <f aca="false">CW114*c_stroke_fatal+CX114*c_stroke_major+CY114*c_stroke_minor+CR114*c_ich+CS114*c_major_bleed+DB114*c_mi_fatal+DC114*c_mi_nonfatal+CU114*c_tia+CV114*c_minor_bleed</f>
        <v>0.356010529465588</v>
      </c>
      <c r="DF114" s="57" t="n">
        <f aca="false">dt*(DC114*dec_mi+DA114*dec_major_bleed+CV114*dec_minor_bleed+CU114*dec_tia)</f>
        <v>1.80362888011483E-007</v>
      </c>
      <c r="DG114" s="57" t="n">
        <f aca="false">J114*CI114+CW114+CR114-CZ114+CS114-DA114+DB114</f>
        <v>9.69135999692098E-005</v>
      </c>
      <c r="DH114" s="57" t="n">
        <f aca="false">AG114</f>
        <v>0.000663777996690106</v>
      </c>
      <c r="DI114" s="57" t="n">
        <f aca="false">AB114+AC114+BF114+BA114+BB114+BC114+CY114+CZ114</f>
        <v>3.96455541973303E-005</v>
      </c>
      <c r="DJ114" s="57" t="n">
        <f aca="false">AA114+AZ114+BY114+CX114+CE114+BZ114+CA114+CB114</f>
        <v>1.99185380598327E-005</v>
      </c>
      <c r="DK114" s="57" t="n">
        <f aca="false">AD114+DD114+DA114</f>
        <v>0.000414517196162272</v>
      </c>
      <c r="DL114" s="57" t="n">
        <f aca="false">K114+AJ114+BI114+CH114+DG114</f>
        <v>0.99886214071489</v>
      </c>
      <c r="DM114" s="58" t="n">
        <f aca="false">SUM(DH114:DL114)</f>
        <v>0.999999999999999</v>
      </c>
      <c r="DN114" s="19" t="n">
        <f aca="false">dt*(G114*Apixaban!$H$2+(H114+I114+J114)*c_aspirin)</f>
        <v>0.0674947713357175</v>
      </c>
      <c r="DO114" s="19" t="n">
        <f aca="false">dt*(H114*c_lt_minor_stroke+I114*c_lt_major_stroke)</f>
        <v>0.307784686006156</v>
      </c>
      <c r="DP114" s="19" t="n">
        <f aca="false">AH114+BG114+CF114+DE114</f>
        <v>0.735017218817308</v>
      </c>
      <c r="DQ114" s="19" t="n">
        <f aca="false">DN114+DO114+DP114</f>
        <v>1.11029667615918</v>
      </c>
      <c r="DR114" s="57" t="n">
        <f aca="false">dt*(G114*(u_af-dec_per_year_over_70*MAX(B114-ref_age,0))+H114*(u_minor_stroke-dec_per_year_over_70*MAX(B114-ref_age,0))+I114*(u_major_stroke-dec_per_year_over_70*MAX(B114-ref_age,0))+J114*(u_af-dec_per_year_over_70*MAX(B114-ref_age,0)))-AI114-BH114-CG114-DF114</f>
        <v>0.00028019616495541</v>
      </c>
      <c r="DS114" s="57" t="n">
        <f aca="false">dt*(G114+H114+I114+J114)</f>
        <v>0.000354672685330707</v>
      </c>
      <c r="DT114" s="19" t="n">
        <f aca="false">DQ114*C114</f>
        <v>0.742772641399968</v>
      </c>
      <c r="DU114" s="19" t="n">
        <f aca="false">DN114*C114</f>
        <v>0.045153039419286</v>
      </c>
      <c r="DV114" s="19" t="n">
        <f aca="false">DP114*C114</f>
        <v>0.491716036639849</v>
      </c>
      <c r="DW114" s="19" t="n">
        <f aca="false">DO114*C114</f>
        <v>0.205903565340833</v>
      </c>
      <c r="DX114" s="57" t="n">
        <f aca="false">DR114*C114</f>
        <v>0.00018744723822287</v>
      </c>
      <c r="DY114" s="57" t="n">
        <f aca="false">DS114*C114</f>
        <v>0.000237270968176563</v>
      </c>
      <c r="DZ114" s="57" t="n">
        <f aca="false">T114+AS114+BR114+CQ114</f>
        <v>1.65483998307359E-005</v>
      </c>
      <c r="EA114" s="57" t="n">
        <f aca="false">U114+AT114+BS114+CR114</f>
        <v>1.04846639200904E-006</v>
      </c>
      <c r="EB114" s="57" t="n">
        <f aca="false">V114+AU114+BT114+CS114</f>
        <v>8.97335774361732E-006</v>
      </c>
      <c r="EC114" s="57" t="n">
        <f aca="false">G114*dt*C114</f>
        <v>0.000138413061285406</v>
      </c>
    </row>
    <row r="115" customFormat="false" ht="15" hidden="false" customHeight="false" outlineLevel="0" collapsed="false">
      <c r="A115" s="8" t="n">
        <v>109</v>
      </c>
      <c r="B115" s="54" t="n">
        <f aca="false">start_age+A115*dt</f>
        <v>97.25</v>
      </c>
      <c r="C115" s="16" t="n">
        <f aca="false">(1+disc_rate)^-(A115*dt)</f>
        <v>0.666500299197696</v>
      </c>
      <c r="D115" s="55" t="n">
        <f aca="false">IF(A115*dt&gt;=wane_start,(1-wane_decay)^(A115*dt-wane_start),1)</f>
        <v>1</v>
      </c>
      <c r="E115" s="25" t="n">
        <f aca="false">MIN(p_nonvasc_death*MIN(EXP(gomp_int+gomp_slope*INT(B115)),1)/qx_ref,0.999)</f>
        <v>0.55647005398946</v>
      </c>
      <c r="F115" s="55" t="n">
        <f aca="false">rr_stroke_per_decade^((B115-ref_age)/10)</f>
        <v>3.0188996768856</v>
      </c>
      <c r="G115" s="57" t="n">
        <f aca="false">DH114</f>
        <v>0.000663777996690106</v>
      </c>
      <c r="H115" s="57" t="n">
        <f aca="false">DI114</f>
        <v>3.96455541973303E-005</v>
      </c>
      <c r="I115" s="57" t="n">
        <f aca="false">DJ114</f>
        <v>1.99185380598327E-005</v>
      </c>
      <c r="J115" s="57" t="n">
        <f aca="false">DK114</f>
        <v>0.000414517196162272</v>
      </c>
      <c r="K115" s="57" t="n">
        <f aca="false">DL114</f>
        <v>0.99886214071489</v>
      </c>
      <c r="L115" s="57" t="n">
        <f aca="false">1-EXP(LN(1-E115)*dt)</f>
        <v>0.183923753770145</v>
      </c>
      <c r="M115" s="57" t="n">
        <f aca="false">G115*(1-L115)</f>
        <v>0.000541693455868834</v>
      </c>
      <c r="N115" s="57" t="n">
        <f aca="false">IF(Apixaban!$B$2=1,EXP(LN(or_apx_stroke)*D115)*(1-EXP(-r_stroke*F115*dt))/(1-(1-EXP(-r_stroke*F115*dt))+EXP(LN(or_apx_stroke)*D115)*(1-EXP(-r_stroke*F115*dt))),(1-EXP(-r_stroke*F115*dt)))</f>
        <v>0.00958291636663809</v>
      </c>
      <c r="O115" s="57" t="n">
        <f aca="false">IF(Apixaban!$B$2=1,EXP(LN(or_apx_ich)*D115)*(1-EXP(-r_ich*dt))/(1-(1-EXP(-r_ich*dt))+EXP(LN(or_apx_ich)*D115)*(1-EXP(-r_ich*dt))),(1-EXP(-r_ich*dt)))</f>
        <v>0.000843513249640701</v>
      </c>
      <c r="P115" s="57" t="n">
        <f aca="false">IF(Apixaban!$B$2=1,EXP(LN(or_apx_mb)*D115)*(1-EXP(-r_mb*dt))/(1-(1-EXP(-r_mb*dt))+EXP(LN(or_apx_mb)*D115)*(1-EXP(-r_mb*dt))),(1-EXP(-r_mb*dt)))</f>
        <v>0.00669446907979895</v>
      </c>
      <c r="Q115" s="57" t="n">
        <f aca="false">IF(Apixaban!$B$2=1,EXP(LN(or_apx_mi)*D115)*(1-EXP(-r_mi*dt))/(1-(1-EXP(-r_mi*dt))+EXP(LN(or_apx_mi)*D115)*(1-EXP(-r_mi*dt))),(1-EXP(-r_mi*dt)))</f>
        <v>0.00132321915530843</v>
      </c>
      <c r="R115" s="57" t="n">
        <f aca="false">(1-EXP(-r_tia*dt))</f>
        <v>0.0020060281549299</v>
      </c>
      <c r="S115" s="57" t="n">
        <f aca="false">(1-EXP(-r_minor*dt))</f>
        <v>0.0437937690785545</v>
      </c>
      <c r="T115" s="57" t="n">
        <f aca="false">M115*N115</f>
        <v>5.1910030839462E-006</v>
      </c>
      <c r="U115" s="57" t="n">
        <f aca="false">M115*O115</f>
        <v>4.56925607269022E-007</v>
      </c>
      <c r="V115" s="57" t="n">
        <f aca="false">M115*P115</f>
        <v>3.62635009104335E-006</v>
      </c>
      <c r="W115" s="57" t="n">
        <f aca="false">M115*Q115</f>
        <v>7.16779157110863E-007</v>
      </c>
      <c r="X115" s="57" t="n">
        <f aca="false">M115*R115</f>
        <v>1.08665232381416E-006</v>
      </c>
      <c r="Y115" s="57" t="n">
        <f aca="false">M115*S115</f>
        <v>2.37227981176839E-005</v>
      </c>
      <c r="Z115" s="57" t="n">
        <f aca="false">T115*f_stroke_fatal</f>
        <v>1.23026773089525E-006</v>
      </c>
      <c r="AA115" s="57" t="n">
        <f aca="false">T115*(1-f_stroke_fatal)*f_stroke_major</f>
        <v>1.31892487256597E-006</v>
      </c>
      <c r="AB115" s="57" t="n">
        <f aca="false">T115*(1-f_stroke_fatal)*(1-f_stroke_major)</f>
        <v>2.64181048048498E-006</v>
      </c>
      <c r="AC115" s="57" t="n">
        <f aca="false">U115*(1-f_bleed_fatal)</f>
        <v>4.18543856258424E-007</v>
      </c>
      <c r="AD115" s="57" t="n">
        <f aca="false">V115*(1-f_bleed_fatal)</f>
        <v>3.32173668339571E-006</v>
      </c>
      <c r="AE115" s="57" t="n">
        <f aca="false">W115*f_mi_fatal</f>
        <v>8.67302780104144E-008</v>
      </c>
      <c r="AF115" s="57" t="n">
        <f aca="false">W115-AE115</f>
        <v>6.30048879100448E-007</v>
      </c>
      <c r="AG115" s="57" t="n">
        <f aca="false">M115-T115-U115-V115-AE115</f>
        <v>0.000532332446808565</v>
      </c>
      <c r="AH115" s="19" t="n">
        <f aca="false">Z115*c_stroke_fatal+AA115*c_stroke_major+AB115*c_stroke_minor+U115*c_ich+V115*c_major_bleed+AE115*c_mi_fatal+AF115*c_mi_nonfatal+X115*c_tia+Y115*c_minor_bleed</f>
        <v>0.24443252770944</v>
      </c>
      <c r="AI115" s="57" t="n">
        <f aca="false">dt*(AF115*dec_mi+AD115*dec_major_bleed+Y115*dec_minor_bleed+X115*dec_tia)</f>
        <v>2.01169362410677E-007</v>
      </c>
      <c r="AJ115" s="57" t="n">
        <f aca="false">G115*L115+Z115+U115-AC115+V115-AD115+AE115</f>
        <v>0.000123744533988835</v>
      </c>
      <c r="AK115" s="57" t="n">
        <f aca="false">1-EXP(LN(1-E115)*hr_death_prior_stroke*dt)</f>
        <v>0.373413988751993</v>
      </c>
      <c r="AL115" s="57" t="n">
        <f aca="false">H115*(1-AK115)</f>
        <v>2.48413496682219E-005</v>
      </c>
      <c r="AM115" s="57" t="n">
        <f aca="false">(1-EXP(-r_stroke*F115*rr_stroke_prior*rr_asa_stroke*dt))</f>
        <v>0.0424577661435053</v>
      </c>
      <c r="AN115" s="57" t="n">
        <f aca="false">(1-EXP(-r_ich*rr_asa_ich*dt))</f>
        <v>0.00102357767802375</v>
      </c>
      <c r="AO115" s="57" t="n">
        <f aca="false">(1-EXP(-r_mb*rr_asa_mb*dt))</f>
        <v>0.00951809672747972</v>
      </c>
      <c r="AP115" s="57" t="n">
        <f aca="false">(1-EXP(-r_mi*rr_asa_mi*dt))</f>
        <v>0.00213413516393479</v>
      </c>
      <c r="AQ115" s="57" t="n">
        <f aca="false">(1-EXP(-r_tia*rr_asa_tia*dt))</f>
        <v>0.00312764565589152</v>
      </c>
      <c r="AR115" s="57" t="n">
        <f aca="false">(1-EXP(-r_minor*rr_asa_minor*dt))</f>
        <v>0.0278181950466747</v>
      </c>
      <c r="AS115" s="57" t="n">
        <f aca="false">AL115*AM115</f>
        <v>1.05470821490241E-006</v>
      </c>
      <c r="AT115" s="57" t="n">
        <f aca="false">AL115*AN115</f>
        <v>2.54270510123745E-008</v>
      </c>
      <c r="AU115" s="57" t="n">
        <f aca="false">AL115*AO115</f>
        <v>2.36442368983282E-007</v>
      </c>
      <c r="AV115" s="57" t="n">
        <f aca="false">AL115*AP115</f>
        <v>5.30147978465522E-008</v>
      </c>
      <c r="AW115" s="57" t="n">
        <f aca="false">AL115*AQ115</f>
        <v>7.76949393762965E-008</v>
      </c>
      <c r="AX115" s="57" t="n">
        <f aca="false">AL115*AR115</f>
        <v>6.91041510293245E-007</v>
      </c>
      <c r="AY115" s="57" t="n">
        <f aca="false">AS115*f_stroke_fatal_recur</f>
        <v>3.92446379683037E-007</v>
      </c>
      <c r="AZ115" s="57" t="n">
        <f aca="false">AS115*(1-f_stroke_fatal_recur)*f_stroke_major</f>
        <v>2.20533191128051E-007</v>
      </c>
      <c r="BA115" s="57" t="n">
        <f aca="false">AS115*(1-f_stroke_fatal_recur)*(1-f_stroke_major)</f>
        <v>4.4172864409132E-007</v>
      </c>
      <c r="BB115" s="57" t="n">
        <f aca="false">AT115*(1-f_bleed_fatal)</f>
        <v>2.32911787273351E-008</v>
      </c>
      <c r="BC115" s="57" t="n">
        <f aca="false">AU115*(1-f_bleed_fatal)</f>
        <v>2.16581209988687E-007</v>
      </c>
      <c r="BD115" s="57" t="n">
        <f aca="false">AV115*f_mi_fatal</f>
        <v>6.41479053943282E-009</v>
      </c>
      <c r="BE115" s="57" t="n">
        <f aca="false">AV115-BD115</f>
        <v>4.66000073071194E-008</v>
      </c>
      <c r="BF115" s="57" t="n">
        <f aca="false">AL115-AS115-AT115-AU115-BD115</f>
        <v>2.35183572427844E-005</v>
      </c>
      <c r="BG115" s="19" t="n">
        <f aca="false">AY115*c_stroke_fatal+AZ115*c_stroke_major+BA115*c_stroke_minor+AT115*c_ich+AU115*c_major_bleed+BD115*c_mi_fatal+BE115*c_mi_nonfatal+AW115*c_tia+AX115*c_minor_bleed</f>
        <v>0.039710859555569</v>
      </c>
      <c r="BH115" s="57" t="n">
        <f aca="false">dt*(BE115*dec_mi+BC115*dec_major_bleed+AX115*dec_minor_bleed+AW115*dec_tia)</f>
        <v>1.068414765548E-008</v>
      </c>
      <c r="BI115" s="57" t="n">
        <f aca="false">H115*AK115+AY115+AT115-BB115+AU115-BC115+BD115</f>
        <v>1.52250627306105E-005</v>
      </c>
      <c r="BJ115" s="57" t="n">
        <f aca="false">1-EXP(LN(1-E115)*hr_death_prior_stroke*dt)</f>
        <v>0.373413988751993</v>
      </c>
      <c r="BK115" s="57" t="n">
        <f aca="false">I115*(1-BJ115)</f>
        <v>1.24806773128022E-005</v>
      </c>
      <c r="BL115" s="57" t="n">
        <f aca="false">(1-EXP(-r_stroke*F115*rr_stroke_prior*rr_asa_stroke*dt))</f>
        <v>0.0424577661435053</v>
      </c>
      <c r="BM115" s="57" t="n">
        <f aca="false">(1-EXP(-r_ich*rr_asa_ich*dt))</f>
        <v>0.00102357767802375</v>
      </c>
      <c r="BN115" s="57" t="n">
        <f aca="false">(1-EXP(-r_mb*rr_asa_mb*dt))</f>
        <v>0.00951809672747972</v>
      </c>
      <c r="BO115" s="57" t="n">
        <f aca="false">(1-EXP(-r_mi*rr_asa_mi*dt))</f>
        <v>0.00213413516393479</v>
      </c>
      <c r="BP115" s="57" t="n">
        <f aca="false">(1-EXP(-r_tia*rr_asa_tia*dt))</f>
        <v>0.00312764565589152</v>
      </c>
      <c r="BQ115" s="57" t="n">
        <f aca="false">(1-EXP(-r_minor*rr_asa_minor*dt))</f>
        <v>0.0278181950466747</v>
      </c>
      <c r="BR115" s="57" t="n">
        <f aca="false">BK115*BL115</f>
        <v>5.29901678659509E-007</v>
      </c>
      <c r="BS115" s="57" t="n">
        <f aca="false">BK115*BM115</f>
        <v>1.27749427040017E-008</v>
      </c>
      <c r="BT115" s="57" t="n">
        <f aca="false">BK115*BN115</f>
        <v>1.18792293887713E-007</v>
      </c>
      <c r="BU115" s="57" t="n">
        <f aca="false">BK115*BO115</f>
        <v>2.66354523229744E-008</v>
      </c>
      <c r="BV115" s="57" t="n">
        <f aca="false">BK115*BP115</f>
        <v>3.90351361799697E-008</v>
      </c>
      <c r="BW115" s="57" t="n">
        <f aca="false">BK115*BQ115</f>
        <v>3.4718991580214E-007</v>
      </c>
      <c r="BX115" s="57" t="n">
        <f aca="false">BR115*f_stroke_fatal_recur</f>
        <v>1.97171115612417E-007</v>
      </c>
      <c r="BY115" s="57" t="n">
        <f aca="false">BR115*(1-f_stroke_fatal_recur)*f_stroke_major</f>
        <v>1.10799277494682E-007</v>
      </c>
      <c r="BZ115" s="57" t="n">
        <f aca="false">BR115*(1-f_stroke_fatal_recur)*(1-f_stroke_major)</f>
        <v>2.2193128555241E-007</v>
      </c>
      <c r="CA115" s="57" t="n">
        <f aca="false">BS115*(1-f_bleed_fatal)</f>
        <v>1.17018475168656E-008</v>
      </c>
      <c r="CB115" s="57" t="n">
        <f aca="false">BT115*(1-f_bleed_fatal)</f>
        <v>1.08813741201145E-007</v>
      </c>
      <c r="CC115" s="57" t="n">
        <f aca="false">BU115*f_mi_fatal</f>
        <v>3.2228897310799E-009</v>
      </c>
      <c r="CD115" s="57" t="n">
        <f aca="false">BU115-CC115</f>
        <v>2.34125625918945E-008</v>
      </c>
      <c r="CE115" s="57" t="n">
        <f aca="false">BK115-BR115-BS115-BT115-CC115</f>
        <v>1.18159855078199E-005</v>
      </c>
      <c r="CF115" s="19" t="n">
        <f aca="false">BX115*c_stroke_fatal+BY115*c_stroke_major+BZ115*c_stroke_minor+BS115*c_ich+BT115*c_major_bleed+CC115*c_mi_fatal+CD115*c_mi_nonfatal+BV115*c_tia+BW115*c_minor_bleed</f>
        <v>0.0199513484793091</v>
      </c>
      <c r="CG115" s="57" t="n">
        <f aca="false">dt*(CD115*dec_mi+CB115*dec_major_bleed+BW115*dec_minor_bleed+BV115*dec_tia)</f>
        <v>5.36788061161422E-009</v>
      </c>
      <c r="CH115" s="57" t="n">
        <f aca="false">I115*BJ115+BX115+BS115-CA115+BT115-CB115+CC115</f>
        <v>7.64930640024772E-006</v>
      </c>
      <c r="CI115" s="57" t="n">
        <f aca="false">1-EXP(LN(1-E115)*dt)</f>
        <v>0.183923753770145</v>
      </c>
      <c r="CJ115" s="57" t="n">
        <f aca="false">J115*(1-CI115)</f>
        <v>0.000338277637441831</v>
      </c>
      <c r="CK115" s="57" t="n">
        <f aca="false">(1-EXP(-r_stroke*F115*rr_asa_stroke*dt))</f>
        <v>0.0195274790514018</v>
      </c>
      <c r="CL115" s="57" t="n">
        <f aca="false">(1-EXP(-r_ich*rr_asa_ich*dt))</f>
        <v>0.00102357767802375</v>
      </c>
      <c r="CM115" s="57" t="n">
        <f aca="false">(1-EXP(-r_mb*rr_asa_mb*dt))</f>
        <v>0.00951809672747972</v>
      </c>
      <c r="CN115" s="57" t="n">
        <f aca="false">(1-EXP(-r_mi*rr_asa_mi*dt))</f>
        <v>0.00213413516393479</v>
      </c>
      <c r="CO115" s="57" t="n">
        <f aca="false">(1-EXP(-r_tia*rr_asa_tia*dt))</f>
        <v>0.00312764565589152</v>
      </c>
      <c r="CP115" s="57" t="n">
        <f aca="false">(1-EXP(-r_minor*rr_asa_minor*dt))</f>
        <v>0.0278181950466747</v>
      </c>
      <c r="CQ115" s="57" t="n">
        <f aca="false">CJ115*CK115</f>
        <v>6.60570947870306E-006</v>
      </c>
      <c r="CR115" s="57" t="n">
        <f aca="false">CJ115*CL115</f>
        <v>3.46253438660068E-007</v>
      </c>
      <c r="CS115" s="57" t="n">
        <f aca="false">CJ115*CM115</f>
        <v>3.21975927391466E-006</v>
      </c>
      <c r="CT115" s="57" t="n">
        <f aca="false">CJ115*CN115</f>
        <v>7.21930201237396E-007</v>
      </c>
      <c r="CU115" s="57" t="n">
        <f aca="false">CJ115*CO115</f>
        <v>1.05801258323019E-006</v>
      </c>
      <c r="CV115" s="57" t="n">
        <f aca="false">CJ115*CP115</f>
        <v>9.41027329828516E-006</v>
      </c>
      <c r="CW115" s="57" t="n">
        <f aca="false">CQ115*f_stroke_fatal</f>
        <v>1.56555314645263E-006</v>
      </c>
      <c r="CX115" s="57" t="n">
        <f aca="false">CQ115*(1-f_stroke_fatal)*f_stroke_major</f>
        <v>1.67837205863939E-006</v>
      </c>
      <c r="CY115" s="57" t="n">
        <f aca="false">CQ115*(1-f_stroke_fatal)*(1-f_stroke_major)</f>
        <v>3.36178427361104E-006</v>
      </c>
      <c r="CZ115" s="57" t="n">
        <f aca="false">CR115*(1-f_bleed_fatal)</f>
        <v>3.17168149812622E-007</v>
      </c>
      <c r="DA115" s="57" t="n">
        <f aca="false">CS115*(1-f_bleed_fatal)</f>
        <v>2.94929949490583E-006</v>
      </c>
      <c r="DB115" s="57" t="n">
        <f aca="false">CT115*f_mi_fatal</f>
        <v>8.73535543497249E-008</v>
      </c>
      <c r="DC115" s="57" t="n">
        <f aca="false">CT115-DB115</f>
        <v>6.34576646887671E-007</v>
      </c>
      <c r="DD115" s="57" t="n">
        <f aca="false">CJ115-CQ115-CR115-CS115-DB115</f>
        <v>0.000328018561696203</v>
      </c>
      <c r="DE115" s="19" t="n">
        <f aca="false">CW115*c_stroke_fatal+CX115*c_stroke_major+CY115*c_stroke_minor+CR115*c_ich+CS115*c_major_bleed+DB115*c_mi_fatal+DC115*c_mi_nonfatal+CU115*c_tia+CV115*c_minor_bleed</f>
        <v>0.289617191871854</v>
      </c>
      <c r="DF115" s="57" t="n">
        <f aca="false">dt*(DC115*dec_mi+DA115*dec_major_bleed+CV115*dec_minor_bleed+CU115*dec_tia)</f>
        <v>1.45491620835678E-007</v>
      </c>
      <c r="DG115" s="57" t="n">
        <f aca="false">J115*CI115+CW115+CR115-CZ115+CS115-DA115+DB115</f>
        <v>7.81920104890993E-005</v>
      </c>
      <c r="DH115" s="57" t="n">
        <f aca="false">AG115</f>
        <v>0.000532332446808565</v>
      </c>
      <c r="DI115" s="57" t="n">
        <f aca="false">AB115+AC115+BF115+BA115+BB115+BC115+CY115+CZ115</f>
        <v>3.09392650357588E-005</v>
      </c>
      <c r="DJ115" s="57" t="n">
        <f aca="false">AA115+AZ115+BY115+CX115+CE115+BZ115+CA115+CB115</f>
        <v>1.54870617819184E-005</v>
      </c>
      <c r="DK115" s="57" t="n">
        <f aca="false">AD115+DD115+DA115</f>
        <v>0.000334289597874505</v>
      </c>
      <c r="DL115" s="57" t="n">
        <f aca="false">K115+AJ115+BI115+CH115+DG115</f>
        <v>0.999086951628499</v>
      </c>
      <c r="DM115" s="58" t="n">
        <f aca="false">SUM(DH115:DL115)</f>
        <v>0.999999999999999</v>
      </c>
      <c r="DN115" s="19" t="n">
        <f aca="false">dt*(G115*Apixaban!$H$2+(H115+I115+J115)*c_aspirin)</f>
        <v>0.0541342846690084</v>
      </c>
      <c r="DO115" s="19" t="n">
        <f aca="false">dt*(H115*c_lt_minor_stroke+I115*c_lt_major_stroke)</f>
        <v>0.237216240377966</v>
      </c>
      <c r="DP115" s="19" t="n">
        <f aca="false">AH115+BG115+CF115+DE115</f>
        <v>0.593711927616172</v>
      </c>
      <c r="DQ115" s="19" t="n">
        <f aca="false">DN115+DO115+DP115</f>
        <v>0.885062452663147</v>
      </c>
      <c r="DR115" s="57" t="n">
        <f aca="false">dt*(G115*(u_af-dec_per_year_over_70*MAX(B115-ref_age,0))+H115*(u_minor_stroke-dec_per_year_over_70*MAX(B115-ref_age,0))+I115*(u_major_stroke-dec_per_year_over_70*MAX(B115-ref_age,0))+J115*(u_af-dec_per_year_over_70*MAX(B115-ref_age,0)))-AI115-BH115-CG115-DF115</f>
        <v>0.000224833848142623</v>
      </c>
      <c r="DS115" s="57" t="n">
        <f aca="false">dt*(G115+H115+I115+J115)</f>
        <v>0.000284464821277385</v>
      </c>
      <c r="DT115" s="19" t="n">
        <f aca="false">DQ115*C115</f>
        <v>0.589894389508634</v>
      </c>
      <c r="DU115" s="19" t="n">
        <f aca="false">DN115*C115</f>
        <v>0.0360805169287473</v>
      </c>
      <c r="DV115" s="19" t="n">
        <f aca="false">DP115*C115</f>
        <v>0.39570917739342</v>
      </c>
      <c r="DW115" s="19" t="n">
        <f aca="false">DO115*C115</f>
        <v>0.158104695186467</v>
      </c>
      <c r="DX115" s="57" t="n">
        <f aca="false">DR115*C115</f>
        <v>0.000149851827056828</v>
      </c>
      <c r="DY115" s="57" t="n">
        <f aca="false">DS115*C115</f>
        <v>0.000189595888492596</v>
      </c>
      <c r="DZ115" s="57" t="n">
        <f aca="false">T115+AS115+BR115+CQ115</f>
        <v>1.33813224562112E-005</v>
      </c>
      <c r="EA115" s="57" t="n">
        <f aca="false">U115+AT115+BS115+CR115</f>
        <v>8.41381039645466E-007</v>
      </c>
      <c r="EB115" s="57" t="n">
        <f aca="false">V115+AU115+BT115+CS115</f>
        <v>7.20134402782901E-006</v>
      </c>
      <c r="EC115" s="57" t="n">
        <f aca="false">G115*dt*C115</f>
        <v>0.000110602058348701</v>
      </c>
    </row>
    <row r="116" customFormat="false" ht="15" hidden="false" customHeight="false" outlineLevel="0" collapsed="false">
      <c r="A116" s="8" t="n">
        <v>110</v>
      </c>
      <c r="B116" s="54" t="n">
        <f aca="false">start_age+A116*dt</f>
        <v>97.5</v>
      </c>
      <c r="C116" s="16" t="n">
        <f aca="false">(1+disc_rate)^-(A116*dt)</f>
        <v>0.664024094293041</v>
      </c>
      <c r="D116" s="55" t="n">
        <f aca="false">IF(A116*dt&gt;=wane_start,(1-wane_decay)^(A116*dt-wane_start),1)</f>
        <v>1</v>
      </c>
      <c r="E116" s="25" t="n">
        <f aca="false">MIN(p_nonvasc_death*MIN(EXP(gomp_int+gomp_slope*INT(B116)),1)/qx_ref,0.999)</f>
        <v>0.55647005398946</v>
      </c>
      <c r="F116" s="55" t="n">
        <f aca="false">rr_stroke_per_decade^((B116-ref_age)/10)</f>
        <v>3.04965676218323</v>
      </c>
      <c r="G116" s="57" t="n">
        <f aca="false">DH115</f>
        <v>0.000532332446808565</v>
      </c>
      <c r="H116" s="57" t="n">
        <f aca="false">DI115</f>
        <v>3.09392650357588E-005</v>
      </c>
      <c r="I116" s="57" t="n">
        <f aca="false">DJ115</f>
        <v>1.54870617819184E-005</v>
      </c>
      <c r="J116" s="57" t="n">
        <f aca="false">DK115</f>
        <v>0.000334289597874505</v>
      </c>
      <c r="K116" s="57" t="n">
        <f aca="false">DL115</f>
        <v>0.999086951628499</v>
      </c>
      <c r="L116" s="57" t="n">
        <f aca="false">1-EXP(LN(1-E116)*dt)</f>
        <v>0.183923753770145</v>
      </c>
      <c r="M116" s="57" t="n">
        <f aca="false">G116*(1-L116)</f>
        <v>0.000434423864937888</v>
      </c>
      <c r="N116" s="57" t="n">
        <f aca="false">IF(Apixaban!$B$2=1,EXP(LN(or_apx_stroke)*D116)*(1-EXP(-r_stroke*F116*dt))/(1-(1-EXP(-r_stroke*F116*dt))+EXP(LN(or_apx_stroke)*D116)*(1-EXP(-r_stroke*F116*dt))),(1-EXP(-r_stroke*F116*dt)))</f>
        <v>0.00968019944248347</v>
      </c>
      <c r="O116" s="57" t="n">
        <f aca="false">IF(Apixaban!$B$2=1,EXP(LN(or_apx_ich)*D116)*(1-EXP(-r_ich*dt))/(1-(1-EXP(-r_ich*dt))+EXP(LN(or_apx_ich)*D116)*(1-EXP(-r_ich*dt))),(1-EXP(-r_ich*dt)))</f>
        <v>0.000843513249640701</v>
      </c>
      <c r="P116" s="57" t="n">
        <f aca="false">IF(Apixaban!$B$2=1,EXP(LN(or_apx_mb)*D116)*(1-EXP(-r_mb*dt))/(1-(1-EXP(-r_mb*dt))+EXP(LN(or_apx_mb)*D116)*(1-EXP(-r_mb*dt))),(1-EXP(-r_mb*dt)))</f>
        <v>0.00669446907979895</v>
      </c>
      <c r="Q116" s="57" t="n">
        <f aca="false">IF(Apixaban!$B$2=1,EXP(LN(or_apx_mi)*D116)*(1-EXP(-r_mi*dt))/(1-(1-EXP(-r_mi*dt))+EXP(LN(or_apx_mi)*D116)*(1-EXP(-r_mi*dt))),(1-EXP(-r_mi*dt)))</f>
        <v>0.00132321915530843</v>
      </c>
      <c r="R116" s="57" t="n">
        <f aca="false">(1-EXP(-r_tia*dt))</f>
        <v>0.0020060281549299</v>
      </c>
      <c r="S116" s="57" t="n">
        <f aca="false">(1-EXP(-r_minor*dt))</f>
        <v>0.0437937690785545</v>
      </c>
      <c r="T116" s="57" t="n">
        <f aca="false">M116*N116</f>
        <v>4.20530965517325E-006</v>
      </c>
      <c r="U116" s="57" t="n">
        <f aca="false">M116*O116</f>
        <v>3.66442286035231E-007</v>
      </c>
      <c r="V116" s="57" t="n">
        <f aca="false">M116*P116</f>
        <v>2.90823713135345E-006</v>
      </c>
      <c r="W116" s="57" t="n">
        <f aca="false">M116*Q116</f>
        <v>5.74837979608935E-007</v>
      </c>
      <c r="X116" s="57" t="n">
        <f aca="false">M116*R116</f>
        <v>8.71466504238865E-007</v>
      </c>
      <c r="Y116" s="57" t="n">
        <f aca="false">M116*S116</f>
        <v>1.9025058423303E-005</v>
      </c>
      <c r="Z116" s="57" t="n">
        <f aca="false">T116*f_stroke_fatal</f>
        <v>9.96658388276061E-007</v>
      </c>
      <c r="AA116" s="57" t="n">
        <f aca="false">T116*(1-f_stroke_fatal)*f_stroke_major</f>
        <v>1.06848087187677E-006</v>
      </c>
      <c r="AB116" s="57" t="n">
        <f aca="false">T116*(1-f_stroke_fatal)*(1-f_stroke_major)</f>
        <v>2.14017039502043E-006</v>
      </c>
      <c r="AC116" s="57" t="n">
        <f aca="false">U116*(1-f_bleed_fatal)</f>
        <v>3.35661134008271E-007</v>
      </c>
      <c r="AD116" s="57" t="n">
        <f aca="false">V116*(1-f_bleed_fatal)</f>
        <v>2.66394521231976E-006</v>
      </c>
      <c r="AE116" s="57" t="n">
        <f aca="false">W116*f_mi_fatal</f>
        <v>6.95553955326811E-008</v>
      </c>
      <c r="AF116" s="57" t="n">
        <f aca="false">W116-AE116</f>
        <v>5.05282584076254E-007</v>
      </c>
      <c r="AG116" s="57" t="n">
        <f aca="false">M116-T116-U116-V116-AE116</f>
        <v>0.000426874320469793</v>
      </c>
      <c r="AH116" s="19" t="n">
        <f aca="false">Z116*c_stroke_fatal+AA116*c_stroke_major+AB116*c_stroke_minor+U116*c_ich+V116*c_major_bleed+AE116*c_mi_fatal+AF116*c_mi_nonfatal+X116*c_tia+Y116*c_minor_bleed</f>
        <v>0.197589924631268</v>
      </c>
      <c r="AI116" s="57" t="n">
        <f aca="false">dt*(AF116*dec_mi+AD116*dec_major_bleed+Y116*dec_minor_bleed+X116*dec_tia)</f>
        <v>1.61332522995623E-007</v>
      </c>
      <c r="AJ116" s="57" t="n">
        <f aca="false">G116*L116+Z116+U116-AC116+V116-AD116+AE116</f>
        <v>9.9249868725547E-005</v>
      </c>
      <c r="AK116" s="57" t="n">
        <f aca="false">1-EXP(LN(1-E116)*hr_death_prior_stroke*dt)</f>
        <v>0.373413988751993</v>
      </c>
      <c r="AL116" s="57" t="n">
        <f aca="false">H116*(1-AK116)</f>
        <v>1.93861106697011E-005</v>
      </c>
      <c r="AM116" s="57" t="n">
        <f aca="false">(1-EXP(-r_stroke*F116*rr_stroke_prior*rr_asa_stroke*dt))</f>
        <v>0.0428809241529629</v>
      </c>
      <c r="AN116" s="57" t="n">
        <f aca="false">(1-EXP(-r_ich*rr_asa_ich*dt))</f>
        <v>0.00102357767802375</v>
      </c>
      <c r="AO116" s="57" t="n">
        <f aca="false">(1-EXP(-r_mb*rr_asa_mb*dt))</f>
        <v>0.00951809672747972</v>
      </c>
      <c r="AP116" s="57" t="n">
        <f aca="false">(1-EXP(-r_mi*rr_asa_mi*dt))</f>
        <v>0.00213413516393479</v>
      </c>
      <c r="AQ116" s="57" t="n">
        <f aca="false">(1-EXP(-r_tia*rr_asa_tia*dt))</f>
        <v>0.00312764565589152</v>
      </c>
      <c r="AR116" s="57" t="n">
        <f aca="false">(1-EXP(-r_minor*rr_asa_minor*dt))</f>
        <v>0.0278181950466747</v>
      </c>
      <c r="AS116" s="57" t="n">
        <f aca="false">AL116*AM116</f>
        <v>8.31294341248395E-007</v>
      </c>
      <c r="AT116" s="57" t="n">
        <f aca="false">AL116*AN116</f>
        <v>1.9843190145204E-008</v>
      </c>
      <c r="AU116" s="57" t="n">
        <f aca="false">AL116*AO116</f>
        <v>1.84518876523841E-007</v>
      </c>
      <c r="AV116" s="57" t="n">
        <f aca="false">AL116*AP116</f>
        <v>4.13725804721405E-008</v>
      </c>
      <c r="AW116" s="57" t="n">
        <f aca="false">AL116*AQ116</f>
        <v>6.06328848207228E-008</v>
      </c>
      <c r="AX116" s="57" t="n">
        <f aca="false">AL116*AR116</f>
        <v>5.39286607806166E-007</v>
      </c>
      <c r="AY116" s="57" t="n">
        <f aca="false">AS116*f_stroke_fatal_recur</f>
        <v>3.09316311435115E-007</v>
      </c>
      <c r="AZ116" s="57" t="n">
        <f aca="false">AS116*(1-f_stroke_fatal_recur)*f_stroke_major</f>
        <v>1.73818683927822E-007</v>
      </c>
      <c r="BA116" s="57" t="n">
        <f aca="false">AS116*(1-f_stroke_fatal_recur)*(1-f_stroke_major)</f>
        <v>3.48159345885458E-007</v>
      </c>
      <c r="BB116" s="57" t="n">
        <f aca="false">AT116*(1-f_bleed_fatal)</f>
        <v>1.81763621730068E-008</v>
      </c>
      <c r="BC116" s="57" t="n">
        <f aca="false">AU116*(1-f_bleed_fatal)</f>
        <v>1.69019290895839E-007</v>
      </c>
      <c r="BD116" s="57" t="n">
        <f aca="false">AV116*f_mi_fatal</f>
        <v>5.006082237129E-009</v>
      </c>
      <c r="BE116" s="57" t="n">
        <f aca="false">AV116-BD116</f>
        <v>3.63664982350115E-008</v>
      </c>
      <c r="BF116" s="57" t="n">
        <f aca="false">AL116-AS116-AT116-AU116-BD116</f>
        <v>1.83454481795465E-005</v>
      </c>
      <c r="BG116" s="19" t="n">
        <f aca="false">AY116*c_stroke_fatal+AZ116*c_stroke_major+BA116*c_stroke_minor+AT116*c_ich+AU116*c_major_bleed+BD116*c_mi_fatal+BE116*c_mi_nonfatal+AW116*c_tia+AX116*c_minor_bleed</f>
        <v>0.0312730774960511</v>
      </c>
      <c r="BH116" s="57" t="n">
        <f aca="false">dt*(BE116*dec_mi+BC116*dec_major_bleed+AX116*dec_minor_bleed+AW116*dec_tia)</f>
        <v>8.33787501995205E-009</v>
      </c>
      <c r="BI116" s="57" t="n">
        <f aca="false">H116*AK116+AY116+AT116-BB116+AU116-BC116+BD116</f>
        <v>1.18846431733302E-005</v>
      </c>
      <c r="BJ116" s="57" t="n">
        <f aca="false">1-EXP(LN(1-E116)*hr_death_prior_stroke*dt)</f>
        <v>0.373413988751993</v>
      </c>
      <c r="BK116" s="57" t="n">
        <f aca="false">I116*(1-BJ116)</f>
        <v>9.70397626788373E-006</v>
      </c>
      <c r="BL116" s="57" t="n">
        <f aca="false">(1-EXP(-r_stroke*F116*rr_stroke_prior*rr_asa_stroke*dt))</f>
        <v>0.0428809241529629</v>
      </c>
      <c r="BM116" s="57" t="n">
        <f aca="false">(1-EXP(-r_ich*rr_asa_ich*dt))</f>
        <v>0.00102357767802375</v>
      </c>
      <c r="BN116" s="57" t="n">
        <f aca="false">(1-EXP(-r_mb*rr_asa_mb*dt))</f>
        <v>0.00951809672747972</v>
      </c>
      <c r="BO116" s="57" t="n">
        <f aca="false">(1-EXP(-r_mi*rr_asa_mi*dt))</f>
        <v>0.00213413516393479</v>
      </c>
      <c r="BP116" s="57" t="n">
        <f aca="false">(1-EXP(-r_tia*rr_asa_tia*dt))</f>
        <v>0.00312764565589152</v>
      </c>
      <c r="BQ116" s="57" t="n">
        <f aca="false">(1-EXP(-r_minor*rr_asa_minor*dt))</f>
        <v>0.0278181950466747</v>
      </c>
      <c r="BR116" s="57" t="n">
        <f aca="false">BK116*BL116</f>
        <v>4.16115470325274E-007</v>
      </c>
      <c r="BS116" s="57" t="n">
        <f aca="false">BK116*BM116</f>
        <v>9.93277349587797E-009</v>
      </c>
      <c r="BT116" s="57" t="n">
        <f aca="false">BK116*BN116</f>
        <v>9.2363384758885E-008</v>
      </c>
      <c r="BU116" s="57" t="n">
        <f aca="false">BK116*BO116</f>
        <v>2.07095969832794E-008</v>
      </c>
      <c r="BV116" s="57" t="n">
        <f aca="false">BK116*BP116</f>
        <v>3.0350599219121E-008</v>
      </c>
      <c r="BW116" s="57" t="n">
        <f aca="false">BK116*BQ116</f>
        <v>2.69947104548292E-007</v>
      </c>
      <c r="BX116" s="57" t="n">
        <f aca="false">BR116*f_stroke_fatal_recur</f>
        <v>1.54832405353331E-007</v>
      </c>
      <c r="BY116" s="57" t="n">
        <f aca="false">BR116*(1-f_stroke_fatal_recur)*f_stroke_major</f>
        <v>8.70072606356569E-008</v>
      </c>
      <c r="BZ116" s="57" t="n">
        <f aca="false">BR116*(1-f_stroke_fatal_recur)*(1-f_stroke_major)</f>
        <v>1.74275804336286E-007</v>
      </c>
      <c r="CA116" s="57" t="n">
        <f aca="false">BS116*(1-f_bleed_fatal)</f>
        <v>9.09842052222422E-009</v>
      </c>
      <c r="CB116" s="57" t="n">
        <f aca="false">BT116*(1-f_bleed_fatal)</f>
        <v>8.46048604391387E-008</v>
      </c>
      <c r="CC116" s="57" t="n">
        <f aca="false">BU116*f_mi_fatal</f>
        <v>2.5058612349768E-009</v>
      </c>
      <c r="CD116" s="57" t="n">
        <f aca="false">BU116-CC116</f>
        <v>1.82037357483026E-008</v>
      </c>
      <c r="CE116" s="57" t="n">
        <f aca="false">BK116-BR116-BS116-BT116-CC116</f>
        <v>9.18305877806872E-006</v>
      </c>
      <c r="CF116" s="19" t="n">
        <f aca="false">BX116*c_stroke_fatal+BY116*c_stroke_major+BZ116*c_stroke_minor+BS116*c_ich+BT116*c_major_bleed+CC116*c_mi_fatal+CD116*c_mi_nonfatal+BV116*c_tia+BW116*c_minor_bleed</f>
        <v>0.0156541560613122</v>
      </c>
      <c r="CG116" s="57" t="n">
        <f aca="false">dt*(CD116*dec_mi+CB116*dec_major_bleed+BW116*dec_minor_bleed+BV116*dec_tia)</f>
        <v>4.17363455190896E-009</v>
      </c>
      <c r="CH116" s="57" t="n">
        <f aca="false">I116*BJ116+BX116+BS116-CA116+BT116-CB116+CC116</f>
        <v>5.94901665791641E-006</v>
      </c>
      <c r="CI116" s="57" t="n">
        <f aca="false">1-EXP(LN(1-E116)*dt)</f>
        <v>0.183923753770145</v>
      </c>
      <c r="CJ116" s="57" t="n">
        <f aca="false">J116*(1-CI116)</f>
        <v>0.000272805800187114</v>
      </c>
      <c r="CK116" s="57" t="n">
        <f aca="false">(1-EXP(-r_stroke*F116*rr_asa_stroke*dt))</f>
        <v>0.0197244534234166</v>
      </c>
      <c r="CL116" s="57" t="n">
        <f aca="false">(1-EXP(-r_ich*rr_asa_ich*dt))</f>
        <v>0.00102357767802375</v>
      </c>
      <c r="CM116" s="57" t="n">
        <f aca="false">(1-EXP(-r_mb*rr_asa_mb*dt))</f>
        <v>0.00951809672747972</v>
      </c>
      <c r="CN116" s="57" t="n">
        <f aca="false">(1-EXP(-r_mi*rr_asa_mi*dt))</f>
        <v>0.00213413516393479</v>
      </c>
      <c r="CO116" s="57" t="n">
        <f aca="false">(1-EXP(-r_tia*rr_asa_tia*dt))</f>
        <v>0.00312764565589152</v>
      </c>
      <c r="CP116" s="57" t="n">
        <f aca="false">(1-EXP(-r_minor*rr_asa_minor*dt))</f>
        <v>0.0278181950466747</v>
      </c>
      <c r="CQ116" s="57" t="n">
        <f aca="false">CJ116*CK116</f>
        <v>5.3809452994286E-006</v>
      </c>
      <c r="CR116" s="57" t="n">
        <f aca="false">CJ116*CL116</f>
        <v>2.79237927506936E-007</v>
      </c>
      <c r="CS116" s="57" t="n">
        <f aca="false">CJ116*CM116</f>
        <v>2.59659199399845E-006</v>
      </c>
      <c r="CT116" s="57" t="n">
        <f aca="false">CJ116*CN116</f>
        <v>5.82204451104688E-007</v>
      </c>
      <c r="CU116" s="57" t="n">
        <f aca="false">CJ116*CO116</f>
        <v>8.53239875857236E-007</v>
      </c>
      <c r="CV116" s="57" t="n">
        <f aca="false">CJ116*CP116</f>
        <v>7.58896495946929E-006</v>
      </c>
      <c r="CW116" s="57" t="n">
        <f aca="false">CQ116*f_stroke_fatal</f>
        <v>1.27528403596458E-006</v>
      </c>
      <c r="CX116" s="57" t="n">
        <f aca="false">CQ116*(1-f_stroke_fatal)*f_stroke_major</f>
        <v>1.36718520073352E-006</v>
      </c>
      <c r="CY116" s="57" t="n">
        <f aca="false">CQ116*(1-f_stroke_fatal)*(1-f_stroke_major)</f>
        <v>2.73847606273051E-006</v>
      </c>
      <c r="CZ116" s="57" t="n">
        <f aca="false">CR116*(1-f_bleed_fatal)</f>
        <v>2.55781941596353E-007</v>
      </c>
      <c r="DA116" s="57" t="n">
        <f aca="false">CS116*(1-f_bleed_fatal)</f>
        <v>2.37847826650258E-006</v>
      </c>
      <c r="DB116" s="57" t="n">
        <f aca="false">CT116*f_mi_fatal</f>
        <v>7.04467385836672E-008</v>
      </c>
      <c r="DC116" s="57" t="n">
        <f aca="false">CT116-DB116</f>
        <v>5.1175771252102E-007</v>
      </c>
      <c r="DD116" s="57" t="n">
        <f aca="false">CJ116-CQ116-CR116-CS116-DB116</f>
        <v>0.000264478578227596</v>
      </c>
      <c r="DE116" s="19" t="n">
        <f aca="false">CW116*c_stroke_fatal+CX116*c_stroke_major+CY116*c_stroke_minor+CR116*c_ich+CS116*c_major_bleed+DB116*c_mi_fatal+DC116*c_mi_nonfatal+CU116*c_tia+CV116*c_minor_bleed</f>
        <v>0.23554873370449</v>
      </c>
      <c r="DF116" s="57" t="n">
        <f aca="false">dt*(DC116*dec_mi+DA116*dec_major_bleed+CV116*dec_minor_bleed+CU116*dec_tia)</f>
        <v>1.1733249156744E-007</v>
      </c>
      <c r="DG116" s="57" t="n">
        <f aca="false">J116*CI116+CW116+CR116-CZ116+CS116-DA116+DB116</f>
        <v>6.3071098175346E-005</v>
      </c>
      <c r="DH116" s="57" t="n">
        <f aca="false">AG116</f>
        <v>0.000426874320469793</v>
      </c>
      <c r="DI116" s="57" t="n">
        <f aca="false">AB116+AC116+BF116+BA116+BB116+BC116+CY116+CZ116</f>
        <v>2.43508927118564E-005</v>
      </c>
      <c r="DJ116" s="57" t="n">
        <f aca="false">AA116+AZ116+BY116+CX116+CE116+BZ116+CA116+CB116</f>
        <v>1.21475298805401E-005</v>
      </c>
      <c r="DK116" s="57" t="n">
        <f aca="false">AD116+DD116+DA116</f>
        <v>0.000269521001706418</v>
      </c>
      <c r="DL116" s="57" t="n">
        <f aca="false">K116+AJ116+BI116+CH116+DG116</f>
        <v>0.999267106255231</v>
      </c>
      <c r="DM116" s="58" t="n">
        <f aca="false">SUM(DH116:DL116)</f>
        <v>1</v>
      </c>
      <c r="DN116" s="19" t="n">
        <f aca="false">dt*(G116*Apixaban!$H$2+(H116+I116+J116)*c_aspirin)</f>
        <v>0.0434192972543881</v>
      </c>
      <c r="DO116" s="19" t="n">
        <f aca="false">dt*(H116*c_lt_minor_stroke+I116*c_lt_major_stroke)</f>
        <v>0.184748698018382</v>
      </c>
      <c r="DP116" s="19" t="n">
        <f aca="false">AH116+BG116+CF116+DE116</f>
        <v>0.480065891893122</v>
      </c>
      <c r="DQ116" s="19" t="n">
        <f aca="false">DN116+DO116+DP116</f>
        <v>0.708233887165892</v>
      </c>
      <c r="DR116" s="57" t="n">
        <f aca="false">dt*(G116*(u_af-dec_per_year_over_70*MAX(B116-ref_age,0))+H116*(u_minor_stroke-dec_per_year_over_70*MAX(B116-ref_age,0))+I116*(u_major_stroke-dec_per_year_over_70*MAX(B116-ref_age,0))+J116*(u_af-dec_per_year_over_70*MAX(B116-ref_age,0)))-AI116-BH116-CG116-DF116</f>
        <v>0.000180468258714878</v>
      </c>
      <c r="DS116" s="57" t="n">
        <f aca="false">dt*(G116+H116+I116+J116)</f>
        <v>0.000228262092875187</v>
      </c>
      <c r="DT116" s="19" t="n">
        <f aca="false">DQ116*C116</f>
        <v>0.470284365472971</v>
      </c>
      <c r="DU116" s="19" t="n">
        <f aca="false">DN116*C116</f>
        <v>0.0288314595341854</v>
      </c>
      <c r="DV116" s="19" t="n">
        <f aca="false">DP116*C116</f>
        <v>0.318775319065311</v>
      </c>
      <c r="DW116" s="19" t="n">
        <f aca="false">DO116*C116</f>
        <v>0.122677586873475</v>
      </c>
      <c r="DX116" s="57" t="n">
        <f aca="false">DR116*C116</f>
        <v>0.000119835272041789</v>
      </c>
      <c r="DY116" s="57" t="n">
        <f aca="false">DS116*C116</f>
        <v>0.00015157152948288</v>
      </c>
      <c r="DZ116" s="57" t="n">
        <f aca="false">T116+AS116+BR116+CQ116</f>
        <v>1.08336647661755E-005</v>
      </c>
      <c r="EA116" s="57" t="n">
        <f aca="false">U116+AT116+BS116+CR116</f>
        <v>6.75456177183248E-007</v>
      </c>
      <c r="EB116" s="57" t="n">
        <f aca="false">V116+AU116+BT116+CS116</f>
        <v>5.78171138663462E-006</v>
      </c>
      <c r="EC116" s="57" t="n">
        <f aca="false">G116*dt*C116</f>
        <v>8.8370392713714E-005</v>
      </c>
    </row>
    <row r="117" customFormat="false" ht="15" hidden="false" customHeight="false" outlineLevel="0" collapsed="false">
      <c r="A117" s="8" t="n">
        <v>111</v>
      </c>
      <c r="B117" s="54" t="n">
        <f aca="false">start_age+A117*dt</f>
        <v>97.75</v>
      </c>
      <c r="C117" s="16" t="n">
        <f aca="false">(1+disc_rate)^-(A117*dt)</f>
        <v>0.661557089070272</v>
      </c>
      <c r="D117" s="55" t="n">
        <f aca="false">IF(A117*dt&gt;=wane_start,(1-wane_decay)^(A117*dt-wane_start),1)</f>
        <v>1</v>
      </c>
      <c r="E117" s="25" t="n">
        <f aca="false">MIN(p_nonvasc_death*MIN(EXP(gomp_int+gomp_slope*INT(B117)),1)/qx_ref,0.999)</f>
        <v>0.55647005398946</v>
      </c>
      <c r="F117" s="55" t="n">
        <f aca="false">rr_stroke_per_decade^((B117-ref_age)/10)</f>
        <v>3.0807272061205</v>
      </c>
      <c r="G117" s="57" t="n">
        <f aca="false">DH116</f>
        <v>0.000426874320469793</v>
      </c>
      <c r="H117" s="57" t="n">
        <f aca="false">DI116</f>
        <v>2.43508927118564E-005</v>
      </c>
      <c r="I117" s="57" t="n">
        <f aca="false">DJ116</f>
        <v>1.21475298805401E-005</v>
      </c>
      <c r="J117" s="57" t="n">
        <f aca="false">DK116</f>
        <v>0.000269521001706418</v>
      </c>
      <c r="K117" s="57" t="n">
        <f aca="false">DL116</f>
        <v>0.999267106255231</v>
      </c>
      <c r="L117" s="57" t="n">
        <f aca="false">1-EXP(LN(1-E117)*dt)</f>
        <v>0.183923753770145</v>
      </c>
      <c r="M117" s="57" t="n">
        <f aca="false">G117*(1-L117)</f>
        <v>0.000348361993060909</v>
      </c>
      <c r="N117" s="57" t="n">
        <f aca="false">IF(Apixaban!$B$2=1,EXP(LN(or_apx_stroke)*D117)*(1-EXP(-r_stroke*F117*dt))/(1-(1-EXP(-r_stroke*F117*dt))+EXP(LN(or_apx_stroke)*D117)*(1-EXP(-r_stroke*F117*dt))),(1-EXP(-r_stroke*F117*dt)))</f>
        <v>0.00977846650079686</v>
      </c>
      <c r="O117" s="57" t="n">
        <f aca="false">IF(Apixaban!$B$2=1,EXP(LN(or_apx_ich)*D117)*(1-EXP(-r_ich*dt))/(1-(1-EXP(-r_ich*dt))+EXP(LN(or_apx_ich)*D117)*(1-EXP(-r_ich*dt))),(1-EXP(-r_ich*dt)))</f>
        <v>0.000843513249640701</v>
      </c>
      <c r="P117" s="57" t="n">
        <f aca="false">IF(Apixaban!$B$2=1,EXP(LN(or_apx_mb)*D117)*(1-EXP(-r_mb*dt))/(1-(1-EXP(-r_mb*dt))+EXP(LN(or_apx_mb)*D117)*(1-EXP(-r_mb*dt))),(1-EXP(-r_mb*dt)))</f>
        <v>0.00669446907979895</v>
      </c>
      <c r="Q117" s="57" t="n">
        <f aca="false">IF(Apixaban!$B$2=1,EXP(LN(or_apx_mi)*D117)*(1-EXP(-r_mi*dt))/(1-(1-EXP(-r_mi*dt))+EXP(LN(or_apx_mi)*D117)*(1-EXP(-r_mi*dt))),(1-EXP(-r_mi*dt)))</f>
        <v>0.00132321915530843</v>
      </c>
      <c r="R117" s="57" t="n">
        <f aca="false">(1-EXP(-r_tia*dt))</f>
        <v>0.0020060281549299</v>
      </c>
      <c r="S117" s="57" t="n">
        <f aca="false">(1-EXP(-r_minor*dt))</f>
        <v>0.0437937690785545</v>
      </c>
      <c r="T117" s="57" t="n">
        <f aca="false">M117*N117</f>
        <v>3.40644607929693E-006</v>
      </c>
      <c r="U117" s="57" t="n">
        <f aca="false">M117*O117</f>
        <v>2.93847956818118E-007</v>
      </c>
      <c r="V117" s="57" t="n">
        <f aca="false">M117*P117</f>
        <v>2.33209859112339E-006</v>
      </c>
      <c r="W117" s="57" t="n">
        <f aca="false">M117*Q117</f>
        <v>4.60959262199616E-007</v>
      </c>
      <c r="X117" s="57" t="n">
        <f aca="false">M117*R117</f>
        <v>6.98823966187676E-007</v>
      </c>
      <c r="Y117" s="57" t="n">
        <f aca="false">M117*S117</f>
        <v>1.52560846798544E-005</v>
      </c>
      <c r="Z117" s="57" t="n">
        <f aca="false">T117*f_stroke_fatal</f>
        <v>8.07327720793371E-007</v>
      </c>
      <c r="AA117" s="57" t="n">
        <f aca="false">T117*(1-f_stroke_fatal)*f_stroke_major</f>
        <v>8.65506413381684E-007</v>
      </c>
      <c r="AB117" s="57" t="n">
        <f aca="false">T117*(1-f_stroke_fatal)*(1-f_stroke_major)</f>
        <v>1.73361194512187E-006</v>
      </c>
      <c r="AC117" s="57" t="n">
        <f aca="false">U117*(1-f_bleed_fatal)</f>
        <v>2.69164728445396E-007</v>
      </c>
      <c r="AD117" s="57" t="n">
        <f aca="false">V117*(1-f_bleed_fatal)</f>
        <v>2.13620230946903E-006</v>
      </c>
      <c r="AE117" s="57" t="n">
        <f aca="false">W117*f_mi_fatal</f>
        <v>5.57760707261536E-008</v>
      </c>
      <c r="AF117" s="57" t="n">
        <f aca="false">W117-AE117</f>
        <v>4.05183191473463E-007</v>
      </c>
      <c r="AG117" s="57" t="n">
        <f aca="false">M117-T117-U117-V117-AE117</f>
        <v>0.000342273824362944</v>
      </c>
      <c r="AH117" s="19" t="n">
        <f aca="false">Z117*c_stroke_fatal+AA117*c_stroke_major+AB117*c_stroke_minor+U117*c_ich+V117*c_major_bleed+AE117*c_mi_fatal+AF117*c_mi_nonfatal+X117*c_tia+Y117*c_minor_bleed</f>
        <v>0.159711031635122</v>
      </c>
      <c r="AI117" s="57" t="n">
        <f aca="false">dt*(AF117*dec_mi+AD117*dec_major_bleed+Y117*dec_minor_bleed+X117*dec_tia)</f>
        <v>1.29371620190193E-007</v>
      </c>
      <c r="AJ117" s="57" t="n">
        <f aca="false">G117*L117+Z117+U117-AC117+V117-AD117+AE117</f>
        <v>7.9596010710431E-005</v>
      </c>
      <c r="AK117" s="57" t="n">
        <f aca="false">1-EXP(LN(1-E117)*hr_death_prior_stroke*dt)</f>
        <v>0.373413988751993</v>
      </c>
      <c r="AL117" s="57" t="n">
        <f aca="false">H117*(1-AK117)</f>
        <v>1.52579287346502E-005</v>
      </c>
      <c r="AM117" s="57" t="n">
        <f aca="false">(1-EXP(-r_stroke*F117*rr_stroke_prior*rr_asa_stroke*dt))</f>
        <v>0.0433082035016198</v>
      </c>
      <c r="AN117" s="57" t="n">
        <f aca="false">(1-EXP(-r_ich*rr_asa_ich*dt))</f>
        <v>0.00102357767802375</v>
      </c>
      <c r="AO117" s="57" t="n">
        <f aca="false">(1-EXP(-r_mb*rr_asa_mb*dt))</f>
        <v>0.00951809672747972</v>
      </c>
      <c r="AP117" s="57" t="n">
        <f aca="false">(1-EXP(-r_mi*rr_asa_mi*dt))</f>
        <v>0.00213413516393479</v>
      </c>
      <c r="AQ117" s="57" t="n">
        <f aca="false">(1-EXP(-r_tia*rr_asa_tia*dt))</f>
        <v>0.00312764565589152</v>
      </c>
      <c r="AR117" s="57" t="n">
        <f aca="false">(1-EXP(-r_minor*rr_asa_minor*dt))</f>
        <v>0.0278181950466747</v>
      </c>
      <c r="AS117" s="57" t="n">
        <f aca="false">AL117*AM117</f>
        <v>6.60793482653445E-007</v>
      </c>
      <c r="AT117" s="57" t="n">
        <f aca="false">AL117*AN117</f>
        <v>1.56176752656651E-008</v>
      </c>
      <c r="AU117" s="57" t="n">
        <f aca="false">AL117*AO117</f>
        <v>1.45226441557393E-007</v>
      </c>
      <c r="AV117" s="57" t="n">
        <f aca="false">AL117*AP117</f>
        <v>3.25624822414282E-008</v>
      </c>
      <c r="AW117" s="57" t="n">
        <f aca="false">AL117*AQ117</f>
        <v>4.77213945248313E-008</v>
      </c>
      <c r="AX117" s="57" t="n">
        <f aca="false">AL117*AR117</f>
        <v>4.24448037548763E-007</v>
      </c>
      <c r="AY117" s="57" t="n">
        <f aca="false">AS117*f_stroke_fatal_recur</f>
        <v>2.4587464696052E-007</v>
      </c>
      <c r="AZ117" s="57" t="n">
        <f aca="false">AS117*(1-f_stroke_fatal_recur)*f_stroke_major</f>
        <v>1.38167972285744E-007</v>
      </c>
      <c r="BA117" s="57" t="n">
        <f aca="false">AS117*(1-f_stroke_fatal_recur)*(1-f_stroke_major)</f>
        <v>2.76750863407181E-007</v>
      </c>
      <c r="BB117" s="57" t="n">
        <f aca="false">AT117*(1-f_bleed_fatal)</f>
        <v>1.43057905433492E-008</v>
      </c>
      <c r="BC117" s="57" t="n">
        <f aca="false">AU117*(1-f_bleed_fatal)</f>
        <v>1.33027420466572E-007</v>
      </c>
      <c r="BD117" s="57" t="n">
        <f aca="false">AV117*f_mi_fatal</f>
        <v>3.94006035121281E-009</v>
      </c>
      <c r="BE117" s="57" t="n">
        <f aca="false">AV117-BD117</f>
        <v>2.86224218902154E-008</v>
      </c>
      <c r="BF117" s="57" t="n">
        <f aca="false">AL117-AS117-AT117-AU117-BD117</f>
        <v>1.44323510748225E-005</v>
      </c>
      <c r="BG117" s="19" t="n">
        <f aca="false">AY117*c_stroke_fatal+AZ117*c_stroke_major+BA117*c_stroke_minor+AT117*c_ich+AU117*c_major_bleed+BD117*c_mi_fatal+BE117*c_mi_nonfatal+AW117*c_tia+AX117*c_minor_bleed</f>
        <v>0.024838406663262</v>
      </c>
      <c r="BH117" s="57" t="n">
        <f aca="false">dt*(BE117*dec_mi+BC117*dec_major_bleed+AX117*dec_minor_bleed+AW117*dec_tia)</f>
        <v>6.56236338584828E-009</v>
      </c>
      <c r="BI117" s="57" t="n">
        <f aca="false">H117*AK117+AY117+AT117-BB117+AU117-BC117+BD117</f>
        <v>9.35628959033098E-006</v>
      </c>
      <c r="BJ117" s="57" t="n">
        <f aca="false">1-EXP(LN(1-E117)*hr_death_prior_stroke*dt)</f>
        <v>0.373413988751993</v>
      </c>
      <c r="BK117" s="57" t="n">
        <f aca="false">I117*(1-BJ117)</f>
        <v>7.61147229436363E-006</v>
      </c>
      <c r="BL117" s="57" t="n">
        <f aca="false">(1-EXP(-r_stroke*F117*rr_stroke_prior*rr_asa_stroke*dt))</f>
        <v>0.0433082035016198</v>
      </c>
      <c r="BM117" s="57" t="n">
        <f aca="false">(1-EXP(-r_ich*rr_asa_ich*dt))</f>
        <v>0.00102357767802375</v>
      </c>
      <c r="BN117" s="57" t="n">
        <f aca="false">(1-EXP(-r_mb*rr_asa_mb*dt))</f>
        <v>0.00951809672747972</v>
      </c>
      <c r="BO117" s="57" t="n">
        <f aca="false">(1-EXP(-r_mi*rr_asa_mi*dt))</f>
        <v>0.00213413516393479</v>
      </c>
      <c r="BP117" s="57" t="n">
        <f aca="false">(1-EXP(-r_tia*rr_asa_tia*dt))</f>
        <v>0.00312764565589152</v>
      </c>
      <c r="BQ117" s="57" t="n">
        <f aca="false">(1-EXP(-r_minor*rr_asa_minor*dt))</f>
        <v>0.0278181950466747</v>
      </c>
      <c r="BR117" s="57" t="n">
        <f aca="false">BK117*BL117</f>
        <v>3.29639191071241E-007</v>
      </c>
      <c r="BS117" s="57" t="n">
        <f aca="false">BK117*BM117</f>
        <v>7.7909331374068E-009</v>
      </c>
      <c r="BT117" s="57" t="n">
        <f aca="false">BK117*BN117</f>
        <v>7.2446729536285E-008</v>
      </c>
      <c r="BU117" s="57" t="n">
        <f aca="false">BK117*BO117</f>
        <v>1.62439106727168E-008</v>
      </c>
      <c r="BV117" s="57" t="n">
        <f aca="false">BK117*BP117</f>
        <v>2.38059882564051E-008</v>
      </c>
      <c r="BW117" s="57" t="n">
        <f aca="false">BK117*BQ117</f>
        <v>2.11737420876968E-007</v>
      </c>
      <c r="BX117" s="57" t="n">
        <f aca="false">BR117*f_stroke_fatal_recur</f>
        <v>1.22655446605698E-007</v>
      </c>
      <c r="BY117" s="57" t="n">
        <f aca="false">BR117*(1-f_stroke_fatal_recur)*f_stroke_major</f>
        <v>6.89255869070258E-008</v>
      </c>
      <c r="BZ117" s="57" t="n">
        <f aca="false">BR117*(1-f_stroke_fatal_recur)*(1-f_stroke_major)</f>
        <v>1.38058157558517E-007</v>
      </c>
      <c r="CA117" s="57" t="n">
        <f aca="false">BS117*(1-f_bleed_fatal)</f>
        <v>7.13649475386463E-009</v>
      </c>
      <c r="CB117" s="57" t="n">
        <f aca="false">BT117*(1-f_bleed_fatal)</f>
        <v>6.63612042552371E-008</v>
      </c>
      <c r="CC117" s="57" t="n">
        <f aca="false">BU117*f_mi_fatal</f>
        <v>1.96551319139874E-009</v>
      </c>
      <c r="CD117" s="57" t="n">
        <f aca="false">BU117-CC117</f>
        <v>1.42783974813181E-008</v>
      </c>
      <c r="CE117" s="57" t="n">
        <f aca="false">BK117-BR117-BS117-BT117-CC117</f>
        <v>7.1996299274273E-006</v>
      </c>
      <c r="CF117" s="19" t="n">
        <f aca="false">BX117*c_stroke_fatal+BY117*c_stroke_major+BZ117*c_stroke_minor+BS117*c_ich+BT117*c_major_bleed+CC117*c_mi_fatal+CD117*c_mi_nonfatal+BV117*c_tia+BW117*c_minor_bleed</f>
        <v>0.0123907279579969</v>
      </c>
      <c r="CG117" s="57" t="n">
        <f aca="false">dt*(CD117*dec_mi+CB117*dec_major_bleed+BW117*dec_minor_bleed+BV117*dec_tia)</f>
        <v>3.27365843461422E-009</v>
      </c>
      <c r="CH117" s="57" t="n">
        <f aca="false">I117*BJ117+BX117+BS117-CA117+BT117-CB117+CC117</f>
        <v>4.66741850963819E-006</v>
      </c>
      <c r="CI117" s="57" t="n">
        <f aca="false">1-EXP(LN(1-E117)*dt)</f>
        <v>0.183923753770145</v>
      </c>
      <c r="CJ117" s="57" t="n">
        <f aca="false">J117*(1-CI117)</f>
        <v>0.000219949687352684</v>
      </c>
      <c r="CK117" s="57" t="n">
        <f aca="false">(1-EXP(-r_stroke*F117*rr_asa_stroke*dt))</f>
        <v>0.0199233944268579</v>
      </c>
      <c r="CL117" s="57" t="n">
        <f aca="false">(1-EXP(-r_ich*rr_asa_ich*dt))</f>
        <v>0.00102357767802375</v>
      </c>
      <c r="CM117" s="57" t="n">
        <f aca="false">(1-EXP(-r_mb*rr_asa_mb*dt))</f>
        <v>0.00951809672747972</v>
      </c>
      <c r="CN117" s="57" t="n">
        <f aca="false">(1-EXP(-r_mi*rr_asa_mi*dt))</f>
        <v>0.00213413516393479</v>
      </c>
      <c r="CO117" s="57" t="n">
        <f aca="false">(1-EXP(-r_tia*rr_asa_tia*dt))</f>
        <v>0.00312764565589152</v>
      </c>
      <c r="CP117" s="57" t="n">
        <f aca="false">(1-EXP(-r_minor*rr_asa_minor*dt))</f>
        <v>0.0278181950466747</v>
      </c>
      <c r="CQ117" s="57" t="n">
        <f aca="false">CJ117*CK117</f>
        <v>4.38214437519159E-006</v>
      </c>
      <c r="CR117" s="57" t="n">
        <f aca="false">CJ117*CL117</f>
        <v>2.25135590262509E-007</v>
      </c>
      <c r="CS117" s="57" t="n">
        <f aca="false">CJ117*CM117</f>
        <v>2.09350239940177E-006</v>
      </c>
      <c r="CT117" s="57" t="n">
        <f aca="false">CJ117*CN117</f>
        <v>4.69402362075826E-007</v>
      </c>
      <c r="CU117" s="57" t="n">
        <f aca="false">CJ117*CO117</f>
        <v>6.8792468416332E-007</v>
      </c>
      <c r="CV117" s="57" t="n">
        <f aca="false">CJ117*CP117</f>
        <v>6.11860330323208E-006</v>
      </c>
      <c r="CW117" s="57" t="n">
        <f aca="false">CQ117*f_stroke_fatal</f>
        <v>1.03856821692041E-006</v>
      </c>
      <c r="CX117" s="57" t="n">
        <f aca="false">CQ117*(1-f_stroke_fatal)*f_stroke_major</f>
        <v>1.11341086070431E-006</v>
      </c>
      <c r="CY117" s="57" t="n">
        <f aca="false">CQ117*(1-f_stroke_fatal)*(1-f_stroke_major)</f>
        <v>2.23016529756688E-006</v>
      </c>
      <c r="CZ117" s="57" t="n">
        <f aca="false">CR117*(1-f_bleed_fatal)</f>
        <v>2.06224200680458E-007</v>
      </c>
      <c r="DA117" s="57" t="n">
        <f aca="false">CS117*(1-f_bleed_fatal)</f>
        <v>1.91764819785202E-006</v>
      </c>
      <c r="DB117" s="57" t="n">
        <f aca="false">CT117*f_mi_fatal</f>
        <v>5.6797685811175E-008</v>
      </c>
      <c r="DC117" s="57" t="n">
        <f aca="false">CT117-DB117</f>
        <v>4.12604676264651E-007</v>
      </c>
      <c r="DD117" s="57" t="n">
        <f aca="false">CJ117-CQ117-CR117-CS117-DB117</f>
        <v>0.000213192107302017</v>
      </c>
      <c r="DE117" s="19" t="n">
        <f aca="false">CW117*c_stroke_fatal+CX117*c_stroke_major+CY117*c_stroke_minor+CR117*c_ich+CS117*c_major_bleed+DB117*c_mi_fatal+DC117*c_mi_nonfatal+CU117*c_tia+CV117*c_minor_bleed</f>
        <v>0.191527893913141</v>
      </c>
      <c r="DF117" s="57" t="n">
        <f aca="false">dt*(DC117*dec_mi+DA117*dec_major_bleed+CV117*dec_minor_bleed+CU117*dec_tia)</f>
        <v>9.45993260365766E-008</v>
      </c>
      <c r="DG117" s="57" t="n">
        <f aca="false">J117*CI117+CW117+CR117-CZ117+CS117-DA117+DB117</f>
        <v>5.08614458475976E-005</v>
      </c>
      <c r="DH117" s="57" t="n">
        <f aca="false">AG117</f>
        <v>0.000342273824362944</v>
      </c>
      <c r="DI117" s="57" t="n">
        <f aca="false">AB117+AC117+BF117+BA117+BB117+BC117+CY117+CZ117</f>
        <v>1.92956013210542E-005</v>
      </c>
      <c r="DJ117" s="57" t="n">
        <f aca="false">AA117+AZ117+BY117+CX117+CE117+BZ117+CA117+CB117</f>
        <v>9.59719661727367E-006</v>
      </c>
      <c r="DK117" s="57" t="n">
        <f aca="false">AD117+DD117+DA117</f>
        <v>0.000217245957809338</v>
      </c>
      <c r="DL117" s="57" t="n">
        <f aca="false">K117+AJ117+BI117+CH117+DG117</f>
        <v>0.999411587419889</v>
      </c>
      <c r="DM117" s="58" t="n">
        <f aca="false">SUM(DH117:DL117)</f>
        <v>1</v>
      </c>
      <c r="DN117" s="19" t="n">
        <f aca="false">dt*(G117*Apixaban!$H$2+(H117+I117+J117)*c_aspirin)</f>
        <v>0.0348247652427915</v>
      </c>
      <c r="DO117" s="19" t="n">
        <f aca="false">dt*(H117*c_lt_minor_stroke+I117*c_lt_major_stroke)</f>
        <v>0.145135509063766</v>
      </c>
      <c r="DP117" s="19" t="n">
        <f aca="false">AH117+BG117+CF117+DE117</f>
        <v>0.388468060169522</v>
      </c>
      <c r="DQ117" s="19" t="n">
        <f aca="false">DN117+DO117+DP117</f>
        <v>0.56842833447608</v>
      </c>
      <c r="DR117" s="57" t="n">
        <f aca="false">dt*(G117*(u_af-dec_per_year_over_70*MAX(B117-ref_age,0))+H117*(u_minor_stroke-dec_per_year_over_70*MAX(B117-ref_age,0))+I117*(u_major_stroke-dec_per_year_over_70*MAX(B117-ref_age,0))+J117*(u_af-dec_per_year_over_70*MAX(B117-ref_age,0)))-AI117-BH117-CG117-DF117</f>
        <v>0.000144887614662919</v>
      </c>
      <c r="DS117" s="57" t="n">
        <f aca="false">dt*(G117+H117+I117+J117)</f>
        <v>0.000183223436192152</v>
      </c>
      <c r="DT117" s="19" t="n">
        <f aca="false">DQ117*C117</f>
        <v>0.376047794301059</v>
      </c>
      <c r="DU117" s="19" t="n">
        <f aca="false">DN117*C117</f>
        <v>0.0230385703215767</v>
      </c>
      <c r="DV117" s="19" t="n">
        <f aca="false">DP117*C117</f>
        <v>0.256993799082525</v>
      </c>
      <c r="DW117" s="19" t="n">
        <f aca="false">DO117*C117</f>
        <v>0.0960154248969573</v>
      </c>
      <c r="DX117" s="57" t="n">
        <f aca="false">DR117*C117</f>
        <v>9.58514285987361E-005</v>
      </c>
      <c r="DY117" s="57" t="n">
        <f aca="false">DS117*C117</f>
        <v>0.000121212763096733</v>
      </c>
      <c r="DZ117" s="57" t="n">
        <f aca="false">T117+AS117+BR117+CQ117</f>
        <v>8.77902312821321E-006</v>
      </c>
      <c r="EA117" s="57" t="n">
        <f aca="false">U117+AT117+BS117+CR117</f>
        <v>5.423921554837E-007</v>
      </c>
      <c r="EB117" s="57" t="n">
        <f aca="false">V117+AU117+BT117+CS117</f>
        <v>4.64327416161884E-006</v>
      </c>
      <c r="EC117" s="57" t="n">
        <f aca="false">G117*dt*C117</f>
        <v>7.06004332122117E-005</v>
      </c>
    </row>
    <row r="118" customFormat="false" ht="15" hidden="false" customHeight="false" outlineLevel="0" collapsed="false">
      <c r="A118" s="8" t="n">
        <v>112</v>
      </c>
      <c r="B118" s="54" t="n">
        <f aca="false">start_age+A118*dt</f>
        <v>98</v>
      </c>
      <c r="C118" s="16" t="n">
        <f aca="false">(1+disc_rate)^-(A118*dt)</f>
        <v>0.659099249350414</v>
      </c>
      <c r="D118" s="55" t="n">
        <f aca="false">IF(A118*dt&gt;=wane_start,(1-wane_decay)^(A118*dt-wane_start),1)</f>
        <v>1</v>
      </c>
      <c r="E118" s="25" t="n">
        <f aca="false">MIN(p_nonvasc_death*MIN(EXP(gomp_int+gomp_slope*INT(B118)),1)/qx_ref,0.999)</f>
        <v>0.617850739193043</v>
      </c>
      <c r="F118" s="55" t="n">
        <f aca="false">rr_stroke_per_decade^((B118-ref_age)/10)</f>
        <v>3.11211420125083</v>
      </c>
      <c r="G118" s="57" t="n">
        <f aca="false">DH117</f>
        <v>0.000342273824362944</v>
      </c>
      <c r="H118" s="57" t="n">
        <f aca="false">DI117</f>
        <v>1.92956013210542E-005</v>
      </c>
      <c r="I118" s="57" t="n">
        <f aca="false">DJ117</f>
        <v>9.59719661727367E-006</v>
      </c>
      <c r="J118" s="57" t="n">
        <f aca="false">DK117</f>
        <v>0.000217245957809338</v>
      </c>
      <c r="K118" s="57" t="n">
        <f aca="false">DL117</f>
        <v>0.999411587419889</v>
      </c>
      <c r="L118" s="57" t="n">
        <f aca="false">1-EXP(LN(1-E118)*dt)</f>
        <v>0.213754349469101</v>
      </c>
      <c r="M118" s="57" t="n">
        <f aca="false">G118*(1-L118)</f>
        <v>0.000269111305695942</v>
      </c>
      <c r="N118" s="57" t="n">
        <f aca="false">IF(Apixaban!$B$2=1,EXP(LN(or_apx_stroke)*D118)*(1-EXP(-r_stroke*F118*dt))/(1-(1-EXP(-r_stroke*F118*dt))+EXP(LN(or_apx_stroke)*D118)*(1-EXP(-r_stroke*F118*dt))),(1-EXP(-r_stroke*F118*dt)))</f>
        <v>0.00987772742005377</v>
      </c>
      <c r="O118" s="57" t="n">
        <f aca="false">IF(Apixaban!$B$2=1,EXP(LN(or_apx_ich)*D118)*(1-EXP(-r_ich*dt))/(1-(1-EXP(-r_ich*dt))+EXP(LN(or_apx_ich)*D118)*(1-EXP(-r_ich*dt))),(1-EXP(-r_ich*dt)))</f>
        <v>0.000843513249640701</v>
      </c>
      <c r="P118" s="57" t="n">
        <f aca="false">IF(Apixaban!$B$2=1,EXP(LN(or_apx_mb)*D118)*(1-EXP(-r_mb*dt))/(1-(1-EXP(-r_mb*dt))+EXP(LN(or_apx_mb)*D118)*(1-EXP(-r_mb*dt))),(1-EXP(-r_mb*dt)))</f>
        <v>0.00669446907979895</v>
      </c>
      <c r="Q118" s="57" t="n">
        <f aca="false">IF(Apixaban!$B$2=1,EXP(LN(or_apx_mi)*D118)*(1-EXP(-r_mi*dt))/(1-(1-EXP(-r_mi*dt))+EXP(LN(or_apx_mi)*D118)*(1-EXP(-r_mi*dt))),(1-EXP(-r_mi*dt)))</f>
        <v>0.00132321915530843</v>
      </c>
      <c r="R118" s="57" t="n">
        <f aca="false">(1-EXP(-r_tia*dt))</f>
        <v>0.0020060281549299</v>
      </c>
      <c r="S118" s="57" t="n">
        <f aca="false">(1-EXP(-r_minor*dt))</f>
        <v>0.0437937690785545</v>
      </c>
      <c r="T118" s="57" t="n">
        <f aca="false">M118*N118</f>
        <v>2.65820812331928E-006</v>
      </c>
      <c r="U118" s="57" t="n">
        <f aca="false">M118*O118</f>
        <v>2.26998951982636E-007</v>
      </c>
      <c r="V118" s="57" t="n">
        <f aca="false">M118*P118</f>
        <v>1.80155731500581E-006</v>
      </c>
      <c r="W118" s="57" t="n">
        <f aca="false">M118*Q118</f>
        <v>3.56093234606932E-007</v>
      </c>
      <c r="X118" s="57" t="n">
        <f aca="false">M118*R118</f>
        <v>5.39844856036005E-007</v>
      </c>
      <c r="Y118" s="57" t="n">
        <f aca="false">M118*S118</f>
        <v>1.17853983780764E-005</v>
      </c>
      <c r="Z118" s="57" t="n">
        <f aca="false">T118*f_stroke_fatal</f>
        <v>6.29995325226668E-007</v>
      </c>
      <c r="AA118" s="57" t="n">
        <f aca="false">T118*(1-f_stroke_fatal)*f_stroke_major</f>
        <v>6.75394861764838E-007</v>
      </c>
      <c r="AB118" s="57" t="n">
        <f aca="false">T118*(1-f_stroke_fatal)*(1-f_stroke_major)</f>
        <v>1.35281793632777E-006</v>
      </c>
      <c r="AC118" s="57" t="n">
        <f aca="false">U118*(1-f_bleed_fatal)</f>
        <v>2.07931040016095E-007</v>
      </c>
      <c r="AD118" s="57" t="n">
        <f aca="false">V118*(1-f_bleed_fatal)</f>
        <v>1.65022650054532E-006</v>
      </c>
      <c r="AE118" s="57" t="n">
        <f aca="false">W118*f_mi_fatal</f>
        <v>4.30872813874388E-008</v>
      </c>
      <c r="AF118" s="57" t="n">
        <f aca="false">W118-AE118</f>
        <v>3.13005953219494E-007</v>
      </c>
      <c r="AG118" s="57" t="n">
        <f aca="false">M118-T118-U118-V118-AE118</f>
        <v>0.000264381454024247</v>
      </c>
      <c r="AH118" s="19" t="n">
        <f aca="false">Z118*c_stroke_fatal+AA118*c_stroke_major+AB118*c_stroke_minor+U118*c_ich+V118*c_major_bleed+AE118*c_mi_fatal+AF118*c_mi_nonfatal+X118*c_tia+Y118*c_minor_bleed</f>
        <v>0.124364489582354</v>
      </c>
      <c r="AI118" s="57" t="n">
        <f aca="false">dt*(AF118*dec_mi+AD118*dec_major_bleed+Y118*dec_minor_bleed+X118*dec_tia)</f>
        <v>9.99401953223268E-008</v>
      </c>
      <c r="AJ118" s="57" t="n">
        <f aca="false">G118*L118+Z118+U118-AC118+V118-AD118+AE118</f>
        <v>7.40060000000435E-005</v>
      </c>
      <c r="AK118" s="57" t="n">
        <f aca="false">1-EXP(LN(1-E118)*hr_death_prior_stroke*dt)</f>
        <v>0.424846206313917</v>
      </c>
      <c r="AL118" s="57" t="n">
        <f aca="false">H118*(1-AK118)</f>
        <v>1.10979383012585E-005</v>
      </c>
      <c r="AM118" s="57" t="n">
        <f aca="false">(1-EXP(-r_stroke*F118*rr_stroke_prior*rr_asa_stroke*dt))</f>
        <v>0.0437396423763523</v>
      </c>
      <c r="AN118" s="57" t="n">
        <f aca="false">(1-EXP(-r_ich*rr_asa_ich*dt))</f>
        <v>0.00102357767802375</v>
      </c>
      <c r="AO118" s="57" t="n">
        <f aca="false">(1-EXP(-r_mb*rr_asa_mb*dt))</f>
        <v>0.00951809672747972</v>
      </c>
      <c r="AP118" s="57" t="n">
        <f aca="false">(1-EXP(-r_mi*rr_asa_mi*dt))</f>
        <v>0.00213413516393479</v>
      </c>
      <c r="AQ118" s="57" t="n">
        <f aca="false">(1-EXP(-r_tia*rr_asa_tia*dt))</f>
        <v>0.00312764565589152</v>
      </c>
      <c r="AR118" s="57" t="n">
        <f aca="false">(1-EXP(-r_minor*rr_asa_minor*dt))</f>
        <v>0.0278181950466747</v>
      </c>
      <c r="AS118" s="57" t="n">
        <f aca="false">AL118*AM118</f>
        <v>4.85419852411872E-007</v>
      </c>
      <c r="AT118" s="57" t="n">
        <f aca="false">AL118*AN118</f>
        <v>1.1359601917253E-008</v>
      </c>
      <c r="AU118" s="57" t="n">
        <f aca="false">AL118*AO118</f>
        <v>1.05631250226981E-007</v>
      </c>
      <c r="AV118" s="57" t="n">
        <f aca="false">AL118*AP118</f>
        <v>2.36845003758946E-008</v>
      </c>
      <c r="AW118" s="57" t="n">
        <f aca="false">AL118*AQ118</f>
        <v>3.47104185172834E-008</v>
      </c>
      <c r="AX118" s="57" t="n">
        <f aca="false">AL118*AR118</f>
        <v>3.08724612280372E-007</v>
      </c>
      <c r="AY118" s="57" t="n">
        <f aca="false">AS118*f_stroke_fatal_recur</f>
        <v>1.80619872883933E-007</v>
      </c>
      <c r="AZ118" s="57" t="n">
        <f aca="false">AS118*(1-f_stroke_fatal_recur)*f_stroke_major</f>
        <v>1.01498393182803E-007</v>
      </c>
      <c r="BA118" s="57" t="n">
        <f aca="false">AS118*(1-f_stroke_fatal_recur)*(1-f_stroke_major)</f>
        <v>2.03301586345135E-007</v>
      </c>
      <c r="BB118" s="57" t="n">
        <f aca="false">AT118*(1-f_bleed_fatal)</f>
        <v>1.04053953562038E-008</v>
      </c>
      <c r="BC118" s="57" t="n">
        <f aca="false">AU118*(1-f_bleed_fatal)</f>
        <v>9.67582252079144E-008</v>
      </c>
      <c r="BD118" s="57" t="n">
        <f aca="false">AV118*f_mi_fatal</f>
        <v>2.86582454548325E-009</v>
      </c>
      <c r="BE118" s="57" t="n">
        <f aca="false">AV118-BD118</f>
        <v>2.08186758304114E-008</v>
      </c>
      <c r="BF118" s="57" t="n">
        <f aca="false">AL118-AS118-AT118-AU118-BD118</f>
        <v>1.0492661772157E-005</v>
      </c>
      <c r="BG118" s="19" t="n">
        <f aca="false">AY118*c_stroke_fatal+AZ118*c_stroke_major+BA118*c_stroke_minor+AT118*c_ich+AU118*c_major_bleed+BD118*c_mi_fatal+BE118*c_mi_nonfatal+AW118*c_tia+AX118*c_minor_bleed</f>
        <v>0.0182314420322086</v>
      </c>
      <c r="BH118" s="57" t="n">
        <f aca="false">dt*(BE118*dec_mi+BC118*dec_major_bleed+AX118*dec_minor_bleed+AW118*dec_tia)</f>
        <v>4.77317106621364E-009</v>
      </c>
      <c r="BI118" s="57" t="n">
        <f aca="false">H118*AK118+AY118+AT118-BB118+AU118-BC118+BD118</f>
        <v>8.39097594880523E-006</v>
      </c>
      <c r="BJ118" s="57" t="n">
        <f aca="false">1-EXP(LN(1-E118)*hr_death_prior_stroke*dt)</f>
        <v>0.424846206313917</v>
      </c>
      <c r="BK118" s="57" t="n">
        <f aca="false">I118*(1-BJ118)</f>
        <v>5.5198640431762E-006</v>
      </c>
      <c r="BL118" s="57" t="n">
        <f aca="false">(1-EXP(-r_stroke*F118*rr_stroke_prior*rr_asa_stroke*dt))</f>
        <v>0.0437396423763523</v>
      </c>
      <c r="BM118" s="57" t="n">
        <f aca="false">(1-EXP(-r_ich*rr_asa_ich*dt))</f>
        <v>0.00102357767802375</v>
      </c>
      <c r="BN118" s="57" t="n">
        <f aca="false">(1-EXP(-r_mb*rr_asa_mb*dt))</f>
        <v>0.00951809672747972</v>
      </c>
      <c r="BO118" s="57" t="n">
        <f aca="false">(1-EXP(-r_mi*rr_asa_mi*dt))</f>
        <v>0.00213413516393479</v>
      </c>
      <c r="BP118" s="57" t="n">
        <f aca="false">(1-EXP(-r_tia*rr_asa_tia*dt))</f>
        <v>0.00312764565589152</v>
      </c>
      <c r="BQ118" s="57" t="n">
        <f aca="false">(1-EXP(-r_minor*rr_asa_minor*dt))</f>
        <v>0.0278181950466747</v>
      </c>
      <c r="BR118" s="57" t="n">
        <f aca="false">BK118*BL118</f>
        <v>2.41436879214613E-007</v>
      </c>
      <c r="BS118" s="57" t="n">
        <f aca="false">BK118*BM118</f>
        <v>5.65000962032106E-009</v>
      </c>
      <c r="BT118" s="57" t="n">
        <f aca="false">BK118*BN118</f>
        <v>5.25385998854883E-008</v>
      </c>
      <c r="BU118" s="57" t="n">
        <f aca="false">BK118*BO118</f>
        <v>1.17801359546816E-008</v>
      </c>
      <c r="BV118" s="57" t="n">
        <f aca="false">BK118*BP118</f>
        <v>1.72641787957518E-008</v>
      </c>
      <c r="BW118" s="57" t="n">
        <f aca="false">BK118*BQ118</f>
        <v>1.53552654584202E-007</v>
      </c>
      <c r="BX118" s="57" t="n">
        <f aca="false">BR118*f_stroke_fatal_recur</f>
        <v>8.98362483869653E-008</v>
      </c>
      <c r="BY118" s="57" t="n">
        <f aca="false">BR118*(1-f_stroke_fatal_recur)*f_stroke_major</f>
        <v>5.04830100656066E-008</v>
      </c>
      <c r="BZ118" s="57" t="n">
        <f aca="false">BR118*(1-f_stroke_fatal_recur)*(1-f_stroke_major)</f>
        <v>1.01117620762041E-007</v>
      </c>
      <c r="CA118" s="57" t="n">
        <f aca="false">BS118*(1-f_bleed_fatal)</f>
        <v>5.17540881221409E-009</v>
      </c>
      <c r="CB118" s="57" t="n">
        <f aca="false">BT118*(1-f_bleed_fatal)</f>
        <v>4.81253574951073E-008</v>
      </c>
      <c r="CC118" s="57" t="n">
        <f aca="false">BU118*f_mi_fatal</f>
        <v>1.42539645051647E-009</v>
      </c>
      <c r="CD118" s="57" t="n">
        <f aca="false">BU118-CC118</f>
        <v>1.03547395041651E-008</v>
      </c>
      <c r="CE118" s="57" t="n">
        <f aca="false">BK118-BR118-BS118-BT118-CC118</f>
        <v>5.21881315800526E-006</v>
      </c>
      <c r="CF118" s="19" t="n">
        <f aca="false">BX118*c_stroke_fatal+BY118*c_stroke_major+BZ118*c_stroke_minor+BS118*c_ich+BT118*c_major_bleed+CC118*c_mi_fatal+CD118*c_mi_nonfatal+BV118*c_tia+BW118*c_minor_bleed</f>
        <v>0.009067907803869</v>
      </c>
      <c r="CG118" s="57" t="n">
        <f aca="false">dt*(CD118*dec_mi+CB118*dec_major_bleed+BW118*dec_minor_bleed+BV118*dec_tia)</f>
        <v>2.37406756328189E-009</v>
      </c>
      <c r="CH118" s="57" t="n">
        <f aca="false">I118*BJ118+BX118+BS118-CA118+BT118-CB118+CC118</f>
        <v>4.17348206213345E-006</v>
      </c>
      <c r="CI118" s="57" t="n">
        <f aca="false">1-EXP(LN(1-E118)*dt)</f>
        <v>0.213754349469101</v>
      </c>
      <c r="CJ118" s="57" t="n">
        <f aca="false">J118*(1-CI118)</f>
        <v>0.000170808689423011</v>
      </c>
      <c r="CK118" s="57" t="n">
        <f aca="false">(1-EXP(-r_stroke*F118*rr_asa_stroke*dt))</f>
        <v>0.0201243212835766</v>
      </c>
      <c r="CL118" s="57" t="n">
        <f aca="false">(1-EXP(-r_ich*rr_asa_ich*dt))</f>
        <v>0.00102357767802375</v>
      </c>
      <c r="CM118" s="57" t="n">
        <f aca="false">(1-EXP(-r_mb*rr_asa_mb*dt))</f>
        <v>0.00951809672747972</v>
      </c>
      <c r="CN118" s="57" t="n">
        <f aca="false">(1-EXP(-r_mi*rr_asa_mi*dt))</f>
        <v>0.00213413516393479</v>
      </c>
      <c r="CO118" s="57" t="n">
        <f aca="false">(1-EXP(-r_tia*rr_asa_tia*dt))</f>
        <v>0.00312764565589152</v>
      </c>
      <c r="CP118" s="57" t="n">
        <f aca="false">(1-EXP(-r_minor*rr_asa_minor*dt))</f>
        <v>0.0278181950466747</v>
      </c>
      <c r="CQ118" s="57" t="n">
        <f aca="false">CJ118*CK118</f>
        <v>3.43740894397532E-006</v>
      </c>
      <c r="CR118" s="57" t="n">
        <f aca="false">CJ118*CL118</f>
        <v>1.74835961705885E-007</v>
      </c>
      <c r="CS118" s="57" t="n">
        <f aca="false">CJ118*CM118</f>
        <v>1.62577362782226E-006</v>
      </c>
      <c r="CT118" s="57" t="n">
        <f aca="false">CJ118*CN118</f>
        <v>3.64528830403265E-007</v>
      </c>
      <c r="CU118" s="57" t="n">
        <f aca="false">CJ118*CO118</f>
        <v>5.34229055462405E-007</v>
      </c>
      <c r="CV118" s="57" t="n">
        <f aca="false">CJ118*CP118</f>
        <v>4.75158943803621E-006</v>
      </c>
      <c r="CW118" s="57" t="n">
        <f aca="false">CQ118*f_stroke_fatal</f>
        <v>8.14665919722151E-007</v>
      </c>
      <c r="CX118" s="57" t="n">
        <f aca="false">CQ118*(1-f_stroke_fatal)*f_stroke_major</f>
        <v>8.73373427076306E-007</v>
      </c>
      <c r="CY118" s="57" t="n">
        <f aca="false">CQ118*(1-f_stroke_fatal)*(1-f_stroke_major)</f>
        <v>1.74936959717687E-006</v>
      </c>
      <c r="CZ118" s="57" t="n">
        <f aca="false">CR118*(1-f_bleed_fatal)</f>
        <v>1.60149740922591E-007</v>
      </c>
      <c r="DA118" s="57" t="n">
        <f aca="false">CS118*(1-f_bleed_fatal)</f>
        <v>1.48920864308519E-006</v>
      </c>
      <c r="DB118" s="57" t="n">
        <f aca="false">CT118*f_mi_fatal</f>
        <v>4.41079884787951E-008</v>
      </c>
      <c r="DC118" s="57" t="n">
        <f aca="false">CT118-DB118</f>
        <v>3.2042084192447E-007</v>
      </c>
      <c r="DD118" s="57" t="n">
        <f aca="false">CJ118-CQ118-CR118-CS118-DB118</f>
        <v>0.000165526562901029</v>
      </c>
      <c r="DE118" s="19" t="n">
        <f aca="false">CW118*c_stroke_fatal+CX118*c_stroke_major+CY118*c_stroke_minor+CR118*c_ich+CS118*c_major_bleed+DB118*c_mi_fatal+DC118*c_mi_nonfatal+CU118*c_tia+CV118*c_minor_bleed</f>
        <v>0.150004916892133</v>
      </c>
      <c r="DF118" s="57" t="n">
        <f aca="false">dt*(DC118*dec_mi+DA118*dec_major_bleed+CV118*dec_minor_bleed+CU118*dec_tia)</f>
        <v>7.34640139528737E-008</v>
      </c>
      <c r="DG118" s="57" t="n">
        <f aca="false">J118*CI118+CW118+CR118-CZ118+CS118-DA118+DB118</f>
        <v>4.74472935000481E-005</v>
      </c>
      <c r="DH118" s="57" t="n">
        <f aca="false">AG118</f>
        <v>0.000264381454024247</v>
      </c>
      <c r="DI118" s="57" t="n">
        <f aca="false">AB118+AC118+BF118+BA118+BB118+BC118+CY118+CZ118</f>
        <v>1.42733952935095E-005</v>
      </c>
      <c r="DJ118" s="57" t="n">
        <f aca="false">AA118+AZ118+BY118+CX118+CE118+BZ118+CA118+CB118</f>
        <v>7.07398123716417E-006</v>
      </c>
      <c r="DK118" s="57" t="n">
        <f aca="false">AD118+DD118+DA118</f>
        <v>0.00016866599804466</v>
      </c>
      <c r="DL118" s="57" t="n">
        <f aca="false">K118+AJ118+BI118+CH118+DG118</f>
        <v>0.9995456051714</v>
      </c>
      <c r="DM118" s="58" t="n">
        <f aca="false">SUM(DH118:DL118)</f>
        <v>1</v>
      </c>
      <c r="DN118" s="19" t="n">
        <f aca="false">dt*(G118*Apixaban!$H$2+(H118+I118+J118)*c_aspirin)</f>
        <v>0.0279304822860743</v>
      </c>
      <c r="DO118" s="19" t="n">
        <f aca="false">dt*(H118*c_lt_minor_stroke+I118*c_lt_major_stroke)</f>
        <v>0.114819147405134</v>
      </c>
      <c r="DP118" s="19" t="n">
        <f aca="false">AH118+BG118+CF118+DE118</f>
        <v>0.301668756310564</v>
      </c>
      <c r="DQ118" s="19" t="n">
        <f aca="false">DN118+DO118+DP118</f>
        <v>0.444418386001772</v>
      </c>
      <c r="DR118" s="57" t="n">
        <f aca="false">dt*(G118*(u_af-dec_per_year_over_70*MAX(B118-ref_age,0))+H118*(u_minor_stroke-dec_per_year_over_70*MAX(B118-ref_age,0))+I118*(u_major_stroke-dec_per_year_over_70*MAX(B118-ref_age,0))+J118*(u_af-dec_per_year_over_70*MAX(B118-ref_age,0)))-AI118-BH118-CG118-DF118</f>
        <v>0.000116343659050782</v>
      </c>
      <c r="DS118" s="57" t="n">
        <f aca="false">dt*(G118+H118+I118+J118)</f>
        <v>0.000147103145027653</v>
      </c>
      <c r="DT118" s="19" t="n">
        <f aca="false">DQ118*C118</f>
        <v>0.292915824611291</v>
      </c>
      <c r="DU118" s="19" t="n">
        <f aca="false">DN118*C118</f>
        <v>0.0184089599087466</v>
      </c>
      <c r="DV118" s="19" t="n">
        <f aca="false">DP118*C118</f>
        <v>0.198829650836766</v>
      </c>
      <c r="DW118" s="19" t="n">
        <f aca="false">DO118*C118</f>
        <v>0.0756772138657783</v>
      </c>
      <c r="DX118" s="57" t="n">
        <f aca="false">DR118*C118</f>
        <v>7.66820183470508E-005</v>
      </c>
      <c r="DY118" s="57" t="n">
        <f aca="false">DS118*C118</f>
        <v>9.69555724648109E-005</v>
      </c>
      <c r="DZ118" s="57" t="n">
        <f aca="false">T118+AS118+BR118+CQ118</f>
        <v>6.82247379892108E-006</v>
      </c>
      <c r="EA118" s="57" t="n">
        <f aca="false">U118+AT118+BS118+CR118</f>
        <v>4.18844525226095E-007</v>
      </c>
      <c r="EB118" s="57" t="n">
        <f aca="false">V118+AU118+BT118+CS118</f>
        <v>3.58550079294054E-006</v>
      </c>
      <c r="EC118" s="57" t="n">
        <f aca="false">G118*dt*C118</f>
        <v>5.6398105177478E-005</v>
      </c>
    </row>
    <row r="119" customFormat="false" ht="15" hidden="false" customHeight="false" outlineLevel="0" collapsed="false">
      <c r="A119" s="8" t="n">
        <v>113</v>
      </c>
      <c r="B119" s="54" t="n">
        <f aca="false">start_age+A119*dt</f>
        <v>98.25</v>
      </c>
      <c r="C119" s="16" t="n">
        <f aca="false">(1+disc_rate)^-(A119*dt)</f>
        <v>0.656650541081474</v>
      </c>
      <c r="D119" s="55" t="n">
        <f aca="false">IF(A119*dt&gt;=wane_start,(1-wane_decay)^(A119*dt-wane_start),1)</f>
        <v>1</v>
      </c>
      <c r="E119" s="25" t="n">
        <f aca="false">MIN(p_nonvasc_death*MIN(EXP(gomp_int+gomp_slope*INT(B119)),1)/qx_ref,0.999)</f>
        <v>0.617850739193043</v>
      </c>
      <c r="F119" s="55" t="n">
        <f aca="false">rr_stroke_per_decade^((B119-ref_age)/10)</f>
        <v>3.1438209726539</v>
      </c>
      <c r="G119" s="57" t="n">
        <f aca="false">DH118</f>
        <v>0.000264381454024247</v>
      </c>
      <c r="H119" s="57" t="n">
        <f aca="false">DI118</f>
        <v>1.42733952935095E-005</v>
      </c>
      <c r="I119" s="57" t="n">
        <f aca="false">DJ118</f>
        <v>7.07398123716417E-006</v>
      </c>
      <c r="J119" s="57" t="n">
        <f aca="false">DK118</f>
        <v>0.00016866599804466</v>
      </c>
      <c r="K119" s="57" t="n">
        <f aca="false">DL118</f>
        <v>0.9995456051714</v>
      </c>
      <c r="L119" s="57" t="n">
        <f aca="false">1-EXP(LN(1-E119)*dt)</f>
        <v>0.213754349469101</v>
      </c>
      <c r="M119" s="57" t="n">
        <f aca="false">G119*(1-L119)</f>
        <v>0.000207868768307599</v>
      </c>
      <c r="N119" s="57" t="n">
        <f aca="false">IF(Apixaban!$B$2=1,EXP(LN(or_apx_stroke)*D119)*(1-EXP(-r_stroke*F119*dt))/(1-(1-EXP(-r_stroke*F119*dt))+EXP(LN(or_apx_stroke)*D119)*(1-EXP(-r_stroke*F119*dt))),(1-EXP(-r_stroke*F119*dt)))</f>
        <v>0.00997799217637376</v>
      </c>
      <c r="O119" s="57" t="n">
        <f aca="false">IF(Apixaban!$B$2=1,EXP(LN(or_apx_ich)*D119)*(1-EXP(-r_ich*dt))/(1-(1-EXP(-r_ich*dt))+EXP(LN(or_apx_ich)*D119)*(1-EXP(-r_ich*dt))),(1-EXP(-r_ich*dt)))</f>
        <v>0.000843513249640701</v>
      </c>
      <c r="P119" s="57" t="n">
        <f aca="false">IF(Apixaban!$B$2=1,EXP(LN(or_apx_mb)*D119)*(1-EXP(-r_mb*dt))/(1-(1-EXP(-r_mb*dt))+EXP(LN(or_apx_mb)*D119)*(1-EXP(-r_mb*dt))),(1-EXP(-r_mb*dt)))</f>
        <v>0.00669446907979895</v>
      </c>
      <c r="Q119" s="57" t="n">
        <f aca="false">IF(Apixaban!$B$2=1,EXP(LN(or_apx_mi)*D119)*(1-EXP(-r_mi*dt))/(1-(1-EXP(-r_mi*dt))+EXP(LN(or_apx_mi)*D119)*(1-EXP(-r_mi*dt))),(1-EXP(-r_mi*dt)))</f>
        <v>0.00132321915530843</v>
      </c>
      <c r="R119" s="57" t="n">
        <f aca="false">(1-EXP(-r_tia*dt))</f>
        <v>0.0020060281549299</v>
      </c>
      <c r="S119" s="57" t="n">
        <f aca="false">(1-EXP(-r_minor*dt))</f>
        <v>0.0437937690785545</v>
      </c>
      <c r="T119" s="57" t="n">
        <f aca="false">M119*N119</f>
        <v>2.07411294388567E-006</v>
      </c>
      <c r="U119" s="57" t="n">
        <f aca="false">M119*O119</f>
        <v>1.75340060253953E-007</v>
      </c>
      <c r="V119" s="57" t="n">
        <f aca="false">M119*P119</f>
        <v>1.39157104209111E-006</v>
      </c>
      <c r="W119" s="57" t="n">
        <f aca="false">M119*Q119</f>
        <v>2.75055936014984E-007</v>
      </c>
      <c r="X119" s="57" t="n">
        <f aca="false">M119*R119</f>
        <v>4.16990601755642E-007</v>
      </c>
      <c r="Y119" s="57" t="n">
        <f aca="false">M119*S119</f>
        <v>9.10335683790653E-006</v>
      </c>
      <c r="Z119" s="57" t="n">
        <f aca="false">T119*f_stroke_fatal</f>
        <v>4.91564767700904E-007</v>
      </c>
      <c r="AA119" s="57" t="n">
        <f aca="false">T119*(1-f_stroke_fatal)*f_stroke_major</f>
        <v>5.26988542669528E-007</v>
      </c>
      <c r="AB119" s="57" t="n">
        <f aca="false">T119*(1-f_stroke_fatal)*(1-f_stroke_major)</f>
        <v>1.05555963351524E-006</v>
      </c>
      <c r="AC119" s="57" t="n">
        <f aca="false">U119*(1-f_bleed_fatal)</f>
        <v>1.60611495192621E-007</v>
      </c>
      <c r="AD119" s="57" t="n">
        <f aca="false">V119*(1-f_bleed_fatal)</f>
        <v>1.27467907455546E-006</v>
      </c>
      <c r="AE119" s="57" t="n">
        <f aca="false">W119*f_mi_fatal</f>
        <v>3.32817682578131E-008</v>
      </c>
      <c r="AF119" s="57" t="n">
        <f aca="false">W119-AE119</f>
        <v>2.41774167757171E-007</v>
      </c>
      <c r="AG119" s="57" t="n">
        <f aca="false">M119-T119-U119-V119-AE119</f>
        <v>0.00020419446249311</v>
      </c>
      <c r="AH119" s="19" t="n">
        <f aca="false">Z119*c_stroke_fatal+AA119*c_stroke_major+AB119*c_stroke_minor+U119*c_ich+V119*c_major_bleed+AE119*c_mi_fatal+AF119*c_mi_nonfatal+X119*c_tia+Y119*c_minor_bleed</f>
        <v>0.0968325163935174</v>
      </c>
      <c r="AI119" s="57" t="n">
        <f aca="false">dt*(AF119*dec_mi+AD119*dec_major_bleed+Y119*dec_minor_bleed+X119*dec_tia)</f>
        <v>7.71964791755912E-008</v>
      </c>
      <c r="AJ119" s="57" t="n">
        <f aca="false">G119*L119+Z119+U119-AC119+V119-AD119+AE119</f>
        <v>5.71691527852035E-005</v>
      </c>
      <c r="AK119" s="57" t="n">
        <f aca="false">1-EXP(LN(1-E119)*hr_death_prior_stroke*dt)</f>
        <v>0.424846206313917</v>
      </c>
      <c r="AL119" s="57" t="n">
        <f aca="false">H119*(1-AK119)</f>
        <v>8.20939745184309E-006</v>
      </c>
      <c r="AM119" s="57" t="n">
        <f aca="false">(1-EXP(-r_stroke*F119*rr_stroke_prior*rr_asa_stroke*dt))</f>
        <v>0.0441752792778551</v>
      </c>
      <c r="AN119" s="57" t="n">
        <f aca="false">(1-EXP(-r_ich*rr_asa_ich*dt))</f>
        <v>0.00102357767802375</v>
      </c>
      <c r="AO119" s="57" t="n">
        <f aca="false">(1-EXP(-r_mb*rr_asa_mb*dt))</f>
        <v>0.00951809672747972</v>
      </c>
      <c r="AP119" s="57" t="n">
        <f aca="false">(1-EXP(-r_mi*rr_asa_mi*dt))</f>
        <v>0.00213413516393479</v>
      </c>
      <c r="AQ119" s="57" t="n">
        <f aca="false">(1-EXP(-r_tia*rr_asa_tia*dt))</f>
        <v>0.00312764565589152</v>
      </c>
      <c r="AR119" s="57" t="n">
        <f aca="false">(1-EXP(-r_minor*rr_asa_minor*dt))</f>
        <v>0.0278181950466747</v>
      </c>
      <c r="AS119" s="57" t="n">
        <f aca="false">AL119*AM119</f>
        <v>3.62652425138081E-007</v>
      </c>
      <c r="AT119" s="57" t="n">
        <f aca="false">AL119*AN119</f>
        <v>8.4029559817316E-009</v>
      </c>
      <c r="AU119" s="57" t="n">
        <f aca="false">AL119*AO119</f>
        <v>7.8137839020968E-008</v>
      </c>
      <c r="AV119" s="57" t="n">
        <f aca="false">AL119*AP119</f>
        <v>1.7519963776695E-008</v>
      </c>
      <c r="AW119" s="57" t="n">
        <f aca="false">AL119*AQ119</f>
        <v>2.56760862777439E-008</v>
      </c>
      <c r="AX119" s="57" t="n">
        <f aca="false">AL119*AR119</f>
        <v>2.28370619531045E-007</v>
      </c>
      <c r="AY119" s="57" t="n">
        <f aca="false">AS119*f_stroke_fatal_recur</f>
        <v>1.34939340869628E-007</v>
      </c>
      <c r="AZ119" s="57" t="n">
        <f aca="false">AS119*(1-f_stroke_fatal_recur)*f_stroke_major</f>
        <v>7.58284570613946E-008</v>
      </c>
      <c r="BA119" s="57" t="n">
        <f aca="false">AS119*(1-f_stroke_fatal_recur)*(1-f_stroke_major)</f>
        <v>1.51884627207058E-007</v>
      </c>
      <c r="BB119" s="57" t="n">
        <f aca="false">AT119*(1-f_bleed_fatal)</f>
        <v>7.69710767926615E-009</v>
      </c>
      <c r="BC119" s="57" t="n">
        <f aca="false">AU119*(1-f_bleed_fatal)</f>
        <v>7.15742605432067E-008</v>
      </c>
      <c r="BD119" s="57" t="n">
        <f aca="false">AV119*f_mi_fatal</f>
        <v>2.1199156169801E-009</v>
      </c>
      <c r="BE119" s="57" t="n">
        <f aca="false">AV119-BD119</f>
        <v>1.54000481597149E-008</v>
      </c>
      <c r="BF119" s="57" t="n">
        <f aca="false">AL119-AS119-AT119-AU119-BD119</f>
        <v>7.75808431608533E-006</v>
      </c>
      <c r="BG119" s="19" t="n">
        <f aca="false">AY119*c_stroke_fatal+AZ119*c_stroke_major+BA119*c_stroke_minor+AT119*c_ich+AU119*c_major_bleed+BD119*c_mi_fatal+BE119*c_mi_nonfatal+AW119*c_tia+AX119*c_minor_bleed</f>
        <v>0.0136095219073209</v>
      </c>
      <c r="BH119" s="57" t="n">
        <f aca="false">dt*(BE119*dec_mi+BC119*dec_major_bleed+AX119*dec_minor_bleed+AW119*dec_tia)</f>
        <v>3.53082323261265E-009</v>
      </c>
      <c r="BI119" s="57" t="n">
        <f aca="false">H119*AK119+AY119+AT119-BB119+AU119-BC119+BD119</f>
        <v>6.20832652493328E-006</v>
      </c>
      <c r="BJ119" s="57" t="n">
        <f aca="false">1-EXP(LN(1-E119)*hr_death_prior_stroke*dt)</f>
        <v>0.424846206313917</v>
      </c>
      <c r="BK119" s="57" t="n">
        <f aca="false">I119*(1-BJ119)</f>
        <v>4.06862714501915E-006</v>
      </c>
      <c r="BL119" s="57" t="n">
        <f aca="false">(1-EXP(-r_stroke*F119*rr_stroke_prior*rr_asa_stroke*dt))</f>
        <v>0.0441752792778551</v>
      </c>
      <c r="BM119" s="57" t="n">
        <f aca="false">(1-EXP(-r_ich*rr_asa_ich*dt))</f>
        <v>0.00102357767802375</v>
      </c>
      <c r="BN119" s="57" t="n">
        <f aca="false">(1-EXP(-r_mb*rr_asa_mb*dt))</f>
        <v>0.00951809672747972</v>
      </c>
      <c r="BO119" s="57" t="n">
        <f aca="false">(1-EXP(-r_mi*rr_asa_mi*dt))</f>
        <v>0.00213413516393479</v>
      </c>
      <c r="BP119" s="57" t="n">
        <f aca="false">(1-EXP(-r_tia*rr_asa_tia*dt))</f>
        <v>0.00312764565589152</v>
      </c>
      <c r="BQ119" s="57" t="n">
        <f aca="false">(1-EXP(-r_minor*rr_asa_minor*dt))</f>
        <v>0.0278181950466747</v>
      </c>
      <c r="BR119" s="57" t="n">
        <f aca="false">BK119*BL119</f>
        <v>1.79732740408683E-007</v>
      </c>
      <c r="BS119" s="57" t="n">
        <f aca="false">BK119*BM119</f>
        <v>4.16455592584308E-009</v>
      </c>
      <c r="BT119" s="57" t="n">
        <f aca="false">BK119*BN119</f>
        <v>3.87255867143419E-008</v>
      </c>
      <c r="BU119" s="57" t="n">
        <f aca="false">BK119*BO119</f>
        <v>8.68300025912498E-009</v>
      </c>
      <c r="BV119" s="57" t="n">
        <f aca="false">BK119*BP119</f>
        <v>1.27252240155614E-008</v>
      </c>
      <c r="BW119" s="57" t="n">
        <f aca="false">BK119*BQ119</f>
        <v>1.13181863492338E-007</v>
      </c>
      <c r="BX119" s="57" t="n">
        <f aca="false">BR119*f_stroke_fatal_recur</f>
        <v>6.68767553786669E-008</v>
      </c>
      <c r="BY119" s="57" t="n">
        <f aca="false">BR119*(1-f_stroke_fatal_recur)*f_stroke_major</f>
        <v>3.75810430149954E-008</v>
      </c>
      <c r="BZ119" s="57" t="n">
        <f aca="false">BR119*(1-f_stroke_fatal_recur)*(1-f_stroke_major)</f>
        <v>7.52749420150208E-008</v>
      </c>
      <c r="CA119" s="57" t="n">
        <f aca="false">BS119*(1-f_bleed_fatal)</f>
        <v>3.81473322807226E-009</v>
      </c>
      <c r="CB119" s="57" t="n">
        <f aca="false">BT119*(1-f_bleed_fatal)</f>
        <v>3.54726374303372E-008</v>
      </c>
      <c r="CC119" s="57" t="n">
        <f aca="false">BU119*f_mi_fatal</f>
        <v>1.05064303135412E-009</v>
      </c>
      <c r="CD119" s="57" t="n">
        <f aca="false">BU119-CC119</f>
        <v>7.63235722777085E-009</v>
      </c>
      <c r="CE119" s="57" t="n">
        <f aca="false">BK119-BR119-BS119-BT119-CC119</f>
        <v>3.84495361893892E-006</v>
      </c>
      <c r="CF119" s="19" t="n">
        <f aca="false">BX119*c_stroke_fatal+BY119*c_stroke_major+BZ119*c_stroke_minor+BS119*c_ich+BT119*c_major_bleed+CC119*c_mi_fatal+CD119*c_mi_nonfatal+BV119*c_tia+BW119*c_minor_bleed</f>
        <v>0.00674496156236495</v>
      </c>
      <c r="CG119" s="57" t="n">
        <f aca="false">dt*(CD119*dec_mi+CB119*dec_major_bleed+BW119*dec_minor_bleed+BV119*dec_tia)</f>
        <v>1.7498973990164E-009</v>
      </c>
      <c r="CH119" s="57" t="n">
        <f aca="false">I119*BJ119+BX119+BS119-CA119+BT119-CB119+CC119</f>
        <v>3.07688426253682E-006</v>
      </c>
      <c r="CI119" s="57" t="n">
        <f aca="false">1-EXP(LN(1-E119)*dt)</f>
        <v>0.213754349469101</v>
      </c>
      <c r="CJ119" s="57" t="n">
        <f aca="false">J119*(1-CI119)</f>
        <v>0.000132612907355067</v>
      </c>
      <c r="CK119" s="57" t="n">
        <f aca="false">(1-EXP(-r_stroke*F119*rr_asa_stroke*dt))</f>
        <v>0.0203272533948329</v>
      </c>
      <c r="CL119" s="57" t="n">
        <f aca="false">(1-EXP(-r_ich*rr_asa_ich*dt))</f>
        <v>0.00102357767802375</v>
      </c>
      <c r="CM119" s="57" t="n">
        <f aca="false">(1-EXP(-r_mb*rr_asa_mb*dt))</f>
        <v>0.00951809672747972</v>
      </c>
      <c r="CN119" s="57" t="n">
        <f aca="false">(1-EXP(-r_mi*rr_asa_mi*dt))</f>
        <v>0.00213413516393479</v>
      </c>
      <c r="CO119" s="57" t="n">
        <f aca="false">(1-EXP(-r_tia*rr_asa_tia*dt))</f>
        <v>0.00312764565589152</v>
      </c>
      <c r="CP119" s="57" t="n">
        <f aca="false">(1-EXP(-r_minor*rr_asa_minor*dt))</f>
        <v>0.0278181950466747</v>
      </c>
      <c r="CQ119" s="57" t="n">
        <f aca="false">CJ119*CK119</f>
        <v>2.69565617123194E-006</v>
      </c>
      <c r="CR119" s="57" t="n">
        <f aca="false">CJ119*CL119</f>
        <v>1.35739611786477E-007</v>
      </c>
      <c r="CS119" s="57" t="n">
        <f aca="false">CJ119*CM119</f>
        <v>1.26222247951783E-006</v>
      </c>
      <c r="CT119" s="57" t="n">
        <f aca="false">CJ119*CN119</f>
        <v>2.83013868778075E-007</v>
      </c>
      <c r="CU119" s="57" t="n">
        <f aca="false">CJ119*CO119</f>
        <v>4.14766183604219E-007</v>
      </c>
      <c r="CV119" s="57" t="n">
        <f aca="false">CJ119*CP119</f>
        <v>3.68905172250985E-006</v>
      </c>
      <c r="CW119" s="57" t="n">
        <f aca="false">CQ119*f_stroke_fatal</f>
        <v>6.38870512581969E-007</v>
      </c>
      <c r="CX119" s="57" t="n">
        <f aca="false">CQ119*(1-f_stroke_fatal)*f_stroke_major</f>
        <v>6.84909624330439E-007</v>
      </c>
      <c r="CY119" s="57" t="n">
        <f aca="false">CQ119*(1-f_stroke_fatal)*(1-f_stroke_major)</f>
        <v>1.37187603431953E-006</v>
      </c>
      <c r="CZ119" s="57" t="n">
        <f aca="false">CR119*(1-f_bleed_fatal)</f>
        <v>1.24337484396413E-007</v>
      </c>
      <c r="DA119" s="57" t="n">
        <f aca="false">CS119*(1-f_bleed_fatal)</f>
        <v>1.15619579123833E-006</v>
      </c>
      <c r="DB119" s="57" t="n">
        <f aca="false">CT119*f_mi_fatal</f>
        <v>3.4244678122147E-008</v>
      </c>
      <c r="DC119" s="57" t="n">
        <f aca="false">CT119-DB119</f>
        <v>2.48769190655928E-007</v>
      </c>
      <c r="DD119" s="57" t="n">
        <f aca="false">CJ119-CQ119-CR119-CS119-DB119</f>
        <v>0.000128485044414408</v>
      </c>
      <c r="DE119" s="19" t="n">
        <f aca="false">CW119*c_stroke_fatal+CX119*c_stroke_major+CY119*c_stroke_minor+CR119*c_ich+CS119*c_major_bleed+DB119*c_mi_fatal+DC119*c_mi_nonfatal+CU119*c_tia+CV119*c_minor_bleed</f>
        <v>0.117455531880056</v>
      </c>
      <c r="DF119" s="57" t="n">
        <f aca="false">dt*(DC119*dec_mi+DA119*dec_major_bleed+CV119*dec_minor_bleed+CU119*dec_tia)</f>
        <v>5.70361877324451E-008</v>
      </c>
      <c r="DG119" s="57" t="n">
        <f aca="false">J119*CI119+CW119+CR119-CZ119+CS119-DA119+DB119</f>
        <v>3.68436346959665E-005</v>
      </c>
      <c r="DH119" s="57" t="n">
        <f aca="false">AG119</f>
        <v>0.00020419446249311</v>
      </c>
      <c r="DI119" s="57" t="n">
        <f aca="false">AB119+AC119+BF119+BA119+BB119+BC119+CY119+CZ119</f>
        <v>1.07016249589387E-005</v>
      </c>
      <c r="DJ119" s="57" t="n">
        <f aca="false">AA119+AZ119+BY119+CX119+CE119+BZ119+CA119+CB119</f>
        <v>5.28482359868871E-006</v>
      </c>
      <c r="DK119" s="57" t="n">
        <f aca="false">AD119+DD119+DA119</f>
        <v>0.000130915919280202</v>
      </c>
      <c r="DL119" s="57" t="n">
        <f aca="false">K119+AJ119+BI119+CH119+DG119</f>
        <v>0.999648903169669</v>
      </c>
      <c r="DM119" s="58" t="n">
        <f aca="false">SUM(DH119:DL119)</f>
        <v>1</v>
      </c>
      <c r="DN119" s="19" t="n">
        <f aca="false">dt*(G119*Apixaban!$H$2+(H119+I119+J119)*c_aspirin)</f>
        <v>0.0215731701218724</v>
      </c>
      <c r="DO119" s="19" t="n">
        <f aca="false">dt*(H119*c_lt_minor_stroke+I119*c_lt_major_stroke)</f>
        <v>0.0847692693851783</v>
      </c>
      <c r="DP119" s="19" t="n">
        <f aca="false">AH119+BG119+CF119+DE119</f>
        <v>0.234642531743259</v>
      </c>
      <c r="DQ119" s="19" t="n">
        <f aca="false">DN119+DO119+DP119</f>
        <v>0.340984971250309</v>
      </c>
      <c r="DR119" s="57" t="n">
        <f aca="false">dt*(G119*(u_af-dec_per_year_over_70*MAX(B119-ref_age,0))+H119*(u_minor_stroke-dec_per_year_over_70*MAX(B119-ref_age,0))+I119*(u_major_stroke-dec_per_year_over_70*MAX(B119-ref_age,0))+J119*(u_af-dec_per_year_over_70*MAX(B119-ref_age,0)))-AI119-BH119-CG119-DF119</f>
        <v>8.98864014054916E-005</v>
      </c>
      <c r="DS119" s="57" t="n">
        <f aca="false">dt*(G119+H119+I119+J119)</f>
        <v>0.000113598707149895</v>
      </c>
      <c r="DT119" s="19" t="n">
        <f aca="false">DQ119*C119</f>
        <v>0.223907965872167</v>
      </c>
      <c r="DU119" s="19" t="n">
        <f aca="false">DN119*C119</f>
        <v>0.0141660338333702</v>
      </c>
      <c r="DV119" s="19" t="n">
        <f aca="false">DP119*C119</f>
        <v>0.154078145429938</v>
      </c>
      <c r="DW119" s="19" t="n">
        <f aca="false">DO119*C119</f>
        <v>0.0556637866088586</v>
      </c>
      <c r="DX119" s="57" t="n">
        <f aca="false">DR119*C119</f>
        <v>5.90239541187826E-005</v>
      </c>
      <c r="DY119" s="57" t="n">
        <f aca="false">DS119*C119</f>
        <v>7.45946525161345E-005</v>
      </c>
      <c r="DZ119" s="57" t="n">
        <f aca="false">T119+AS119+BR119+CQ119</f>
        <v>5.31215428066437E-006</v>
      </c>
      <c r="EA119" s="57" t="n">
        <f aca="false">U119+AT119+BS119+CR119</f>
        <v>3.23647183948005E-007</v>
      </c>
      <c r="EB119" s="57" t="n">
        <f aca="false">V119+AU119+BT119+CS119</f>
        <v>2.77065694734425E-006</v>
      </c>
      <c r="EC119" s="57" t="n">
        <f aca="false">G119*dt*C119</f>
        <v>4.34015562092321E-005</v>
      </c>
    </row>
    <row r="120" customFormat="false" ht="15" hidden="false" customHeight="false" outlineLevel="0" collapsed="false">
      <c r="A120" s="8" t="n">
        <v>114</v>
      </c>
      <c r="B120" s="54" t="n">
        <f aca="false">start_age+A120*dt</f>
        <v>98.5</v>
      </c>
      <c r="C120" s="16" t="n">
        <f aca="false">(1+disc_rate)^-(A120*dt)</f>
        <v>0.654210930337972</v>
      </c>
      <c r="D120" s="55" t="n">
        <f aca="false">IF(A120*dt&gt;=wane_start,(1-wane_decay)^(A120*dt-wane_start),1)</f>
        <v>1</v>
      </c>
      <c r="E120" s="25" t="n">
        <f aca="false">MIN(p_nonvasc_death*MIN(EXP(gomp_int+gomp_slope*INT(B120)),1)/qx_ref,0.999)</f>
        <v>0.617850739193043</v>
      </c>
      <c r="F120" s="55" t="n">
        <f aca="false">rr_stroke_per_decade^((B120-ref_age)/10)</f>
        <v>3.17585077826709</v>
      </c>
      <c r="G120" s="57" t="n">
        <f aca="false">DH119</f>
        <v>0.00020419446249311</v>
      </c>
      <c r="H120" s="57" t="n">
        <f aca="false">DI119</f>
        <v>1.07016249589387E-005</v>
      </c>
      <c r="I120" s="57" t="n">
        <f aca="false">DJ119</f>
        <v>5.28482359868871E-006</v>
      </c>
      <c r="J120" s="57" t="n">
        <f aca="false">DK119</f>
        <v>0.000130915919280202</v>
      </c>
      <c r="K120" s="57" t="n">
        <f aca="false">DL119</f>
        <v>0.999648903169669</v>
      </c>
      <c r="L120" s="57" t="n">
        <f aca="false">1-EXP(LN(1-E120)*dt)</f>
        <v>0.213754349469101</v>
      </c>
      <c r="M120" s="57" t="n">
        <f aca="false">G120*(1-L120)</f>
        <v>0.000160547007997703</v>
      </c>
      <c r="N120" s="57" t="n">
        <f aca="false">IF(Apixaban!$B$2=1,EXP(LN(or_apx_stroke)*D120)*(1-EXP(-r_stroke*F120*dt))/(1-(1-EXP(-r_stroke*F120*dt))+EXP(LN(or_apx_stroke)*D120)*(1-EXP(-r_stroke*F120*dt))),(1-EXP(-r_stroke*F120*dt)))</f>
        <v>0.0100792708444533</v>
      </c>
      <c r="O120" s="57" t="n">
        <f aca="false">IF(Apixaban!$B$2=1,EXP(LN(or_apx_ich)*D120)*(1-EXP(-r_ich*dt))/(1-(1-EXP(-r_ich*dt))+EXP(LN(or_apx_ich)*D120)*(1-EXP(-r_ich*dt))),(1-EXP(-r_ich*dt)))</f>
        <v>0.000843513249640701</v>
      </c>
      <c r="P120" s="57" t="n">
        <f aca="false">IF(Apixaban!$B$2=1,EXP(LN(or_apx_mb)*D120)*(1-EXP(-r_mb*dt))/(1-(1-EXP(-r_mb*dt))+EXP(LN(or_apx_mb)*D120)*(1-EXP(-r_mb*dt))),(1-EXP(-r_mb*dt)))</f>
        <v>0.00669446907979895</v>
      </c>
      <c r="Q120" s="57" t="n">
        <f aca="false">IF(Apixaban!$B$2=1,EXP(LN(or_apx_mi)*D120)*(1-EXP(-r_mi*dt))/(1-(1-EXP(-r_mi*dt))+EXP(LN(or_apx_mi)*D120)*(1-EXP(-r_mi*dt))),(1-EXP(-r_mi*dt)))</f>
        <v>0.00132321915530843</v>
      </c>
      <c r="R120" s="57" t="n">
        <f aca="false">(1-EXP(-r_tia*dt))</f>
        <v>0.0020060281549299</v>
      </c>
      <c r="S120" s="57" t="n">
        <f aca="false">(1-EXP(-r_minor*dt))</f>
        <v>0.0437937690785545</v>
      </c>
      <c r="T120" s="57" t="n">
        <f aca="false">M120*N120</f>
        <v>1.61819677687545E-006</v>
      </c>
      <c r="U120" s="57" t="n">
        <f aca="false">M120*O120</f>
        <v>1.35423528436234E-007</v>
      </c>
      <c r="V120" s="57" t="n">
        <f aca="false">M120*P120</f>
        <v>1.07477698089486E-006</v>
      </c>
      <c r="W120" s="57" t="n">
        <f aca="false">M120*Q120</f>
        <v>2.12438876310016E-007</v>
      </c>
      <c r="X120" s="57" t="n">
        <f aca="false">M120*R120</f>
        <v>3.22061818233147E-007</v>
      </c>
      <c r="Y120" s="57" t="n">
        <f aca="false">M120*S120</f>
        <v>7.03095859450424E-006</v>
      </c>
      <c r="Z120" s="57" t="n">
        <f aca="false">T120*f_stroke_fatal</f>
        <v>3.83512636119483E-007</v>
      </c>
      <c r="AA120" s="57" t="n">
        <f aca="false">T120*(1-f_stroke_fatal)*f_stroke_major</f>
        <v>4.11149818871738E-007</v>
      </c>
      <c r="AB120" s="57" t="n">
        <f aca="false">T120*(1-f_stroke_fatal)*(1-f_stroke_major)</f>
        <v>8.23534321884233E-007</v>
      </c>
      <c r="AC120" s="57" t="n">
        <f aca="false">U120*(1-f_bleed_fatal)</f>
        <v>1.2404795204759E-007</v>
      </c>
      <c r="AD120" s="57" t="n">
        <f aca="false">V120*(1-f_bleed_fatal)</f>
        <v>9.84495714499689E-007</v>
      </c>
      <c r="AE120" s="57" t="n">
        <f aca="false">W120*f_mi_fatal</f>
        <v>2.57051040335119E-008</v>
      </c>
      <c r="AF120" s="57" t="n">
        <f aca="false">W120-AE120</f>
        <v>1.86733772276504E-007</v>
      </c>
      <c r="AG120" s="57" t="n">
        <f aca="false">M120-T120-U120-V120-AE120</f>
        <v>0.000157692905607463</v>
      </c>
      <c r="AH120" s="19" t="n">
        <f aca="false">Z120*c_stroke_fatal+AA120*c_stroke_major+AB120*c_stroke_minor+U120*c_ich+V120*c_major_bleed+AE120*c_mi_fatal+AF120*c_mi_nonfatal+X120*c_tia+Y120*c_minor_bleed</f>
        <v>0.0753891593050832</v>
      </c>
      <c r="AI120" s="57" t="n">
        <f aca="false">dt*(AF120*dec_mi+AD120*dec_major_bleed+Y120*dec_minor_bleed+X120*dec_tia)</f>
        <v>5.96225390687759E-008</v>
      </c>
      <c r="AJ120" s="57" t="n">
        <f aca="false">G120*L120+Z120+U120-AC120+V120-AD120+AE120</f>
        <v>4.41583290783443E-005</v>
      </c>
      <c r="AK120" s="57" t="n">
        <f aca="false">1-EXP(LN(1-E120)*hr_death_prior_stroke*dt)</f>
        <v>0.424846206313917</v>
      </c>
      <c r="AL120" s="57" t="n">
        <f aca="false">H120*(1-AK120)</f>
        <v>6.15508019373924E-006</v>
      </c>
      <c r="AM120" s="57" t="n">
        <f aca="false">(1-EXP(-r_stroke*F120*rr_stroke_prior*rr_asa_stroke*dt))</f>
        <v>0.044615153022378</v>
      </c>
      <c r="AN120" s="57" t="n">
        <f aca="false">(1-EXP(-r_ich*rr_asa_ich*dt))</f>
        <v>0.00102357767802375</v>
      </c>
      <c r="AO120" s="57" t="n">
        <f aca="false">(1-EXP(-r_mb*rr_asa_mb*dt))</f>
        <v>0.00951809672747972</v>
      </c>
      <c r="AP120" s="57" t="n">
        <f aca="false">(1-EXP(-r_mi*rr_asa_mi*dt))</f>
        <v>0.00213413516393479</v>
      </c>
      <c r="AQ120" s="57" t="n">
        <f aca="false">(1-EXP(-r_tia*rr_asa_tia*dt))</f>
        <v>0.00312764565589152</v>
      </c>
      <c r="AR120" s="57" t="n">
        <f aca="false">(1-EXP(-r_minor*rr_asa_minor*dt))</f>
        <v>0.0278181950466747</v>
      </c>
      <c r="AS120" s="57" t="n">
        <f aca="false">AL120*AM120</f>
        <v>2.74609844708684E-007</v>
      </c>
      <c r="AT120" s="57" t="n">
        <f aca="false">AL120*AN120</f>
        <v>6.30020269275756E-009</v>
      </c>
      <c r="AU120" s="57" t="n">
        <f aca="false">AL120*AO120</f>
        <v>5.85846486494047E-008</v>
      </c>
      <c r="AV120" s="57" t="n">
        <f aca="false">AL120*AP120</f>
        <v>1.31357730782975E-008</v>
      </c>
      <c r="AW120" s="57" t="n">
        <f aca="false">AL120*AQ120</f>
        <v>1.92509098296125E-008</v>
      </c>
      <c r="AX120" s="57" t="n">
        <f aca="false">AL120*AR120</f>
        <v>1.71223221357363E-007</v>
      </c>
      <c r="AY120" s="57" t="n">
        <f aca="false">AS120*f_stroke_fatal_recur</f>
        <v>1.02179577117654E-007</v>
      </c>
      <c r="AZ120" s="57" t="n">
        <f aca="false">AS120*(1-f_stroke_fatal_recur)*f_stroke_major</f>
        <v>5.74192791078129E-008</v>
      </c>
      <c r="BA120" s="57" t="n">
        <f aca="false">AS120*(1-f_stroke_fatal_recur)*(1-f_stroke_major)</f>
        <v>1.15010988483217E-007</v>
      </c>
      <c r="BB120" s="57" t="n">
        <f aca="false">AT120*(1-f_bleed_fatal)</f>
        <v>5.77098566656593E-009</v>
      </c>
      <c r="BC120" s="57" t="n">
        <f aca="false">AU120*(1-f_bleed_fatal)</f>
        <v>5.36635381628547E-008</v>
      </c>
      <c r="BD120" s="57" t="n">
        <f aca="false">AV120*f_mi_fatal</f>
        <v>1.589428542474E-009</v>
      </c>
      <c r="BE120" s="57" t="n">
        <f aca="false">AV120-BD120</f>
        <v>1.15463445358235E-008</v>
      </c>
      <c r="BF120" s="57" t="n">
        <f aca="false">AL120-AS120-AT120-AU120-BD120</f>
        <v>5.81399606914592E-006</v>
      </c>
      <c r="BG120" s="19" t="n">
        <f aca="false">AY120*c_stroke_fatal+AZ120*c_stroke_major+BA120*c_stroke_minor+AT120*c_ich+AU120*c_major_bleed+BD120*c_mi_fatal+BE120*c_mi_nonfatal+AW120*c_tia+AX120*c_minor_bleed</f>
        <v>0.0102972307461848</v>
      </c>
      <c r="BH120" s="57" t="n">
        <f aca="false">dt*(BE120*dec_mi+BC120*dec_major_bleed+AX120*dec_minor_bleed+AW120*dec_tia)</f>
        <v>2.64727104201409E-009</v>
      </c>
      <c r="BI120" s="57" t="n">
        <f aca="false">H120*AK120+AY120+AT120-BB120+AU120-BC120+BD120</f>
        <v>4.65576409837229E-006</v>
      </c>
      <c r="BJ120" s="57" t="n">
        <f aca="false">1-EXP(LN(1-E120)*hr_death_prior_stroke*dt)</f>
        <v>0.424846206313917</v>
      </c>
      <c r="BK120" s="57" t="n">
        <f aca="false">I120*(1-BJ120)</f>
        <v>3.03958634174755E-006</v>
      </c>
      <c r="BL120" s="57" t="n">
        <f aca="false">(1-EXP(-r_stroke*F120*rr_stroke_prior*rr_asa_stroke*dt))</f>
        <v>0.044615153022378</v>
      </c>
      <c r="BM120" s="57" t="n">
        <f aca="false">(1-EXP(-r_ich*rr_asa_ich*dt))</f>
        <v>0.00102357767802375</v>
      </c>
      <c r="BN120" s="57" t="n">
        <f aca="false">(1-EXP(-r_mb*rr_asa_mb*dt))</f>
        <v>0.00951809672747972</v>
      </c>
      <c r="BO120" s="57" t="n">
        <f aca="false">(1-EXP(-r_mi*rr_asa_mi*dt))</f>
        <v>0.00213413516393479</v>
      </c>
      <c r="BP120" s="57" t="n">
        <f aca="false">(1-EXP(-r_tia*rr_asa_tia*dt))</f>
        <v>0.00312764565589152</v>
      </c>
      <c r="BQ120" s="57" t="n">
        <f aca="false">(1-EXP(-r_minor*rr_asa_minor*dt))</f>
        <v>0.0278181950466747</v>
      </c>
      <c r="BR120" s="57" t="n">
        <f aca="false">BK120*BL120</f>
        <v>1.35611609761797E-007</v>
      </c>
      <c r="BS120" s="57" t="n">
        <f aca="false">BK120*BM120</f>
        <v>3.11125272983865E-009</v>
      </c>
      <c r="BT120" s="57" t="n">
        <f aca="false">BK120*BN120</f>
        <v>2.89310768122794E-008</v>
      </c>
      <c r="BU120" s="57" t="n">
        <f aca="false">BK120*BO120</f>
        <v>6.48688809573936E-009</v>
      </c>
      <c r="BV120" s="57" t="n">
        <f aca="false">BK120*BP120</f>
        <v>9.50674901747392E-009</v>
      </c>
      <c r="BW120" s="57" t="n">
        <f aca="false">BK120*BQ120</f>
        <v>8.45558057159418E-008</v>
      </c>
      <c r="BX120" s="57" t="n">
        <f aca="false">BR120*f_stroke_fatal_recur</f>
        <v>5.0459723876267E-008</v>
      </c>
      <c r="BY120" s="57" t="n">
        <f aca="false">BR120*(1-f_stroke_fatal_recur)*f_stroke_major</f>
        <v>2.83555779998815E-008</v>
      </c>
      <c r="BZ120" s="57" t="n">
        <f aca="false">BR120*(1-f_stroke_fatal_recur)*(1-f_stroke_major)</f>
        <v>5.67963078856484E-008</v>
      </c>
      <c r="CA120" s="57" t="n">
        <f aca="false">BS120*(1-f_bleed_fatal)</f>
        <v>2.8499075005322E-009</v>
      </c>
      <c r="CB120" s="57" t="n">
        <f aca="false">BT120*(1-f_bleed_fatal)</f>
        <v>2.65008663600479E-008</v>
      </c>
      <c r="CC120" s="57" t="n">
        <f aca="false">BU120*f_mi_fatal</f>
        <v>7.84913459584462E-010</v>
      </c>
      <c r="CD120" s="57" t="n">
        <f aca="false">BU120-CC120</f>
        <v>5.7019746361549E-009</v>
      </c>
      <c r="CE120" s="57" t="n">
        <f aca="false">BK120-BR120-BS120-BT120-CC120</f>
        <v>2.87114748898405E-006</v>
      </c>
      <c r="CF120" s="19" t="n">
        <f aca="false">BX120*c_stroke_fatal+BY120*c_stroke_major+BZ120*c_stroke_minor+BS120*c_ich+BT120*c_major_bleed+CC120*c_mi_fatal+CD120*c_mi_nonfatal+BV120*c_tia+BW120*c_minor_bleed</f>
        <v>0.00508512008759253</v>
      </c>
      <c r="CG120" s="57" t="n">
        <f aca="false">dt*(CD120*dec_mi+CB120*dec_major_bleed+BW120*dec_minor_bleed+BV120*dec_tia)</f>
        <v>1.30731178943771E-009</v>
      </c>
      <c r="CH120" s="57" t="n">
        <f aca="false">I120*BJ120+BX120+BS120-CA120+BT120-CB120+CC120</f>
        <v>2.29917344995855E-006</v>
      </c>
      <c r="CI120" s="57" t="n">
        <f aca="false">1-EXP(LN(1-E120)*dt)</f>
        <v>0.213754349469101</v>
      </c>
      <c r="CJ120" s="57" t="n">
        <f aca="false">J120*(1-CI120)</f>
        <v>0.000102932072119313</v>
      </c>
      <c r="CK120" s="57" t="n">
        <f aca="false">(1-EXP(-r_stroke*F120*rr_asa_stroke*dt))</f>
        <v>0.0205322103427947</v>
      </c>
      <c r="CL120" s="57" t="n">
        <f aca="false">(1-EXP(-r_ich*rr_asa_ich*dt))</f>
        <v>0.00102357767802375</v>
      </c>
      <c r="CM120" s="57" t="n">
        <f aca="false">(1-EXP(-r_mb*rr_asa_mb*dt))</f>
        <v>0.00951809672747972</v>
      </c>
      <c r="CN120" s="57" t="n">
        <f aca="false">(1-EXP(-r_mi*rr_asa_mi*dt))</f>
        <v>0.00213413516393479</v>
      </c>
      <c r="CO120" s="57" t="n">
        <f aca="false">(1-EXP(-r_tia*rr_asa_tia*dt))</f>
        <v>0.00312764565589152</v>
      </c>
      <c r="CP120" s="57" t="n">
        <f aca="false">(1-EXP(-r_minor*rr_asa_minor*dt))</f>
        <v>0.0278181950466747</v>
      </c>
      <c r="CQ120" s="57" t="n">
        <f aca="false">CJ120*CK120</f>
        <v>2.11342295577346E-006</v>
      </c>
      <c r="CR120" s="57" t="n">
        <f aca="false">CJ120*CL120</f>
        <v>1.05358971374059E-007</v>
      </c>
      <c r="CS120" s="57" t="n">
        <f aca="false">CJ120*CM120</f>
        <v>9.79717418791541E-007</v>
      </c>
      <c r="CT120" s="57" t="n">
        <f aca="false">CJ120*CN120</f>
        <v>2.19670954606498E-007</v>
      </c>
      <c r="CU120" s="57" t="n">
        <f aca="false">CJ120*CO120</f>
        <v>3.21935048215882E-007</v>
      </c>
      <c r="CV120" s="57" t="n">
        <f aca="false">CJ120*CP120</f>
        <v>2.86338445877344E-006</v>
      </c>
      <c r="CW120" s="57" t="n">
        <f aca="false">CQ120*f_stroke_fatal</f>
        <v>5.00881240518309E-007</v>
      </c>
      <c r="CX120" s="57" t="n">
        <f aca="false">CQ120*(1-f_stroke_fatal)*f_stroke_major</f>
        <v>5.36976391179964E-007</v>
      </c>
      <c r="CY120" s="57" t="n">
        <f aca="false">CQ120*(1-f_stroke_fatal)*(1-f_stroke_major)</f>
        <v>1.07556532407518E-006</v>
      </c>
      <c r="CZ120" s="57" t="n">
        <f aca="false">CR120*(1-f_bleed_fatal)</f>
        <v>9.65088177786383E-008</v>
      </c>
      <c r="DA120" s="57" t="n">
        <f aca="false">CS120*(1-f_bleed_fatal)</f>
        <v>8.97421155613052E-007</v>
      </c>
      <c r="DB120" s="57" t="n">
        <f aca="false">CT120*f_mi_fatal</f>
        <v>2.65801855073863E-008</v>
      </c>
      <c r="DC120" s="57" t="n">
        <f aca="false">CT120-DB120</f>
        <v>1.93090769099112E-007</v>
      </c>
      <c r="DD120" s="57" t="n">
        <f aca="false">CJ120-CQ120-CR120-CS120-DB120</f>
        <v>9.97069925878667E-005</v>
      </c>
      <c r="DE120" s="19" t="n">
        <f aca="false">CW120*c_stroke_fatal+CX120*c_stroke_major+CY120*c_stroke_minor+CR120*c_ich+CS120*c_major_bleed+DB120*c_mi_fatal+DC120*c_mi_nonfatal+CU120*c_tia+CV120*c_minor_bleed</f>
        <v>0.0919466244705285</v>
      </c>
      <c r="DF120" s="57" t="n">
        <f aca="false">dt*(DC120*dec_mi+DA120*dec_major_bleed+CV120*dec_minor_bleed+CU120*dec_tia)</f>
        <v>4.42706000960201E-008</v>
      </c>
      <c r="DG120" s="57" t="n">
        <f aca="false">J120*CI120+CW120+CR120-CZ120+CS120-DA120+DB120</f>
        <v>2.86024550036885E-005</v>
      </c>
      <c r="DH120" s="57" t="n">
        <f aca="false">AG120</f>
        <v>0.000157692905607463</v>
      </c>
      <c r="DI120" s="57" t="n">
        <f aca="false">AB120+AC120+BF120+BA120+BB120+BC120+CY120+CZ120</f>
        <v>8.1080979972442E-006</v>
      </c>
      <c r="DJ120" s="57" t="n">
        <f aca="false">AA120+AZ120+BY120+CX120+CE120+BZ120+CA120+CB120</f>
        <v>3.99119563788968E-006</v>
      </c>
      <c r="DK120" s="57" t="n">
        <f aca="false">AD120+DD120+DA120</f>
        <v>0.000101588909457979</v>
      </c>
      <c r="DL120" s="57" t="n">
        <f aca="false">K120+AJ120+BI120+CH120+DG120</f>
        <v>0.999728618891299</v>
      </c>
      <c r="DM120" s="58" t="n">
        <f aca="false">SUM(DH120:DL120)</f>
        <v>1</v>
      </c>
      <c r="DN120" s="19" t="n">
        <f aca="false">dt*(G120*Apixaban!$H$2+(H120+I120+J120)*c_aspirin)</f>
        <v>0.0166634171104065</v>
      </c>
      <c r="DO120" s="19" t="n">
        <f aca="false">dt*(H120*c_lt_minor_stroke+I120*c_lt_major_stroke)</f>
        <v>0.0634328058685581</v>
      </c>
      <c r="DP120" s="19" t="n">
        <f aca="false">AH120+BG120+CF120+DE120</f>
        <v>0.182718134609389</v>
      </c>
      <c r="DQ120" s="19" t="n">
        <f aca="false">DN120+DO120+DP120</f>
        <v>0.262814357588354</v>
      </c>
      <c r="DR120" s="57" t="n">
        <f aca="false">dt*(G120*(u_af-dec_per_year_over_70*MAX(B120-ref_age,0))+H120*(u_minor_stroke-dec_per_year_over_70*MAX(B120-ref_age,0))+I120*(u_major_stroke-dec_per_year_over_70*MAX(B120-ref_age,0))+J120*(u_af-dec_per_year_over_70*MAX(B120-ref_age,0)))-AI120-BH120-CG120-DF120</f>
        <v>6.94725385234602E-005</v>
      </c>
      <c r="DS120" s="57" t="n">
        <f aca="false">dt*(G120+H120+I120+J120)</f>
        <v>8.77742075827349E-005</v>
      </c>
      <c r="DT120" s="19" t="n">
        <f aca="false">DQ120*C120</f>
        <v>0.171936025384053</v>
      </c>
      <c r="DU120" s="19" t="n">
        <f aca="false">DN120*C120</f>
        <v>0.0109013896104087</v>
      </c>
      <c r="DV120" s="19" t="n">
        <f aca="false">DP120*C120</f>
        <v>0.119536200832427</v>
      </c>
      <c r="DW120" s="19" t="n">
        <f aca="false">DO120*C120</f>
        <v>0.0414984349412174</v>
      </c>
      <c r="DX120" s="57" t="n">
        <f aca="false">DR120*C120</f>
        <v>4.54496940603735E-005</v>
      </c>
      <c r="DY120" s="57" t="n">
        <f aca="false">DS120*C120</f>
        <v>5.74228460023793E-005</v>
      </c>
      <c r="DZ120" s="57" t="n">
        <f aca="false">T120+AS120+BR120+CQ120</f>
        <v>4.14184118711939E-006</v>
      </c>
      <c r="EA120" s="57" t="n">
        <f aca="false">U120+AT120+BS120+CR120</f>
        <v>2.50193955232889E-007</v>
      </c>
      <c r="EB120" s="57" t="n">
        <f aca="false">V120+AU120+BT120+CS120</f>
        <v>2.14201012514808E-006</v>
      </c>
      <c r="EC120" s="57" t="n">
        <f aca="false">G120*dt*C120</f>
        <v>3.33965623193699E-005</v>
      </c>
    </row>
    <row r="121" customFormat="false" ht="15" hidden="false" customHeight="false" outlineLevel="0" collapsed="false">
      <c r="A121" s="8" t="n">
        <v>115</v>
      </c>
      <c r="B121" s="54" t="n">
        <f aca="false">start_age+A121*dt</f>
        <v>98.75</v>
      </c>
      <c r="C121" s="16" t="n">
        <f aca="false">(1+disc_rate)^-(A121*dt)</f>
        <v>0.651780383320465</v>
      </c>
      <c r="D121" s="55" t="n">
        <f aca="false">IF(A121*dt&gt;=wane_start,(1-wane_decay)^(A121*dt-wane_start),1)</f>
        <v>1</v>
      </c>
      <c r="E121" s="25" t="n">
        <f aca="false">MIN(p_nonvasc_death*MIN(EXP(gomp_int+gomp_slope*INT(B121)),1)/qx_ref,0.999)</f>
        <v>0.617850739193043</v>
      </c>
      <c r="F121" s="55" t="n">
        <f aca="false">rr_stroke_per_decade^((B121-ref_age)/10)</f>
        <v>3.20820690922023</v>
      </c>
      <c r="G121" s="57" t="n">
        <f aca="false">DH120</f>
        <v>0.000157692905607463</v>
      </c>
      <c r="H121" s="57" t="n">
        <f aca="false">DI120</f>
        <v>8.1080979972442E-006</v>
      </c>
      <c r="I121" s="57" t="n">
        <f aca="false">DJ120</f>
        <v>3.99119563788968E-006</v>
      </c>
      <c r="J121" s="57" t="n">
        <f aca="false">DK120</f>
        <v>0.000101588909457979</v>
      </c>
      <c r="K121" s="57" t="n">
        <f aca="false">DL120</f>
        <v>0.999728618891299</v>
      </c>
      <c r="L121" s="57" t="n">
        <f aca="false">1-EXP(LN(1-E121)*dt)</f>
        <v>0.213754349469101</v>
      </c>
      <c r="M121" s="57" t="n">
        <f aca="false">G121*(1-L121)</f>
        <v>0.000123985361153447</v>
      </c>
      <c r="N121" s="57" t="n">
        <f aca="false">IF(Apixaban!$B$2=1,EXP(LN(or_apx_stroke)*D121)*(1-EXP(-r_stroke*F121*dt))/(1-(1-EXP(-r_stroke*F121*dt))+EXP(LN(or_apx_stroke)*D121)*(1-EXP(-r_stroke*F121*dt))),(1-EXP(-r_stroke*F121*dt)))</f>
        <v>0.0101815735985078</v>
      </c>
      <c r="O121" s="57" t="n">
        <f aca="false">IF(Apixaban!$B$2=1,EXP(LN(or_apx_ich)*D121)*(1-EXP(-r_ich*dt))/(1-(1-EXP(-r_ich*dt))+EXP(LN(or_apx_ich)*D121)*(1-EXP(-r_ich*dt))),(1-EXP(-r_ich*dt)))</f>
        <v>0.000843513249640701</v>
      </c>
      <c r="P121" s="57" t="n">
        <f aca="false">IF(Apixaban!$B$2=1,EXP(LN(or_apx_mb)*D121)*(1-EXP(-r_mb*dt))/(1-(1-EXP(-r_mb*dt))+EXP(LN(or_apx_mb)*D121)*(1-EXP(-r_mb*dt))),(1-EXP(-r_mb*dt)))</f>
        <v>0.00669446907979895</v>
      </c>
      <c r="Q121" s="57" t="n">
        <f aca="false">IF(Apixaban!$B$2=1,EXP(LN(or_apx_mi)*D121)*(1-EXP(-r_mi*dt))/(1-(1-EXP(-r_mi*dt))+EXP(LN(or_apx_mi)*D121)*(1-EXP(-r_mi*dt))),(1-EXP(-r_mi*dt)))</f>
        <v>0.00132321915530843</v>
      </c>
      <c r="R121" s="57" t="n">
        <f aca="false">(1-EXP(-r_tia*dt))</f>
        <v>0.0020060281549299</v>
      </c>
      <c r="S121" s="57" t="n">
        <f aca="false">(1-EXP(-r_minor*dt))</f>
        <v>0.0437937690785545</v>
      </c>
      <c r="T121" s="57" t="n">
        <f aca="false">M121*N121</f>
        <v>1.26236607972139E-006</v>
      </c>
      <c r="U121" s="57" t="n">
        <f aca="false">M121*O121</f>
        <v>1.0458329489442E-007</v>
      </c>
      <c r="V121" s="57" t="n">
        <f aca="false">M121*P121</f>
        <v>8.30016166589459E-007</v>
      </c>
      <c r="W121" s="57" t="n">
        <f aca="false">M121*Q121</f>
        <v>1.64059804856075E-007</v>
      </c>
      <c r="X121" s="57" t="n">
        <f aca="false">M121*R121</f>
        <v>2.48718125272966E-007</v>
      </c>
      <c r="Y121" s="57" t="n">
        <f aca="false">M121*S121</f>
        <v>5.42978627547525E-006</v>
      </c>
      <c r="Z121" s="57" t="n">
        <f aca="false">T121*f_stroke_fatal</f>
        <v>2.9918076089397E-007</v>
      </c>
      <c r="AA121" s="57" t="n">
        <f aca="false">T121*(1-f_stroke_fatal)*f_stroke_major</f>
        <v>3.20740711169531E-007</v>
      </c>
      <c r="AB121" s="57" t="n">
        <f aca="false">T121*(1-f_stroke_fatal)*(1-f_stroke_major)</f>
        <v>6.4244460765789E-007</v>
      </c>
      <c r="AC121" s="57" t="n">
        <f aca="false">U121*(1-f_bleed_fatal)</f>
        <v>9.57982981232889E-008</v>
      </c>
      <c r="AD121" s="57" t="n">
        <f aca="false">V121*(1-f_bleed_fatal)</f>
        <v>7.60294808595944E-007</v>
      </c>
      <c r="AE121" s="57" t="n">
        <f aca="false">W121*f_mi_fatal</f>
        <v>1.98512363875851E-008</v>
      </c>
      <c r="AF121" s="57" t="n">
        <f aca="false">W121-AE121</f>
        <v>1.4420856846849E-007</v>
      </c>
      <c r="AG121" s="57" t="n">
        <f aca="false">M121-T121-U121-V121-AE121</f>
        <v>0.000121768544375854</v>
      </c>
      <c r="AH121" s="19" t="n">
        <f aca="false">Z121*c_stroke_fatal+AA121*c_stroke_major+AB121*c_stroke_minor+U121*c_ich+V121*c_major_bleed+AE121*c_mi_fatal+AF121*c_mi_nonfatal+X121*c_tia+Y121*c_minor_bleed</f>
        <v>0.0586893014903982</v>
      </c>
      <c r="AI121" s="57" t="n">
        <f aca="false">dt*(AF121*dec_mi+AD121*dec_major_bleed+Y121*dec_minor_bleed+X121*dec_tia)</f>
        <v>4.60445954834205E-008</v>
      </c>
      <c r="AJ121" s="57" t="n">
        <f aca="false">G121*L121+Z121+U121-AC121+V121-AD121+AE121</f>
        <v>3.41050828060617E-005</v>
      </c>
      <c r="AK121" s="57" t="n">
        <f aca="false">1-EXP(LN(1-E121)*hr_death_prior_stroke*dt)</f>
        <v>0.424846206313917</v>
      </c>
      <c r="AL121" s="57" t="n">
        <f aca="false">H121*(1-AK121)</f>
        <v>4.66340332269354E-006</v>
      </c>
      <c r="AM121" s="57" t="n">
        <f aca="false">(1-EXP(-r_stroke*F121*rr_stroke_prior*rr_asa_stroke*dt))</f>
        <v>0.0450593027434513</v>
      </c>
      <c r="AN121" s="57" t="n">
        <f aca="false">(1-EXP(-r_ich*rr_asa_ich*dt))</f>
        <v>0.00102357767802375</v>
      </c>
      <c r="AO121" s="57" t="n">
        <f aca="false">(1-EXP(-r_mb*rr_asa_mb*dt))</f>
        <v>0.00951809672747972</v>
      </c>
      <c r="AP121" s="57" t="n">
        <f aca="false">(1-EXP(-r_mi*rr_asa_mi*dt))</f>
        <v>0.00213413516393479</v>
      </c>
      <c r="AQ121" s="57" t="n">
        <f aca="false">(1-EXP(-r_tia*rr_asa_tia*dt))</f>
        <v>0.00312764565589152</v>
      </c>
      <c r="AR121" s="57" t="n">
        <f aca="false">(1-EXP(-r_minor*rr_asa_minor*dt))</f>
        <v>0.0278181950466747</v>
      </c>
      <c r="AS121" s="57" t="n">
        <f aca="false">AL121*AM121</f>
        <v>2.10129702132065E-007</v>
      </c>
      <c r="AT121" s="57" t="n">
        <f aca="false">AL121*AN121</f>
        <v>4.77335554473087E-009</v>
      </c>
      <c r="AU121" s="57" t="n">
        <f aca="false">AL121*AO121</f>
        <v>4.43867239046474E-008</v>
      </c>
      <c r="AV121" s="57" t="n">
        <f aca="false">AL121*AP121</f>
        <v>9.95233301457062E-009</v>
      </c>
      <c r="AW121" s="57" t="n">
        <f aca="false">AL121*AQ121</f>
        <v>1.45854731438925E-008</v>
      </c>
      <c r="AX121" s="57" t="n">
        <f aca="false">AL121*AR121</f>
        <v>1.29727463212E-007</v>
      </c>
      <c r="AY121" s="57" t="n">
        <f aca="false">AS121*f_stroke_fatal_recur</f>
        <v>7.81871608663199E-008</v>
      </c>
      <c r="AZ121" s="57" t="n">
        <f aca="false">AS121*(1-f_stroke_fatal_recur)*f_stroke_major</f>
        <v>4.3936866241493E-008</v>
      </c>
      <c r="BA121" s="57" t="n">
        <f aca="false">AS121*(1-f_stroke_fatal_recur)*(1-f_stroke_major)</f>
        <v>8.80056750242517E-008</v>
      </c>
      <c r="BB121" s="57" t="n">
        <f aca="false">AT121*(1-f_bleed_fatal)</f>
        <v>4.37239367897348E-009</v>
      </c>
      <c r="BC121" s="57" t="n">
        <f aca="false">AU121*(1-f_bleed_fatal)</f>
        <v>4.0658239096657E-008</v>
      </c>
      <c r="BD121" s="57" t="n">
        <f aca="false">AV121*f_mi_fatal</f>
        <v>1.20423229476305E-009</v>
      </c>
      <c r="BE121" s="57" t="n">
        <f aca="false">AV121-BD121</f>
        <v>8.74810071980758E-009</v>
      </c>
      <c r="BF121" s="57" t="n">
        <f aca="false">AL121-AS121-AT121-AU121-BD121</f>
        <v>4.40290930881733E-006</v>
      </c>
      <c r="BG121" s="19" t="n">
        <f aca="false">AY121*c_stroke_fatal+AZ121*c_stroke_major+BA121*c_stroke_minor+AT121*c_ich+AU121*c_major_bleed+BD121*c_mi_fatal+BE121*c_mi_nonfatal+AW121*c_tia+AX121*c_minor_bleed</f>
        <v>0.00787312382531238</v>
      </c>
      <c r="BH121" s="57" t="n">
        <f aca="false">dt*(BE121*dec_mi+BC121*dec_major_bleed+AX121*dec_minor_bleed+AW121*dec_tia)</f>
        <v>2.00570783561133E-009</v>
      </c>
      <c r="BI121" s="57" t="n">
        <f aca="false">H121*AK121+AY121+AT121-BB121+AU121-BC121+BD121</f>
        <v>3.5282155143855E-006</v>
      </c>
      <c r="BJ121" s="57" t="n">
        <f aca="false">1-EXP(LN(1-E121)*hr_death_prior_stroke*dt)</f>
        <v>0.424846206313917</v>
      </c>
      <c r="BK121" s="57" t="n">
        <f aca="false">I121*(1-BJ121)</f>
        <v>2.29555131247559E-006</v>
      </c>
      <c r="BL121" s="57" t="n">
        <f aca="false">(1-EXP(-r_stroke*F121*rr_stroke_prior*rr_asa_stroke*dt))</f>
        <v>0.0450593027434513</v>
      </c>
      <c r="BM121" s="57" t="n">
        <f aca="false">(1-EXP(-r_ich*rr_asa_ich*dt))</f>
        <v>0.00102357767802375</v>
      </c>
      <c r="BN121" s="57" t="n">
        <f aca="false">(1-EXP(-r_mb*rr_asa_mb*dt))</f>
        <v>0.00951809672747972</v>
      </c>
      <c r="BO121" s="57" t="n">
        <f aca="false">(1-EXP(-r_mi*rr_asa_mi*dt))</f>
        <v>0.00213413516393479</v>
      </c>
      <c r="BP121" s="57" t="n">
        <f aca="false">(1-EXP(-r_tia*rr_asa_tia*dt))</f>
        <v>0.00312764565589152</v>
      </c>
      <c r="BQ121" s="57" t="n">
        <f aca="false">(1-EXP(-r_minor*rr_asa_minor*dt))</f>
        <v>0.0278181950466747</v>
      </c>
      <c r="BR121" s="57" t="n">
        <f aca="false">BK121*BL121</f>
        <v>1.03435941551965E-007</v>
      </c>
      <c r="BS121" s="57" t="n">
        <f aca="false">BK121*BM121</f>
        <v>2.34967508220813E-009</v>
      </c>
      <c r="BT121" s="57" t="n">
        <f aca="false">BK121*BN121</f>
        <v>2.18492794350357E-008</v>
      </c>
      <c r="BU121" s="57" t="n">
        <f aca="false">BK121*BO121</f>
        <v>4.89901677657083E-009</v>
      </c>
      <c r="BV121" s="57" t="n">
        <f aca="false">BK121*BP121</f>
        <v>7.17967109034036E-009</v>
      </c>
      <c r="BW121" s="57" t="n">
        <f aca="false">BK121*BQ121</f>
        <v>6.38580941500962E-008</v>
      </c>
      <c r="BX121" s="57" t="n">
        <f aca="false">BR121*f_stroke_fatal_recur</f>
        <v>3.84874794920705E-008</v>
      </c>
      <c r="BY121" s="57" t="n">
        <f aca="false">BR121*(1-f_stroke_fatal_recur)*f_stroke_major</f>
        <v>2.16278378659447E-008</v>
      </c>
      <c r="BZ121" s="57" t="n">
        <f aca="false">BR121*(1-f_stroke_fatal_recur)*(1-f_stroke_major)</f>
        <v>4.33206241939494E-008</v>
      </c>
      <c r="CA121" s="57" t="n">
        <f aca="false">BS121*(1-f_bleed_fatal)</f>
        <v>2.15230237530265E-009</v>
      </c>
      <c r="CB121" s="57" t="n">
        <f aca="false">BT121*(1-f_bleed_fatal)</f>
        <v>2.00139399624927E-008</v>
      </c>
      <c r="CC121" s="57" t="n">
        <f aca="false">BU121*f_mi_fatal</f>
        <v>5.9278102996507E-010</v>
      </c>
      <c r="CD121" s="57" t="n">
        <f aca="false">BU121-CC121</f>
        <v>4.30623574660576E-009</v>
      </c>
      <c r="CE121" s="57" t="n">
        <f aca="false">BK121-BR121-BS121-BT121-CC121</f>
        <v>2.16732363537642E-006</v>
      </c>
      <c r="CF121" s="19" t="n">
        <f aca="false">BX121*c_stroke_fatal+BY121*c_stroke_major+BZ121*c_stroke_minor+BS121*c_ich+BT121*c_major_bleed+CC121*c_mi_fatal+CD121*c_mi_nonfatal+BV121*c_tia+BW121*c_minor_bleed</f>
        <v>0.00387553005388344</v>
      </c>
      <c r="CG121" s="57" t="n">
        <f aca="false">dt*(CD121*dec_mi+CB121*dec_major_bleed+BW121*dec_minor_bleed+BV121*dec_tia)</f>
        <v>9.87305822782839E-010</v>
      </c>
      <c r="CH121" s="57" t="n">
        <f aca="false">I121*BJ121+BX121+BS121-CA121+BT121-CB121+CC121</f>
        <v>1.73675729811557E-006</v>
      </c>
      <c r="CI121" s="57" t="n">
        <f aca="false">1-EXP(LN(1-E121)*dt)</f>
        <v>0.213754349469101</v>
      </c>
      <c r="CJ121" s="57" t="n">
        <f aca="false">J121*(1-CI121)</f>
        <v>7.98738382035137E-005</v>
      </c>
      <c r="CK121" s="57" t="n">
        <f aca="false">(1-EXP(-r_stroke*F121*rr_asa_stroke*dt))</f>
        <v>0.0207392118920464</v>
      </c>
      <c r="CL121" s="57" t="n">
        <f aca="false">(1-EXP(-r_ich*rr_asa_ich*dt))</f>
        <v>0.00102357767802375</v>
      </c>
      <c r="CM121" s="57" t="n">
        <f aca="false">(1-EXP(-r_mb*rr_asa_mb*dt))</f>
        <v>0.00951809672747972</v>
      </c>
      <c r="CN121" s="57" t="n">
        <f aca="false">(1-EXP(-r_mi*rr_asa_mi*dt))</f>
        <v>0.00213413516393479</v>
      </c>
      <c r="CO121" s="57" t="n">
        <f aca="false">(1-EXP(-r_tia*rr_asa_tia*dt))</f>
        <v>0.00312764565589152</v>
      </c>
      <c r="CP121" s="57" t="n">
        <f aca="false">(1-EXP(-r_minor*rr_asa_minor*dt))</f>
        <v>0.0278181950466747</v>
      </c>
      <c r="CQ121" s="57" t="n">
        <f aca="false">CJ121*CK121</f>
        <v>1.6565204551337E-006</v>
      </c>
      <c r="CR121" s="57" t="n">
        <f aca="false">CJ121*CL121</f>
        <v>8.17570778431969E-008</v>
      </c>
      <c r="CS121" s="57" t="n">
        <f aca="false">CJ121*CM121</f>
        <v>7.60246918016108E-007</v>
      </c>
      <c r="CT121" s="57" t="n">
        <f aca="false">CJ121*CN121</f>
        <v>1.70461566788557E-007</v>
      </c>
      <c r="CU121" s="57" t="n">
        <f aca="false">CJ121*CO121</f>
        <v>2.49817063076602E-007</v>
      </c>
      <c r="CV121" s="57" t="n">
        <f aca="false">CJ121*CP121</f>
        <v>2.22194601027188E-006</v>
      </c>
      <c r="CW121" s="57" t="n">
        <f aca="false">CQ121*f_stroke_fatal</f>
        <v>3.92595347866687E-007</v>
      </c>
      <c r="CX121" s="57" t="n">
        <f aca="false">CQ121*(1-f_stroke_fatal)*f_stroke_major</f>
        <v>4.20887060719916E-007</v>
      </c>
      <c r="CY121" s="57" t="n">
        <f aca="false">CQ121*(1-f_stroke_fatal)*(1-f_stroke_major)</f>
        <v>8.43038046547099E-007</v>
      </c>
      <c r="CZ121" s="57" t="n">
        <f aca="false">CR121*(1-f_bleed_fatal)</f>
        <v>7.48894833043684E-008</v>
      </c>
      <c r="DA121" s="57" t="n">
        <f aca="false">CS121*(1-f_bleed_fatal)</f>
        <v>6.96386176902755E-007</v>
      </c>
      <c r="DB121" s="57" t="n">
        <f aca="false">CT121*f_mi_fatal</f>
        <v>2.06258495814154E-008</v>
      </c>
      <c r="DC121" s="57" t="n">
        <f aca="false">CT121-DB121</f>
        <v>1.49835717207141E-007</v>
      </c>
      <c r="DD121" s="57" t="n">
        <f aca="false">CJ121-CQ121-CR121-CS121-DB121</f>
        <v>7.73546879029393E-005</v>
      </c>
      <c r="DE121" s="19" t="n">
        <f aca="false">CW121*c_stroke_fatal+CX121*c_stroke_major+CY121*c_stroke_minor+CR121*c_ich+CS121*c_major_bleed+DB121*c_mi_fatal+DC121*c_mi_nonfatal+CU121*c_tia+CV121*c_minor_bleed</f>
        <v>0.0719601779873067</v>
      </c>
      <c r="DF121" s="57" t="n">
        <f aca="false">dt*(DC121*dec_mi+DA121*dec_major_bleed+CV121*dec_minor_bleed+CU121*dec_tia)</f>
        <v>3.43533621390926E-008</v>
      </c>
      <c r="DG121" s="57" t="n">
        <f aca="false">J121*CI121+CW121+CR121-CZ121+CS121-DA121+DB121</f>
        <v>2.21990207875661E-005</v>
      </c>
      <c r="DH121" s="57" t="n">
        <f aca="false">AG121</f>
        <v>0.000121768544375854</v>
      </c>
      <c r="DI121" s="57" t="n">
        <f aca="false">AB121+AC121+BF121+BA121+BB121+BC121+CY121+CZ121</f>
        <v>6.19211605224986E-006</v>
      </c>
      <c r="DJ121" s="57" t="n">
        <f aca="false">AA121+AZ121+BY121+CX121+CE121+BZ121+CA121+CB121</f>
        <v>3.04000297790505E-006</v>
      </c>
      <c r="DK121" s="57" t="n">
        <f aca="false">AD121+DD121+DA121</f>
        <v>7.8811368888438E-005</v>
      </c>
      <c r="DL121" s="57" t="n">
        <f aca="false">K121+AJ121+BI121+CH121+DG121</f>
        <v>0.999790187967705</v>
      </c>
      <c r="DM121" s="58" t="n">
        <f aca="false">SUM(DH121:DL121)</f>
        <v>1</v>
      </c>
      <c r="DN121" s="19" t="n">
        <f aca="false">dt*(G121*Apixaban!$H$2+(H121+I121+J121)*c_aspirin)</f>
        <v>0.0128709724186611</v>
      </c>
      <c r="DO121" s="19" t="n">
        <f aca="false">dt*(H121*c_lt_minor_stroke+I121*c_lt_major_stroke)</f>
        <v>0.0479759982500563</v>
      </c>
      <c r="DP121" s="19" t="n">
        <f aca="false">AH121+BG121+CF121+DE121</f>
        <v>0.142398133356901</v>
      </c>
      <c r="DQ121" s="19" t="n">
        <f aca="false">DN121+DO121+DP121</f>
        <v>0.203245104025618</v>
      </c>
      <c r="DR121" s="57" t="n">
        <f aca="false">dt*(G121*(u_af-dec_per_year_over_70*MAX(B121-ref_age,0))+H121*(u_minor_stroke-dec_per_year_over_70*MAX(B121-ref_age,0))+I121*(u_major_stroke-dec_per_year_over_70*MAX(B121-ref_age,0))+J121*(u_af-dec_per_year_over_70*MAX(B121-ref_age,0)))-AI121-BH121-CG121-DF121</f>
        <v>5.37076528727972E-005</v>
      </c>
      <c r="DS121" s="57" t="n">
        <f aca="false">dt*(G121+H121+I121+J121)</f>
        <v>6.7845277175144E-005</v>
      </c>
      <c r="DT121" s="19" t="n">
        <f aca="false">DQ121*C121</f>
        <v>0.132471171809825</v>
      </c>
      <c r="DU121" s="19" t="n">
        <f aca="false">DN121*C121</f>
        <v>0.00838904733674204</v>
      </c>
      <c r="DV121" s="19" t="n">
        <f aca="false">DP121*C121</f>
        <v>0.0928123099434794</v>
      </c>
      <c r="DW121" s="19" t="n">
        <f aca="false">DO121*C121</f>
        <v>0.0312698145296037</v>
      </c>
      <c r="DX121" s="57" t="n">
        <f aca="false">DR121*C121</f>
        <v>3.50055945766742E-005</v>
      </c>
      <c r="DY121" s="57" t="n">
        <f aca="false">DS121*C121</f>
        <v>4.42202207636986E-005</v>
      </c>
      <c r="DZ121" s="57" t="n">
        <f aca="false">T121+AS121+BR121+CQ121</f>
        <v>3.23245217853912E-006</v>
      </c>
      <c r="EA121" s="57" t="n">
        <f aca="false">U121+AT121+BS121+CR121</f>
        <v>1.93463403364556E-007</v>
      </c>
      <c r="EB121" s="57" t="n">
        <f aca="false">V121+AU121+BT121+CS121</f>
        <v>1.65649908794525E-006</v>
      </c>
      <c r="EC121" s="57" t="n">
        <f aca="false">G121*dt*C121</f>
        <v>2.56952856159375E-005</v>
      </c>
    </row>
    <row r="122" customFormat="false" ht="15" hidden="false" customHeight="false" outlineLevel="0" collapsed="false">
      <c r="A122" s="8" t="n">
        <v>116</v>
      </c>
      <c r="B122" s="54" t="n">
        <f aca="false">start_age+A122*dt</f>
        <v>99</v>
      </c>
      <c r="C122" s="16" t="n">
        <f aca="false">(1+disc_rate)^-(A122*dt)</f>
        <v>0.649358866355088</v>
      </c>
      <c r="D122" s="55" t="n">
        <f aca="false">IF(A122*dt&gt;=wane_start,(1-wane_decay)^(A122*dt-wane_start),1)</f>
        <v>1</v>
      </c>
      <c r="E122" s="25" t="n">
        <f aca="false">MIN(p_nonvasc_death*MIN(EXP(gomp_int+gomp_slope*INT(B122)),1)/qx_ref,0.999)</f>
        <v>0.68600193880086</v>
      </c>
      <c r="F122" s="55" t="n">
        <f aca="false">rr_stroke_per_decade^((B122-ref_age)/10)</f>
        <v>3.24089269017374</v>
      </c>
      <c r="G122" s="57" t="n">
        <f aca="false">DH121</f>
        <v>0.000121768544375854</v>
      </c>
      <c r="H122" s="57" t="n">
        <f aca="false">DI121</f>
        <v>6.19211605224986E-006</v>
      </c>
      <c r="I122" s="57" t="n">
        <f aca="false">DJ121</f>
        <v>3.04000297790505E-006</v>
      </c>
      <c r="J122" s="57" t="n">
        <f aca="false">DK121</f>
        <v>7.8811368888438E-005</v>
      </c>
      <c r="K122" s="57" t="n">
        <f aca="false">DL121</f>
        <v>0.999790187967705</v>
      </c>
      <c r="L122" s="57" t="n">
        <f aca="false">1-EXP(LN(1-E122)*dt)</f>
        <v>0.251431166108985</v>
      </c>
      <c r="M122" s="57" t="n">
        <f aca="false">G122*(1-L122)</f>
        <v>9.11521372680397E-005</v>
      </c>
      <c r="N122" s="57" t="n">
        <f aca="false">IF(Apixaban!$B$2=1,EXP(LN(or_apx_stroke)*D122)*(1-EXP(-r_stroke*F122*dt))/(1-(1-EXP(-r_stroke*F122*dt))+EXP(LN(or_apx_stroke)*D122)*(1-EXP(-r_stroke*F122*dt))),(1-EXP(-r_stroke*F122*dt)))</f>
        <v>0.0102849107132213</v>
      </c>
      <c r="O122" s="57" t="n">
        <f aca="false">IF(Apixaban!$B$2=1,EXP(LN(or_apx_ich)*D122)*(1-EXP(-r_ich*dt))/(1-(1-EXP(-r_ich*dt))+EXP(LN(or_apx_ich)*D122)*(1-EXP(-r_ich*dt))),(1-EXP(-r_ich*dt)))</f>
        <v>0.000843513249640701</v>
      </c>
      <c r="P122" s="57" t="n">
        <f aca="false">IF(Apixaban!$B$2=1,EXP(LN(or_apx_mb)*D122)*(1-EXP(-r_mb*dt))/(1-(1-EXP(-r_mb*dt))+EXP(LN(or_apx_mb)*D122)*(1-EXP(-r_mb*dt))),(1-EXP(-r_mb*dt)))</f>
        <v>0.00669446907979895</v>
      </c>
      <c r="Q122" s="57" t="n">
        <f aca="false">IF(Apixaban!$B$2=1,EXP(LN(or_apx_mi)*D122)*(1-EXP(-r_mi*dt))/(1-(1-EXP(-r_mi*dt))+EXP(LN(or_apx_mi)*D122)*(1-EXP(-r_mi*dt))),(1-EXP(-r_mi*dt)))</f>
        <v>0.00132321915530843</v>
      </c>
      <c r="R122" s="57" t="n">
        <f aca="false">(1-EXP(-r_tia*dt))</f>
        <v>0.0020060281549299</v>
      </c>
      <c r="S122" s="57" t="n">
        <f aca="false">(1-EXP(-r_minor*dt))</f>
        <v>0.0437937690785545</v>
      </c>
      <c r="T122" s="57" t="n">
        <f aca="false">M122*N122</f>
        <v>9.37491593121078E-007</v>
      </c>
      <c r="U122" s="57" t="n">
        <f aca="false">M122*O122</f>
        <v>7.68880355186594E-008</v>
      </c>
      <c r="V122" s="57" t="n">
        <f aca="false">M122*P122</f>
        <v>6.10215164498481E-007</v>
      </c>
      <c r="W122" s="57" t="n">
        <f aca="false">M122*Q122</f>
        <v>1.20614254080373E-007</v>
      </c>
      <c r="X122" s="57" t="n">
        <f aca="false">M122*R122</f>
        <v>1.82853753741722E-007</v>
      </c>
      <c r="Y122" s="57" t="n">
        <f aca="false">M122*S122</f>
        <v>3.99189565053323E-006</v>
      </c>
      <c r="Z122" s="57" t="n">
        <f aca="false">T122*f_stroke_fatal</f>
        <v>2.22185507569695E-007</v>
      </c>
      <c r="AA122" s="57" t="n">
        <f aca="false">T122*(1-f_stroke_fatal)*f_stroke_major</f>
        <v>2.3819692648861E-007</v>
      </c>
      <c r="AB122" s="57" t="n">
        <f aca="false">T122*(1-f_stroke_fatal)*(1-f_stroke_major)</f>
        <v>4.77109159062772E-007</v>
      </c>
      <c r="AC122" s="57" t="n">
        <f aca="false">U122*(1-f_bleed_fatal)</f>
        <v>7.0429440535092E-008</v>
      </c>
      <c r="AD122" s="57" t="n">
        <f aca="false">V122*(1-f_bleed_fatal)</f>
        <v>5.58957090680609E-007</v>
      </c>
      <c r="AE122" s="57" t="n">
        <f aca="false">W122*f_mi_fatal</f>
        <v>1.45943247437252E-008</v>
      </c>
      <c r="AF122" s="57" t="n">
        <f aca="false">W122-AE122</f>
        <v>1.06019929336648E-007</v>
      </c>
      <c r="AG122" s="57" t="n">
        <f aca="false">M122-T122-U122-V122-AE122</f>
        <v>8.95129481501577E-005</v>
      </c>
      <c r="AH122" s="19" t="n">
        <f aca="false">Z122*c_stroke_fatal+AA122*c_stroke_major+AB122*c_stroke_minor+U122*c_ich+V122*c_major_bleed+AE122*c_mi_fatal+AF122*c_mi_nonfatal+X122*c_tia+Y122*c_minor_bleed</f>
        <v>0.0434954994307182</v>
      </c>
      <c r="AI122" s="57" t="n">
        <f aca="false">dt*(AF122*dec_mi+AD122*dec_major_bleed+Y122*dec_minor_bleed+X122*dec_tia)</f>
        <v>3.38512809005066E-008</v>
      </c>
      <c r="AJ122" s="57" t="n">
        <f aca="false">G122*L122+Z122+U122-AC122+V122-AD122+AE122</f>
        <v>3.09109036089296E-005</v>
      </c>
      <c r="AK122" s="57" t="n">
        <f aca="false">1-EXP(LN(1-E122)*hr_death_prior_stroke*dt)</f>
        <v>0.486272273512471</v>
      </c>
      <c r="AL122" s="57" t="n">
        <f aca="false">H122*(1-AK122)</f>
        <v>3.18106170166925E-006</v>
      </c>
      <c r="AM122" s="57" t="n">
        <f aca="false">(1-EXP(-r_stroke*F122*rr_stroke_prior*rr_asa_stroke*dt))</f>
        <v>0.0455077678936023</v>
      </c>
      <c r="AN122" s="57" t="n">
        <f aca="false">(1-EXP(-r_ich*rr_asa_ich*dt))</f>
        <v>0.00102357767802375</v>
      </c>
      <c r="AO122" s="57" t="n">
        <f aca="false">(1-EXP(-r_mb*rr_asa_mb*dt))</f>
        <v>0.00951809672747972</v>
      </c>
      <c r="AP122" s="57" t="n">
        <f aca="false">(1-EXP(-r_mi*rr_asa_mi*dt))</f>
        <v>0.00213413516393479</v>
      </c>
      <c r="AQ122" s="57" t="n">
        <f aca="false">(1-EXP(-r_tia*rr_asa_tia*dt))</f>
        <v>0.00312764565589152</v>
      </c>
      <c r="AR122" s="57" t="n">
        <f aca="false">(1-EXP(-r_minor*rr_asa_minor*dt))</f>
        <v>0.0278181950466747</v>
      </c>
      <c r="AS122" s="57" t="n">
        <f aca="false">AL122*AM122</f>
        <v>1.44763017574792E-007</v>
      </c>
      <c r="AT122" s="57" t="n">
        <f aca="false">AL122*AN122</f>
        <v>3.25606375024488E-009</v>
      </c>
      <c r="AU122" s="57" t="n">
        <f aca="false">AL122*AO122</f>
        <v>3.02776529725692E-008</v>
      </c>
      <c r="AV122" s="57" t="n">
        <f aca="false">AL122*AP122</f>
        <v>6.7888156361786E-009</v>
      </c>
      <c r="AW122" s="57" t="n">
        <f aca="false">AL122*AQ122</f>
        <v>9.94923381234873E-009</v>
      </c>
      <c r="AX122" s="57" t="n">
        <f aca="false">AL122*AR122</f>
        <v>8.84913948725423E-008</v>
      </c>
      <c r="AY122" s="57" t="n">
        <f aca="false">AS122*f_stroke_fatal_recur</f>
        <v>5.38648712094044E-008</v>
      </c>
      <c r="AZ122" s="57" t="n">
        <f aca="false">AS122*(1-f_stroke_fatal_recur)*f_stroke_major</f>
        <v>3.02690827396741E-008</v>
      </c>
      <c r="BA122" s="57" t="n">
        <f aca="false">AS122*(1-f_stroke_fatal_recur)*(1-f_stroke_major)</f>
        <v>6.06290636257136E-008</v>
      </c>
      <c r="BB122" s="57" t="n">
        <f aca="false">AT122*(1-f_bleed_fatal)</f>
        <v>2.98255439522431E-009</v>
      </c>
      <c r="BC122" s="57" t="n">
        <f aca="false">AU122*(1-f_bleed_fatal)</f>
        <v>2.77343301228734E-008</v>
      </c>
      <c r="BD122" s="57" t="n">
        <f aca="false">AV122*f_mi_fatal</f>
        <v>8.21446691977611E-010</v>
      </c>
      <c r="BE122" s="57" t="n">
        <f aca="false">AV122-BD122</f>
        <v>5.96736894420099E-009</v>
      </c>
      <c r="BF122" s="57" t="n">
        <f aca="false">AL122-AS122-AT122-AU122-BD122</f>
        <v>3.00194352067967E-006</v>
      </c>
      <c r="BG122" s="19" t="n">
        <f aca="false">AY122*c_stroke_fatal+AZ122*c_stroke_major+BA122*c_stroke_minor+AT122*c_ich+AU122*c_major_bleed+BD122*c_mi_fatal+BE122*c_mi_nonfatal+AW122*c_tia+AX122*c_minor_bleed</f>
        <v>0.00541970648666137</v>
      </c>
      <c r="BH122" s="57" t="n">
        <f aca="false">dt*(BE122*dec_mi+BC122*dec_major_bleed+AX122*dec_minor_bleed+AW122*dec_tia)</f>
        <v>1.36815967633611E-009</v>
      </c>
      <c r="BI122" s="57" t="n">
        <f aca="false">H122*AK122+AY122+AT122-BB122+AU122-BC122+BD122</f>
        <v>3.0685575006867E-006</v>
      </c>
      <c r="BJ122" s="57" t="n">
        <f aca="false">1-EXP(LN(1-E122)*hr_death_prior_stroke*dt)</f>
        <v>0.486272273512471</v>
      </c>
      <c r="BK122" s="57" t="n">
        <f aca="false">I122*(1-BJ122)</f>
        <v>1.56173381835448E-006</v>
      </c>
      <c r="BL122" s="57" t="n">
        <f aca="false">(1-EXP(-r_stroke*F122*rr_stroke_prior*rr_asa_stroke*dt))</f>
        <v>0.0455077678936023</v>
      </c>
      <c r="BM122" s="57" t="n">
        <f aca="false">(1-EXP(-r_ich*rr_asa_ich*dt))</f>
        <v>0.00102357767802375</v>
      </c>
      <c r="BN122" s="57" t="n">
        <f aca="false">(1-EXP(-r_mb*rr_asa_mb*dt))</f>
        <v>0.00951809672747972</v>
      </c>
      <c r="BO122" s="57" t="n">
        <f aca="false">(1-EXP(-r_mi*rr_asa_mi*dt))</f>
        <v>0.00213413516393479</v>
      </c>
      <c r="BP122" s="57" t="n">
        <f aca="false">(1-EXP(-r_tia*rr_asa_tia*dt))</f>
        <v>0.00312764565589152</v>
      </c>
      <c r="BQ122" s="57" t="n">
        <f aca="false">(1-EXP(-r_minor*rr_asa_minor*dt))</f>
        <v>0.0278181950466747</v>
      </c>
      <c r="BR122" s="57" t="n">
        <f aca="false">BK122*BL122</f>
        <v>7.10710201172649E-008</v>
      </c>
      <c r="BS122" s="57" t="n">
        <f aca="false">BK122*BM122</f>
        <v>1.59855587548244E-009</v>
      </c>
      <c r="BT122" s="57" t="n">
        <f aca="false">BK122*BN122</f>
        <v>1.48647335456742E-008</v>
      </c>
      <c r="BU122" s="57" t="n">
        <f aca="false">BK122*BO122</f>
        <v>3.33295105845644E-009</v>
      </c>
      <c r="BV122" s="57" t="n">
        <f aca="false">BK122*BP122</f>
        <v>4.88454999263526E-009</v>
      </c>
      <c r="BW122" s="57" t="n">
        <f aca="false">BK122*BQ122</f>
        <v>4.34446159699729E-008</v>
      </c>
      <c r="BX122" s="57" t="n">
        <f aca="false">BR122*f_stroke_fatal_recur</f>
        <v>2.64448158754331E-008</v>
      </c>
      <c r="BY122" s="57" t="n">
        <f aca="false">BR122*(1-f_stroke_fatal_recur)*f_stroke_major</f>
        <v>1.486052601253E-008</v>
      </c>
      <c r="BZ122" s="57" t="n">
        <f aca="false">BR122*(1-f_stroke_fatal_recur)*(1-f_stroke_major)</f>
        <v>2.97656782293018E-008</v>
      </c>
      <c r="CA122" s="57" t="n">
        <f aca="false">BS122*(1-f_bleed_fatal)</f>
        <v>1.46427718194191E-009</v>
      </c>
      <c r="CB122" s="57" t="n">
        <f aca="false">BT122*(1-f_bleed_fatal)</f>
        <v>1.36160959278375E-008</v>
      </c>
      <c r="CC122" s="57" t="n">
        <f aca="false">BU122*f_mi_fatal</f>
        <v>4.0328707807323E-010</v>
      </c>
      <c r="CD122" s="57" t="n">
        <f aca="false">BU122-CC122</f>
        <v>2.92966398038321E-009</v>
      </c>
      <c r="CE122" s="57" t="n">
        <f aca="false">BK122-BR122-BS122-BT122-CC122</f>
        <v>1.47379622173798E-006</v>
      </c>
      <c r="CF122" s="19" t="n">
        <f aca="false">BX122*c_stroke_fatal+BY122*c_stroke_major+BZ122*c_stroke_minor+BS122*c_ich+BT122*c_major_bleed+CC122*c_mi_fatal+CD122*c_mi_nonfatal+BV122*c_tia+BW122*c_minor_bleed</f>
        <v>0.00266079054717256</v>
      </c>
      <c r="CG122" s="57" t="n">
        <f aca="false">dt*(CD122*dec_mi+CB122*dec_major_bleed+BW122*dec_minor_bleed+BV122*dec_tia)</f>
        <v>6.71694369940009E-010</v>
      </c>
      <c r="CH122" s="57" t="n">
        <f aca="false">I122*BJ122+BX122+BS122-CA122+BT122-CB122+CC122</f>
        <v>1.50650017881545E-006</v>
      </c>
      <c r="CI122" s="57" t="n">
        <f aca="false">1-EXP(LN(1-E122)*dt)</f>
        <v>0.251431166108985</v>
      </c>
      <c r="CJ122" s="57" t="n">
        <f aca="false">J122*(1-CI122)</f>
        <v>5.89957345061726E-005</v>
      </c>
      <c r="CK122" s="57" t="n">
        <f aca="false">(1-EXP(-r_stroke*F122*rr_asa_stroke*dt))</f>
        <v>0.0209482779911053</v>
      </c>
      <c r="CL122" s="57" t="n">
        <f aca="false">(1-EXP(-r_ich*rr_asa_ich*dt))</f>
        <v>0.00102357767802375</v>
      </c>
      <c r="CM122" s="57" t="n">
        <f aca="false">(1-EXP(-r_mb*rr_asa_mb*dt))</f>
        <v>0.00951809672747972</v>
      </c>
      <c r="CN122" s="57" t="n">
        <f aca="false">(1-EXP(-r_mi*rr_asa_mi*dt))</f>
        <v>0.00213413516393479</v>
      </c>
      <c r="CO122" s="57" t="n">
        <f aca="false">(1-EXP(-r_tia*rr_asa_tia*dt))</f>
        <v>0.00312764565589152</v>
      </c>
      <c r="CP122" s="57" t="n">
        <f aca="false">(1-EXP(-r_minor*rr_asa_minor*dt))</f>
        <v>0.0278181950466747</v>
      </c>
      <c r="CQ122" s="57" t="n">
        <f aca="false">CJ122*CK122</f>
        <v>1.23585904672475E-006</v>
      </c>
      <c r="CR122" s="57" t="n">
        <f aca="false">CJ122*CL122</f>
        <v>6.03867169391336E-008</v>
      </c>
      <c r="CS122" s="57" t="n">
        <f aca="false">CJ122*CM122</f>
        <v>5.61527107538464E-007</v>
      </c>
      <c r="CT122" s="57" t="n">
        <f aca="false">CJ122*CN122</f>
        <v>1.25904871531784E-007</v>
      </c>
      <c r="CU122" s="57" t="n">
        <f aca="false">CJ122*CO122</f>
        <v>1.8451775274436E-007</v>
      </c>
      <c r="CV122" s="57" t="n">
        <f aca="false">CJ122*CP122</f>
        <v>1.64115484941455E-006</v>
      </c>
      <c r="CW122" s="57" t="n">
        <f aca="false">CQ122*f_stroke_fatal</f>
        <v>2.92898594073765E-007</v>
      </c>
      <c r="CX122" s="57" t="n">
        <f aca="false">CQ122*(1-f_stroke_fatal)*f_stroke_major</f>
        <v>3.14005830732777E-007</v>
      </c>
      <c r="CY122" s="57" t="n">
        <f aca="false">CQ122*(1-f_stroke_fatal)*(1-f_stroke_major)</f>
        <v>6.28954621918206E-007</v>
      </c>
      <c r="CZ122" s="57" t="n">
        <f aca="false">CR122*(1-f_bleed_fatal)</f>
        <v>5.53142327162463E-008</v>
      </c>
      <c r="DA122" s="57" t="n">
        <f aca="false">CS122*(1-f_bleed_fatal)</f>
        <v>5.14358830505233E-007</v>
      </c>
      <c r="DB122" s="57" t="n">
        <f aca="false">CT122*f_mi_fatal</f>
        <v>1.52344894553459E-008</v>
      </c>
      <c r="DC122" s="57" t="n">
        <f aca="false">CT122-DB122</f>
        <v>1.10670382076438E-007</v>
      </c>
      <c r="DD122" s="57" t="n">
        <f aca="false">CJ122-CQ122-CR122-CS122-DB122</f>
        <v>5.71227271455149E-005</v>
      </c>
      <c r="DE122" s="19" t="n">
        <f aca="false">CW122*c_stroke_fatal+CX122*c_stroke_major+CY122*c_stroke_minor+CR122*c_ich+CS122*c_major_bleed+DB122*c_mi_fatal+DC122*c_mi_nonfatal+CU122*c_tia+CV122*c_minor_bleed</f>
        <v>0.0536063265336047</v>
      </c>
      <c r="DF122" s="57" t="n">
        <f aca="false">dt*(DC122*dec_mi+DA122*dec_major_bleed+CV122*dec_minor_bleed+CU122*dec_tia)</f>
        <v>2.53737879352736E-008</v>
      </c>
      <c r="DG122" s="57" t="n">
        <f aca="false">J122*CI122+CW122+CR122-CZ122+CS122-DA122+DB122</f>
        <v>2.01760082270506E-005</v>
      </c>
      <c r="DH122" s="57" t="n">
        <f aca="false">AG122</f>
        <v>8.95129481501577E-005</v>
      </c>
      <c r="DI122" s="57" t="n">
        <f aca="false">AB122+AC122+BF122+BA122+BB122+BC122+CY122+CZ122</f>
        <v>4.3250969230558E-006</v>
      </c>
      <c r="DJ122" s="57" t="n">
        <f aca="false">AA122+AZ122+BY122+CX122+CE122+BZ122+CA122+CB122</f>
        <v>2.11597463905066E-006</v>
      </c>
      <c r="DK122" s="57" t="n">
        <f aca="false">AD122+DD122+DA122</f>
        <v>5.81960430667008E-005</v>
      </c>
      <c r="DL122" s="57" t="n">
        <f aca="false">K122+AJ122+BI122+CH122+DG122</f>
        <v>0.999845849937221</v>
      </c>
      <c r="DM122" s="58" t="n">
        <f aca="false">SUM(DH122:DL122)</f>
        <v>1</v>
      </c>
      <c r="DN122" s="19" t="n">
        <f aca="false">dt*(G122*Apixaban!$H$2+(H122+I122+J122)*c_aspirin)</f>
        <v>0.00994129564424141</v>
      </c>
      <c r="DO122" s="19" t="n">
        <f aca="false">dt*(H122*c_lt_minor_stroke+I122*c_lt_major_stroke)</f>
        <v>0.0365864596226889</v>
      </c>
      <c r="DP122" s="19" t="n">
        <f aca="false">AH122+BG122+CF122+DE122</f>
        <v>0.105182322998157</v>
      </c>
      <c r="DQ122" s="19" t="n">
        <f aca="false">DN122+DO122+DP122</f>
        <v>0.151710078265087</v>
      </c>
      <c r="DR122" s="57" t="n">
        <f aca="false">dt*(G122*(u_af-dec_per_year_over_70*MAX(B122-ref_age,0))+H122*(u_minor_stroke-dec_per_year_over_70*MAX(B122-ref_age,0))+I122*(u_major_stroke-dec_per_year_over_70*MAX(B122-ref_age,0))+J122*(u_af-dec_per_year_over_70*MAX(B122-ref_age,0)))-AI122-BH122-CG122-DF122</f>
        <v>4.15288357226477E-005</v>
      </c>
      <c r="DS122" s="57" t="n">
        <f aca="false">dt*(G122+H122+I122+J122)</f>
        <v>5.24530080736118E-005</v>
      </c>
      <c r="DT122" s="19" t="n">
        <f aca="false">DQ122*C122</f>
        <v>0.0985142844368586</v>
      </c>
      <c r="DU122" s="19" t="n">
        <f aca="false">DN122*C122</f>
        <v>0.00645546846964537</v>
      </c>
      <c r="DV122" s="19" t="n">
        <f aca="false">DP122*C122</f>
        <v>0.0683010740226778</v>
      </c>
      <c r="DW122" s="19" t="n">
        <f aca="false">DO122*C122</f>
        <v>0.0237577419445355</v>
      </c>
      <c r="DX122" s="57" t="n">
        <f aca="false">DR122*C122</f>
        <v>2.69671176859052E-005</v>
      </c>
      <c r="DY122" s="57" t="n">
        <f aca="false">DS122*C122</f>
        <v>3.40608258595948E-005</v>
      </c>
      <c r="DZ122" s="57" t="n">
        <f aca="false">T122+AS122+BR122+CQ122</f>
        <v>2.38918467753788E-006</v>
      </c>
      <c r="EA122" s="57" t="n">
        <f aca="false">U122+AT122+BS122+CR122</f>
        <v>1.4212937208352E-007</v>
      </c>
      <c r="EB122" s="57" t="n">
        <f aca="false">V122+AU122+BT122+CS122</f>
        <v>1.21688465855519E-006</v>
      </c>
      <c r="EC122" s="57" t="n">
        <f aca="false">G122*dt*C122</f>
        <v>1.97678709834035E-005</v>
      </c>
    </row>
    <row r="123" customFormat="false" ht="15" hidden="false" customHeight="false" outlineLevel="0" collapsed="false">
      <c r="A123" s="8" t="n">
        <v>117</v>
      </c>
      <c r="B123" s="54" t="n">
        <f aca="false">start_age+A123*dt</f>
        <v>99.25</v>
      </c>
      <c r="C123" s="16" t="n">
        <f aca="false">(1+disc_rate)^-(A123*dt)</f>
        <v>0.646946345893078</v>
      </c>
      <c r="D123" s="55" t="n">
        <f aca="false">IF(A123*dt&gt;=wane_start,(1-wane_decay)^(A123*dt-wane_start),1)</f>
        <v>1</v>
      </c>
      <c r="E123" s="25" t="n">
        <f aca="false">MIN(p_nonvasc_death*MIN(EXP(gomp_int+gomp_slope*INT(B123)),1)/qx_ref,0.999)</f>
        <v>0.68600193880086</v>
      </c>
      <c r="F123" s="55" t="n">
        <f aca="false">rr_stroke_per_decade^((B123-ref_age)/10)</f>
        <v>3.27391147966029</v>
      </c>
      <c r="G123" s="57" t="n">
        <f aca="false">DH122</f>
        <v>8.95129481501577E-005</v>
      </c>
      <c r="H123" s="57" t="n">
        <f aca="false">DI122</f>
        <v>4.3250969230558E-006</v>
      </c>
      <c r="I123" s="57" t="n">
        <f aca="false">DJ122</f>
        <v>2.11597463905066E-006</v>
      </c>
      <c r="J123" s="57" t="n">
        <f aca="false">DK122</f>
        <v>5.81960430667008E-005</v>
      </c>
      <c r="K123" s="57" t="n">
        <f aca="false">DL122</f>
        <v>0.999845849937221</v>
      </c>
      <c r="L123" s="57" t="n">
        <f aca="false">1-EXP(LN(1-E123)*dt)</f>
        <v>0.251431166108985</v>
      </c>
      <c r="M123" s="57" t="n">
        <f aca="false">G123*(1-L123)</f>
        <v>6.70066032149105E-005</v>
      </c>
      <c r="N123" s="57" t="n">
        <f aca="false">IF(Apixaban!$B$2=1,EXP(LN(or_apx_stroke)*D123)*(1-EXP(-r_stroke*F123*dt))/(1-(1-EXP(-r_stroke*F123*dt))+EXP(LN(or_apx_stroke)*D123)*(1-EXP(-r_stroke*F123*dt))),(1-EXP(-r_stroke*F123*dt)))</f>
        <v>0.0103892925647051</v>
      </c>
      <c r="O123" s="57" t="n">
        <f aca="false">IF(Apixaban!$B$2=1,EXP(LN(or_apx_ich)*D123)*(1-EXP(-r_ich*dt))/(1-(1-EXP(-r_ich*dt))+EXP(LN(or_apx_ich)*D123)*(1-EXP(-r_ich*dt))),(1-EXP(-r_ich*dt)))</f>
        <v>0.000843513249640701</v>
      </c>
      <c r="P123" s="57" t="n">
        <f aca="false">IF(Apixaban!$B$2=1,EXP(LN(or_apx_mb)*D123)*(1-EXP(-r_mb*dt))/(1-(1-EXP(-r_mb*dt))+EXP(LN(or_apx_mb)*D123)*(1-EXP(-r_mb*dt))),(1-EXP(-r_mb*dt)))</f>
        <v>0.00669446907979895</v>
      </c>
      <c r="Q123" s="57" t="n">
        <f aca="false">IF(Apixaban!$B$2=1,EXP(LN(or_apx_mi)*D123)*(1-EXP(-r_mi*dt))/(1-(1-EXP(-r_mi*dt))+EXP(LN(or_apx_mi)*D123)*(1-EXP(-r_mi*dt))),(1-EXP(-r_mi*dt)))</f>
        <v>0.00132321915530843</v>
      </c>
      <c r="R123" s="57" t="n">
        <f aca="false">(1-EXP(-r_tia*dt))</f>
        <v>0.0020060281549299</v>
      </c>
      <c r="S123" s="57" t="n">
        <f aca="false">(1-EXP(-r_minor*dt))</f>
        <v>0.0437937690785545</v>
      </c>
      <c r="T123" s="57" t="n">
        <f aca="false">M123*N123</f>
        <v>6.96151204566817E-007</v>
      </c>
      <c r="U123" s="57" t="n">
        <f aca="false">M123*O123</f>
        <v>5.65209576251941E-008</v>
      </c>
      <c r="V123" s="57" t="n">
        <f aca="false">M123*P123</f>
        <v>4.48573633364575E-007</v>
      </c>
      <c r="W123" s="57" t="n">
        <f aca="false">M123*Q123</f>
        <v>8.86644209061209E-008</v>
      </c>
      <c r="X123" s="57" t="n">
        <f aca="false">M123*R123</f>
        <v>1.34417132615326E-007</v>
      </c>
      <c r="Y123" s="57" t="n">
        <f aca="false">M123*S123</f>
        <v>2.93447170793211E-006</v>
      </c>
      <c r="Z123" s="57" t="n">
        <f aca="false">T123*f_stroke_fatal</f>
        <v>1.64987835482336E-007</v>
      </c>
      <c r="AA123" s="57" t="n">
        <f aca="false">T123*(1-f_stroke_fatal)*f_stroke_major</f>
        <v>1.76877401905132E-007</v>
      </c>
      <c r="AB123" s="57" t="n">
        <f aca="false">T123*(1-f_stroke_fatal)*(1-f_stroke_major)</f>
        <v>3.54285967179349E-007</v>
      </c>
      <c r="AC123" s="57" t="n">
        <f aca="false">U123*(1-f_bleed_fatal)</f>
        <v>5.17731971846778E-008</v>
      </c>
      <c r="AD123" s="57" t="n">
        <f aca="false">V123*(1-f_bleed_fatal)</f>
        <v>4.10893448161951E-007</v>
      </c>
      <c r="AE123" s="57" t="n">
        <f aca="false">W123*f_mi_fatal</f>
        <v>1.07283949296406E-008</v>
      </c>
      <c r="AF123" s="57" t="n">
        <f aca="false">W123-AE123</f>
        <v>7.79360259764802E-008</v>
      </c>
      <c r="AG123" s="57" t="n">
        <f aca="false">M123-T123-U123-V123-AE123</f>
        <v>6.57946290244242E-005</v>
      </c>
      <c r="AH123" s="19" t="n">
        <f aca="false">Z123*c_stroke_fatal+AA123*c_stroke_major+AB123*c_stroke_minor+U123*c_ich+V123*c_major_bleed+AE123*c_mi_fatal+AF123*c_mi_nonfatal+X123*c_tia+Y123*c_minor_bleed</f>
        <v>0.0322322817872392</v>
      </c>
      <c r="AI123" s="57" t="n">
        <f aca="false">dt*(AF123*dec_mi+AD123*dec_major_bleed+Y123*dec_minor_bleed+X123*dec_tia)</f>
        <v>2.48843243351139E-008</v>
      </c>
      <c r="AJ123" s="57" t="n">
        <f aca="false">G123*L123+Z123+U123-AC123+V123-AD123+AE123</f>
        <v>2.27244891113024E-005</v>
      </c>
      <c r="AK123" s="57" t="n">
        <f aca="false">1-EXP(LN(1-E123)*hr_death_prior_stroke*dt)</f>
        <v>0.486272273512471</v>
      </c>
      <c r="AL123" s="57" t="n">
        <f aca="false">H123*(1-AK123)</f>
        <v>2.22192220911966E-006</v>
      </c>
      <c r="AM123" s="57" t="n">
        <f aca="false">(1-EXP(-r_stroke*F123*rr_stroke_prior*rr_asa_stroke*dt))</f>
        <v>0.0459605882460595</v>
      </c>
      <c r="AN123" s="57" t="n">
        <f aca="false">(1-EXP(-r_ich*rr_asa_ich*dt))</f>
        <v>0.00102357767802375</v>
      </c>
      <c r="AO123" s="57" t="n">
        <f aca="false">(1-EXP(-r_mb*rr_asa_mb*dt))</f>
        <v>0.00951809672747972</v>
      </c>
      <c r="AP123" s="57" t="n">
        <f aca="false">(1-EXP(-r_mi*rr_asa_mi*dt))</f>
        <v>0.00213413516393479</v>
      </c>
      <c r="AQ123" s="57" t="n">
        <f aca="false">(1-EXP(-r_tia*rr_asa_tia*dt))</f>
        <v>0.00312764565589152</v>
      </c>
      <c r="AR123" s="57" t="n">
        <f aca="false">(1-EXP(-r_minor*rr_asa_minor*dt))</f>
        <v>0.0278181950466747</v>
      </c>
      <c r="AS123" s="57" t="n">
        <f aca="false">AL123*AM123</f>
        <v>1.02120851768124E-007</v>
      </c>
      <c r="AT123" s="57" t="n">
        <f aca="false">AL123*AN123</f>
        <v>2.2743099755601E-009</v>
      </c>
      <c r="AU123" s="57" t="n">
        <f aca="false">AL123*AO123</f>
        <v>2.11484705073364E-008</v>
      </c>
      <c r="AV123" s="57" t="n">
        <f aca="false">AL123*AP123</f>
        <v>4.74188231800995E-009</v>
      </c>
      <c r="AW123" s="57" t="n">
        <f aca="false">AL123*AQ123</f>
        <v>6.949385345082E-009</v>
      </c>
      <c r="AX123" s="57" t="n">
        <f aca="false">AL123*AR123</f>
        <v>6.18098653918291E-008</v>
      </c>
      <c r="AY123" s="57" t="n">
        <f aca="false">AS123*f_stroke_fatal_recur</f>
        <v>3.79981477344012E-008</v>
      </c>
      <c r="AZ123" s="57" t="n">
        <f aca="false">AS123*(1-f_stroke_fatal_recur)*f_stroke_major</f>
        <v>2.13528604432296E-008</v>
      </c>
      <c r="BA123" s="57" t="n">
        <f aca="false">AS123*(1-f_stroke_fatal_recur)*(1-f_stroke_major)</f>
        <v>4.2769843590493E-008</v>
      </c>
      <c r="BB123" s="57" t="n">
        <f aca="false">AT123*(1-f_bleed_fatal)</f>
        <v>2.08326793761305E-009</v>
      </c>
      <c r="BC123" s="57" t="n">
        <f aca="false">AU123*(1-f_bleed_fatal)</f>
        <v>1.93719989847201E-008</v>
      </c>
      <c r="BD123" s="57" t="n">
        <f aca="false">AV123*f_mi_fatal</f>
        <v>5.73767760479203E-010</v>
      </c>
      <c r="BE123" s="57" t="n">
        <f aca="false">AV123-BD123</f>
        <v>4.16811455753074E-009</v>
      </c>
      <c r="BF123" s="57" t="n">
        <f aca="false">AL123-AS123-AT123-AU123-BD123</f>
        <v>2.09580480910816E-006</v>
      </c>
      <c r="BG123" s="19" t="n">
        <f aca="false">AY123*c_stroke_fatal+AZ123*c_stroke_major+BA123*c_stroke_minor+AT123*c_ich+AU123*c_major_bleed+BD123*c_mi_fatal+BE123*c_mi_nonfatal+AW123*c_tia+AX123*c_minor_bleed</f>
        <v>0.00382027170535411</v>
      </c>
      <c r="BH123" s="57" t="n">
        <f aca="false">dt*(BE123*dec_mi+BC123*dec_major_bleed+AX123*dec_minor_bleed+AW123*dec_tia)</f>
        <v>9.55638291730705E-010</v>
      </c>
      <c r="BI123" s="57" t="n">
        <f aca="false">H123*AK123+AY123+AT123-BB123+AU123-BC123+BD123</f>
        <v>2.14371414299158E-006</v>
      </c>
      <c r="BJ123" s="57" t="n">
        <f aca="false">1-EXP(LN(1-E123)*hr_death_prior_stroke*dt)</f>
        <v>0.486272273512471</v>
      </c>
      <c r="BK123" s="57" t="n">
        <f aca="false">I123*(1-BJ123)</f>
        <v>1.08703484062476E-006</v>
      </c>
      <c r="BL123" s="57" t="n">
        <f aca="false">(1-EXP(-r_stroke*F123*rr_stroke_prior*rr_asa_stroke*dt))</f>
        <v>0.0459605882460595</v>
      </c>
      <c r="BM123" s="57" t="n">
        <f aca="false">(1-EXP(-r_ich*rr_asa_ich*dt))</f>
        <v>0.00102357767802375</v>
      </c>
      <c r="BN123" s="57" t="n">
        <f aca="false">(1-EXP(-r_mb*rr_asa_mb*dt))</f>
        <v>0.00951809672747972</v>
      </c>
      <c r="BO123" s="57" t="n">
        <f aca="false">(1-EXP(-r_mi*rr_asa_mi*dt))</f>
        <v>0.00213413516393479</v>
      </c>
      <c r="BP123" s="57" t="n">
        <f aca="false">(1-EXP(-r_tia*rr_asa_tia*dt))</f>
        <v>0.00312764565589152</v>
      </c>
      <c r="BQ123" s="57" t="n">
        <f aca="false">(1-EXP(-r_minor*rr_asa_minor*dt))</f>
        <v>0.0278181950466747</v>
      </c>
      <c r="BR123" s="57" t="n">
        <f aca="false">BK123*BL123</f>
        <v>4.99607607190757E-008</v>
      </c>
      <c r="BS123" s="57" t="n">
        <f aca="false">BK123*BM123</f>
        <v>1.11266459809761E-009</v>
      </c>
      <c r="BT123" s="57" t="n">
        <f aca="false">BK123*BN123</f>
        <v>1.0346502759207E-008</v>
      </c>
      <c r="BU123" s="57" t="n">
        <f aca="false">BK123*BO123</f>
        <v>2.31987927779956E-009</v>
      </c>
      <c r="BV123" s="57" t="n">
        <f aca="false">BK123*BP123</f>
        <v>3.39985979708278E-009</v>
      </c>
      <c r="BW123" s="57" t="n">
        <f aca="false">BK123*BQ123</f>
        <v>3.02393472190307E-008</v>
      </c>
      <c r="BX123" s="57" t="n">
        <f aca="false">BR123*f_stroke_fatal_recur</f>
        <v>1.85898994559609E-008</v>
      </c>
      <c r="BY123" s="57" t="n">
        <f aca="false">BR123*(1-f_stroke_fatal_recur)*f_stroke_major</f>
        <v>1.04464968006172E-008</v>
      </c>
      <c r="BZ123" s="57" t="n">
        <f aca="false">BR123*(1-f_stroke_fatal_recur)*(1-f_stroke_major)</f>
        <v>2.09243644624976E-008</v>
      </c>
      <c r="CA123" s="57" t="n">
        <f aca="false">BS123*(1-f_bleed_fatal)</f>
        <v>1.01920077185741E-009</v>
      </c>
      <c r="CB123" s="57" t="n">
        <f aca="false">BT123*(1-f_bleed_fatal)</f>
        <v>9.47739652743362E-009</v>
      </c>
      <c r="CC123" s="57" t="n">
        <f aca="false">BU123*f_mi_fatal</f>
        <v>2.80705392613747E-010</v>
      </c>
      <c r="CD123" s="57" t="n">
        <f aca="false">BU123-CC123</f>
        <v>2.03917388518581E-009</v>
      </c>
      <c r="CE123" s="57" t="n">
        <f aca="false">BK123-BR123-BS123-BT123-CC123</f>
        <v>1.02533420715577E-006</v>
      </c>
      <c r="CF123" s="19" t="n">
        <f aca="false">BX123*c_stroke_fatal+BY123*c_stroke_major+BZ123*c_stroke_minor+BS123*c_ich+BT123*c_major_bleed+CC123*c_mi_fatal+CD123*c_mi_nonfatal+BV123*c_tia+BW123*c_minor_bleed</f>
        <v>0.00186899812573468</v>
      </c>
      <c r="CG123" s="57" t="n">
        <f aca="false">dt*(CD123*dec_mi+CB123*dec_major_bleed+BW123*dec_minor_bleed+BV123*dec_tia)</f>
        <v>4.67528572279761E-010</v>
      </c>
      <c r="CH123" s="57" t="n">
        <f aca="false">I123*BJ123+BX123+BS123-CA123+BT123-CB123+CC123</f>
        <v>1.04877297333248E-006</v>
      </c>
      <c r="CI123" s="57" t="n">
        <f aca="false">1-EXP(LN(1-E123)*dt)</f>
        <v>0.251431166108985</v>
      </c>
      <c r="CJ123" s="57" t="n">
        <f aca="false">J123*(1-CI123)</f>
        <v>4.35637440955115E-005</v>
      </c>
      <c r="CK123" s="57" t="n">
        <f aca="false">(1-EXP(-r_stroke*F123*rr_asa_stroke*dt))</f>
        <v>0.0211594287739471</v>
      </c>
      <c r="CL123" s="57" t="n">
        <f aca="false">(1-EXP(-r_ich*rr_asa_ich*dt))</f>
        <v>0.00102357767802375</v>
      </c>
      <c r="CM123" s="57" t="n">
        <f aca="false">(1-EXP(-r_mb*rr_asa_mb*dt))</f>
        <v>0.00951809672747972</v>
      </c>
      <c r="CN123" s="57" t="n">
        <f aca="false">(1-EXP(-r_mi*rr_asa_mi*dt))</f>
        <v>0.00213413516393479</v>
      </c>
      <c r="CO123" s="57" t="n">
        <f aca="false">(1-EXP(-r_tia*rr_asa_tia*dt))</f>
        <v>0.00312764565589152</v>
      </c>
      <c r="CP123" s="57" t="n">
        <f aca="false">(1-EXP(-r_minor*rr_asa_minor*dt))</f>
        <v>0.0278181950466747</v>
      </c>
      <c r="CQ123" s="57" t="n">
        <f aca="false">CJ123*CK123</f>
        <v>9.21783940315432E-007</v>
      </c>
      <c r="CR123" s="57" t="n">
        <f aca="false">CJ123*CL123</f>
        <v>4.45908760273043E-008</v>
      </c>
      <c r="CS123" s="57" t="n">
        <f aca="false">CJ123*CM123</f>
        <v>4.14643930112252E-007</v>
      </c>
      <c r="CT123" s="57" t="n">
        <f aca="false">CJ123*CN123</f>
        <v>9.29709181468877E-008</v>
      </c>
      <c r="CU123" s="57" t="n">
        <f aca="false">CJ123*CO123</f>
        <v>1.36251954974696E-007</v>
      </c>
      <c r="CV123" s="57" t="n">
        <f aca="false">CJ123*CP123</f>
        <v>1.21186473021236E-006</v>
      </c>
      <c r="CW123" s="57" t="n">
        <f aca="false">CQ123*f_stroke_fatal</f>
        <v>2.18462793854757E-007</v>
      </c>
      <c r="CX123" s="57" t="n">
        <f aca="false">CQ123*(1-f_stroke_fatal)*f_stroke_major</f>
        <v>2.34205941771405E-007</v>
      </c>
      <c r="CY123" s="57" t="n">
        <f aca="false">CQ123*(1-f_stroke_fatal)*(1-f_stroke_major)</f>
        <v>4.6911520468927E-007</v>
      </c>
      <c r="CZ123" s="57" t="n">
        <f aca="false">CR123*(1-f_bleed_fatal)</f>
        <v>4.08452424410108E-008</v>
      </c>
      <c r="DA123" s="57" t="n">
        <f aca="false">CS123*(1-f_bleed_fatal)</f>
        <v>3.79813839982823E-007</v>
      </c>
      <c r="DB123" s="57" t="n">
        <f aca="false">CT123*f_mi_fatal</f>
        <v>1.12494810957734E-008</v>
      </c>
      <c r="DC123" s="57" t="n">
        <f aca="false">CT123-DB123</f>
        <v>8.17214370511143E-008</v>
      </c>
      <c r="DD123" s="57" t="n">
        <f aca="false">CJ123-CQ123-CR123-CS123-DB123</f>
        <v>4.21714758679607E-005</v>
      </c>
      <c r="DE123" s="19" t="n">
        <f aca="false">CW123*c_stroke_fatal+CX123*c_stroke_major+CY123*c_stroke_minor+CR123*c_ich+CS123*c_major_bleed+DB123*c_mi_fatal+DC123*c_mi_nonfatal+CU123*c_tia+CV123*c_minor_bleed</f>
        <v>0.0399239505345753</v>
      </c>
      <c r="DF123" s="57" t="n">
        <f aca="false">dt*(DC123*dec_mi+DA123*dec_major_bleed+CV123*dec_minor_bleed+CU123*dec_tia)</f>
        <v>1.87365614412409E-008</v>
      </c>
      <c r="DG123" s="57" t="n">
        <f aca="false">J123*CI123+CW123+CR123-CZ123+CS123-DA123+DB123</f>
        <v>1.49005869698555E-005</v>
      </c>
      <c r="DH123" s="57" t="n">
        <f aca="false">AG123</f>
        <v>6.57946290244242E-005</v>
      </c>
      <c r="DI123" s="57" t="n">
        <f aca="false">AB123+AC123+BF123+BA123+BB123+BC123+CY123+CZ123</f>
        <v>3.0760495311153E-006</v>
      </c>
      <c r="DJ123" s="57" t="n">
        <f aca="false">AA123+AZ123+BY123+CX123+CE123+BZ123+CA123+CB123</f>
        <v>1.49963786983794E-006</v>
      </c>
      <c r="DK123" s="57" t="n">
        <f aca="false">AD123+DD123+DA123</f>
        <v>4.29621831561055E-005</v>
      </c>
      <c r="DL123" s="57" t="n">
        <f aca="false">K123+AJ123+BI123+CH123+DG123</f>
        <v>0.999886667500418</v>
      </c>
      <c r="DM123" s="58" t="n">
        <f aca="false">SUM(DH123:DL123)</f>
        <v>1</v>
      </c>
      <c r="DN123" s="19" t="n">
        <f aca="false">dt*(G123*Apixaban!$H$2+(H123+I123+J123)*c_aspirin)</f>
        <v>0.00730709643925593</v>
      </c>
      <c r="DO123" s="19" t="n">
        <f aca="false">dt*(H123*c_lt_minor_stroke+I123*c_lt_major_stroke)</f>
        <v>0.0255066300070188</v>
      </c>
      <c r="DP123" s="19" t="n">
        <f aca="false">AH123+BG123+CF123+DE123</f>
        <v>0.0778455021529033</v>
      </c>
      <c r="DQ123" s="19" t="n">
        <f aca="false">DN123+DO123+DP123</f>
        <v>0.110659228599178</v>
      </c>
      <c r="DR123" s="57" t="n">
        <f aca="false">dt*(G123*(u_af-dec_per_year_over_70*MAX(B123-ref_age,0))+H123*(u_minor_stroke-dec_per_year_over_70*MAX(B123-ref_age,0))+I123*(u_major_stroke-dec_per_year_over_70*MAX(B123-ref_age,0))+J123*(u_af-dec_per_year_over_70*MAX(B123-ref_age,0)))-AI123-BH123-CG123-DF123</f>
        <v>3.05260311562029E-005</v>
      </c>
      <c r="DS123" s="57" t="n">
        <f aca="false">dt*(G123+H123+I123+J123)</f>
        <v>3.85375156947412E-005</v>
      </c>
      <c r="DT123" s="19" t="n">
        <f aca="false">DQ123*C123</f>
        <v>0.071590583581585</v>
      </c>
      <c r="DU123" s="19" t="n">
        <f aca="false">DN123*C123</f>
        <v>0.00472729934046495</v>
      </c>
      <c r="DV123" s="19" t="n">
        <f aca="false">DP123*C123</f>
        <v>0.0503618631620326</v>
      </c>
      <c r="DW123" s="19" t="n">
        <f aca="false">DO123*C123</f>
        <v>0.0165014210790875</v>
      </c>
      <c r="DX123" s="57" t="n">
        <f aca="false">DR123*C123</f>
        <v>1.97487043111237E-005</v>
      </c>
      <c r="DY123" s="57" t="n">
        <f aca="false">DS123*C123</f>
        <v>2.493170495851E-005</v>
      </c>
      <c r="DZ123" s="57" t="n">
        <f aca="false">T123+AS123+BR123+CQ123</f>
        <v>1.77001675736945E-006</v>
      </c>
      <c r="EA123" s="57" t="n">
        <f aca="false">U123+AT123+BS123+CR123</f>
        <v>1.04498808226156E-007</v>
      </c>
      <c r="EB123" s="57" t="n">
        <f aca="false">V123+AU123+BT123+CS123</f>
        <v>8.9471253674337E-007</v>
      </c>
      <c r="EC123" s="57" t="n">
        <f aca="false">G123*dt*C123</f>
        <v>1.44775186789653E-005</v>
      </c>
    </row>
    <row r="124" customFormat="false" ht="15" hidden="false" customHeight="false" outlineLevel="0" collapsed="false">
      <c r="A124" s="8" t="n">
        <v>118</v>
      </c>
      <c r="B124" s="54" t="n">
        <f aca="false">start_age+A124*dt</f>
        <v>99.5</v>
      </c>
      <c r="C124" s="16" t="n">
        <f aca="false">(1+disc_rate)^-(A124*dt)</f>
        <v>0.644542788510317</v>
      </c>
      <c r="D124" s="55" t="n">
        <f aca="false">IF(A124*dt&gt;=wane_start,(1-wane_decay)^(A124*dt-wane_start),1)</f>
        <v>1</v>
      </c>
      <c r="E124" s="25" t="n">
        <f aca="false">MIN(p_nonvasc_death*MIN(EXP(gomp_int+gomp_slope*INT(B124)),1)/qx_ref,0.999)</f>
        <v>0.68600193880086</v>
      </c>
      <c r="F124" s="55" t="n">
        <f aca="false">rr_stroke_per_decade^((B124-ref_age)/10)</f>
        <v>3.30726667042988</v>
      </c>
      <c r="G124" s="57" t="n">
        <f aca="false">DH123</f>
        <v>6.57946290244242E-005</v>
      </c>
      <c r="H124" s="57" t="n">
        <f aca="false">DI123</f>
        <v>3.0760495311153E-006</v>
      </c>
      <c r="I124" s="57" t="n">
        <f aca="false">DJ123</f>
        <v>1.49963786983794E-006</v>
      </c>
      <c r="J124" s="57" t="n">
        <f aca="false">DK123</f>
        <v>4.29621831561055E-005</v>
      </c>
      <c r="K124" s="57" t="n">
        <f aca="false">DL123</f>
        <v>0.999886667500418</v>
      </c>
      <c r="L124" s="57" t="n">
        <f aca="false">1-EXP(LN(1-E124)*dt)</f>
        <v>0.251431166108985</v>
      </c>
      <c r="M124" s="57" t="n">
        <f aca="false">G124*(1-L124)</f>
        <v>4.92518087251052E-005</v>
      </c>
      <c r="N124" s="57" t="n">
        <f aca="false">IF(Apixaban!$B$2=1,EXP(LN(or_apx_stroke)*D124)*(1-EXP(-r_stroke*F124*dt))/(1-(1-EXP(-r_stroke*F124*dt))+EXP(LN(or_apx_stroke)*D124)*(1-EXP(-r_stroke*F124*dt))),(1-EXP(-r_stroke*F124*dt)))</f>
        <v>0.0104947296314644</v>
      </c>
      <c r="O124" s="57" t="n">
        <f aca="false">IF(Apixaban!$B$2=1,EXP(LN(or_apx_ich)*D124)*(1-EXP(-r_ich*dt))/(1-(1-EXP(-r_ich*dt))+EXP(LN(or_apx_ich)*D124)*(1-EXP(-r_ich*dt))),(1-EXP(-r_ich*dt)))</f>
        <v>0.000843513249640701</v>
      </c>
      <c r="P124" s="57" t="n">
        <f aca="false">IF(Apixaban!$B$2=1,EXP(LN(or_apx_mb)*D124)*(1-EXP(-r_mb*dt))/(1-(1-EXP(-r_mb*dt))+EXP(LN(or_apx_mb)*D124)*(1-EXP(-r_mb*dt))),(1-EXP(-r_mb*dt)))</f>
        <v>0.00669446907979895</v>
      </c>
      <c r="Q124" s="57" t="n">
        <f aca="false">IF(Apixaban!$B$2=1,EXP(LN(or_apx_mi)*D124)*(1-EXP(-r_mi*dt))/(1-(1-EXP(-r_mi*dt))+EXP(LN(or_apx_mi)*D124)*(1-EXP(-r_mi*dt))),(1-EXP(-r_mi*dt)))</f>
        <v>0.00132321915530843</v>
      </c>
      <c r="R124" s="57" t="n">
        <f aca="false">(1-EXP(-r_tia*dt))</f>
        <v>0.0020060281549299</v>
      </c>
      <c r="S124" s="57" t="n">
        <f aca="false">(1-EXP(-r_minor*dt))</f>
        <v>0.0437937690785545</v>
      </c>
      <c r="T124" s="57" t="n">
        <f aca="false">M124*N124</f>
        <v>5.16884416430578E-007</v>
      </c>
      <c r="U124" s="57" t="n">
        <f aca="false">M124*O124</f>
        <v>4.15445532283957E-008</v>
      </c>
      <c r="V124" s="57" t="n">
        <f aca="false">M124*P124</f>
        <v>3.29714710634389E-007</v>
      </c>
      <c r="W124" s="57" t="n">
        <f aca="false">M124*Q124</f>
        <v>6.5170936738646E-008</v>
      </c>
      <c r="X124" s="57" t="n">
        <f aca="false">M124*R124</f>
        <v>9.88005149837829E-008</v>
      </c>
      <c r="Y124" s="57" t="n">
        <f aca="false">M124*S124</f>
        <v>2.15692233800839E-006</v>
      </c>
      <c r="Z124" s="57" t="n">
        <f aca="false">T124*f_stroke_fatal</f>
        <v>1.22501606694047E-007</v>
      </c>
      <c r="AA124" s="57" t="n">
        <f aca="false">T124*(1-f_stroke_fatal)*f_stroke_major</f>
        <v>1.31329475642265E-007</v>
      </c>
      <c r="AB124" s="57" t="n">
        <f aca="false">T124*(1-f_stroke_fatal)*(1-f_stroke_major)</f>
        <v>2.63053334094266E-007</v>
      </c>
      <c r="AC124" s="57" t="n">
        <f aca="false">U124*(1-f_bleed_fatal)</f>
        <v>3.80548107572105E-008</v>
      </c>
      <c r="AD124" s="57" t="n">
        <f aca="false">V124*(1-f_bleed_fatal)</f>
        <v>3.020186749411E-007</v>
      </c>
      <c r="AE124" s="57" t="n">
        <f aca="false">W124*f_mi_fatal</f>
        <v>7.88568334537616E-009</v>
      </c>
      <c r="AF124" s="57" t="n">
        <f aca="false">W124-AE124</f>
        <v>5.72852533932698E-008</v>
      </c>
      <c r="AG124" s="57" t="n">
        <f aca="false">M124-T124-U124-V124-AE124</f>
        <v>4.83557793614664E-005</v>
      </c>
      <c r="AH124" s="19" t="n">
        <f aca="false">Z124*c_stroke_fatal+AA124*c_stroke_major+AB124*c_stroke_minor+U124*c_ich+V124*c_major_bleed+AE124*c_mi_fatal+AF124*c_mi_nonfatal+X124*c_tia+Y124*c_minor_bleed</f>
        <v>0.0238835355040139</v>
      </c>
      <c r="AI124" s="57" t="n">
        <f aca="false">dt*(AF124*dec_mi+AD124*dec_major_bleed+Y124*dec_minor_bleed+X124*dec_tia)</f>
        <v>1.82907045515447E-008</v>
      </c>
      <c r="AJ124" s="57" t="n">
        <f aca="false">G124*L124+Z124+U124-AC124+V124-AD124+AE124</f>
        <v>1.67043933675229E-005</v>
      </c>
      <c r="AK124" s="57" t="n">
        <f aca="false">1-EXP(LN(1-E124)*hr_death_prior_stroke*dt)</f>
        <v>0.486272273512471</v>
      </c>
      <c r="AL124" s="57" t="n">
        <f aca="false">H124*(1-AK124)</f>
        <v>1.58025193218289E-006</v>
      </c>
      <c r="AM124" s="57" t="n">
        <f aca="false">(1-EXP(-r_stroke*F124*rr_stroke_prior*rr_asa_stroke*dt))</f>
        <v>0.0464178038964457</v>
      </c>
      <c r="AN124" s="57" t="n">
        <f aca="false">(1-EXP(-r_ich*rr_asa_ich*dt))</f>
        <v>0.00102357767802375</v>
      </c>
      <c r="AO124" s="57" t="n">
        <f aca="false">(1-EXP(-r_mb*rr_asa_mb*dt))</f>
        <v>0.00951809672747972</v>
      </c>
      <c r="AP124" s="57" t="n">
        <f aca="false">(1-EXP(-r_mi*rr_asa_mi*dt))</f>
        <v>0.00213413516393479</v>
      </c>
      <c r="AQ124" s="57" t="n">
        <f aca="false">(1-EXP(-r_tia*rr_asa_tia*dt))</f>
        <v>0.00312764565589152</v>
      </c>
      <c r="AR124" s="57" t="n">
        <f aca="false">(1-EXP(-r_minor*rr_asa_minor*dt))</f>
        <v>0.0278181950466747</v>
      </c>
      <c r="AS124" s="57" t="n">
        <f aca="false">AL124*AM124</f>
        <v>7.33518242950448E-008</v>
      </c>
      <c r="AT124" s="57" t="n">
        <f aca="false">AL124*AN124</f>
        <v>1.6175106034363E-009</v>
      </c>
      <c r="AU124" s="57" t="n">
        <f aca="false">AL124*AO124</f>
        <v>1.50409907443035E-008</v>
      </c>
      <c r="AV124" s="57" t="n">
        <f aca="false">AL124*AP124</f>
        <v>3.37247121634741E-009</v>
      </c>
      <c r="AW124" s="57" t="n">
        <f aca="false">AL124*AQ124</f>
        <v>4.942468090906E-009</v>
      </c>
      <c r="AX124" s="57" t="n">
        <f aca="false">AL124*AR124</f>
        <v>4.39597564723483E-008</v>
      </c>
      <c r="AY124" s="57" t="n">
        <f aca="false">AS124*f_stroke_fatal_recur</f>
        <v>2.72934803019432E-008</v>
      </c>
      <c r="AZ124" s="57" t="n">
        <f aca="false">AS124*(1-f_stroke_fatal_recur)*f_stroke_major</f>
        <v>1.53374285497028E-008</v>
      </c>
      <c r="BA124" s="57" t="n">
        <f aca="false">AS124*(1-f_stroke_fatal_recur)*(1-f_stroke_major)</f>
        <v>3.07209154433988E-008</v>
      </c>
      <c r="BB124" s="57" t="n">
        <f aca="false">AT124*(1-f_bleed_fatal)</f>
        <v>1.48163971274765E-009</v>
      </c>
      <c r="BC124" s="57" t="n">
        <f aca="false">AU124*(1-f_bleed_fatal)</f>
        <v>1.3777547521782E-008</v>
      </c>
      <c r="BD124" s="57" t="n">
        <f aca="false">AV124*f_mi_fatal</f>
        <v>4.08069017178036E-010</v>
      </c>
      <c r="BE124" s="57" t="n">
        <f aca="false">AV124-BD124</f>
        <v>2.96440219916937E-009</v>
      </c>
      <c r="BF124" s="57" t="n">
        <f aca="false">AL124-AS124-AT124-AU124-BD124</f>
        <v>1.48983353752293E-006</v>
      </c>
      <c r="BG124" s="19" t="n">
        <f aca="false">AY124*c_stroke_fatal+AZ124*c_stroke_major+BA124*c_stroke_minor+AT124*c_ich+AU124*c_major_bleed+BD124*c_mi_fatal+BE124*c_mi_nonfatal+AW124*c_tia+AX124*c_minor_bleed</f>
        <v>0.00274192505407465</v>
      </c>
      <c r="BH124" s="57" t="n">
        <f aca="false">dt*(BE124*dec_mi+BC124*dec_major_bleed+AX124*dec_minor_bleed+AW124*dec_tia)</f>
        <v>6.7965892360099E-010</v>
      </c>
      <c r="BI124" s="57" t="n">
        <f aca="false">H124*AK124+AY124+AT124-BB124+AU124-BC124+BD124</f>
        <v>1.52489846236474E-006</v>
      </c>
      <c r="BJ124" s="57" t="n">
        <f aca="false">1-EXP(LN(1-E124)*hr_death_prior_stroke*dt)</f>
        <v>0.486272273512471</v>
      </c>
      <c r="BK124" s="57" t="n">
        <f aca="false">I124*(1-BJ124)</f>
        <v>7.70405553426448E-007</v>
      </c>
      <c r="BL124" s="57" t="n">
        <f aca="false">(1-EXP(-r_stroke*F124*rr_stroke_prior*rr_asa_stroke*dt))</f>
        <v>0.0464178038964457</v>
      </c>
      <c r="BM124" s="57" t="n">
        <f aca="false">(1-EXP(-r_ich*rr_asa_ich*dt))</f>
        <v>0.00102357767802375</v>
      </c>
      <c r="BN124" s="57" t="n">
        <f aca="false">(1-EXP(-r_mb*rr_asa_mb*dt))</f>
        <v>0.00951809672747972</v>
      </c>
      <c r="BO124" s="57" t="n">
        <f aca="false">(1-EXP(-r_mi*rr_asa_mi*dt))</f>
        <v>0.00213413516393479</v>
      </c>
      <c r="BP124" s="57" t="n">
        <f aca="false">(1-EXP(-r_tia*rr_asa_tia*dt))</f>
        <v>0.00312764565589152</v>
      </c>
      <c r="BQ124" s="57" t="n">
        <f aca="false">(1-EXP(-r_minor*rr_asa_minor*dt))</f>
        <v>0.0278181950466747</v>
      </c>
      <c r="BR124" s="57" t="n">
        <f aca="false">BK124*BL124</f>
        <v>3.57605338996815E-008</v>
      </c>
      <c r="BS124" s="57" t="n">
        <f aca="false">BK124*BM124</f>
        <v>7.88569927512842E-010</v>
      </c>
      <c r="BT124" s="57" t="n">
        <f aca="false">BK124*BN124</f>
        <v>7.33279457690047E-009</v>
      </c>
      <c r="BU124" s="57" t="n">
        <f aca="false">BK124*BO124</f>
        <v>1.64414958205803E-009</v>
      </c>
      <c r="BV124" s="57" t="n">
        <f aca="false">BK124*BP124</f>
        <v>2.40955558244893E-009</v>
      </c>
      <c r="BW124" s="57" t="n">
        <f aca="false">BK124*BQ124</f>
        <v>2.14312919502583E-008</v>
      </c>
      <c r="BX124" s="57" t="n">
        <f aca="false">BR124*f_stroke_fatal_recur</f>
        <v>1.33061370587325E-008</v>
      </c>
      <c r="BY124" s="57" t="n">
        <f aca="false">BR124*(1-f_stroke_fatal_recur)*f_stroke_major</f>
        <v>7.47731414803603E-009</v>
      </c>
      <c r="BZ124" s="57" t="n">
        <f aca="false">BR124*(1-f_stroke_fatal_recur)*(1-f_stroke_major)</f>
        <v>1.4977082692913E-008</v>
      </c>
      <c r="CA124" s="57" t="n">
        <f aca="false">BS124*(1-f_bleed_fatal)</f>
        <v>7.22330053601763E-010</v>
      </c>
      <c r="CB124" s="57" t="n">
        <f aca="false">BT124*(1-f_bleed_fatal)</f>
        <v>6.71683983244083E-009</v>
      </c>
      <c r="CC124" s="57" t="n">
        <f aca="false">BU124*f_mi_fatal</f>
        <v>1.98942099429021E-010</v>
      </c>
      <c r="CD124" s="57" t="n">
        <f aca="false">BU124-CC124</f>
        <v>1.445207482629E-009</v>
      </c>
      <c r="CE124" s="57" t="n">
        <f aca="false">BK124-BR124-BS124-BT124-CC124</f>
        <v>7.26324712922924E-007</v>
      </c>
      <c r="CF124" s="19" t="n">
        <f aca="false">BX124*c_stroke_fatal+BY124*c_stroke_major+BZ124*c_stroke_minor+BS124*c_ich+BT124*c_major_bleed+CC124*c_mi_fatal+CD124*c_mi_nonfatal+BV124*c_tia+BW124*c_minor_bleed</f>
        <v>0.00133674526556044</v>
      </c>
      <c r="CG124" s="57" t="n">
        <f aca="false">dt*(CD124*dec_mi+CB124*dec_major_bleed+BW124*dec_minor_bleed+BV124*dec_tia)</f>
        <v>3.31347805064695E-010</v>
      </c>
      <c r="CH124" s="57" t="n">
        <f aca="false">I124*BJ124+BX124+BS124-CA124+BT124-CB124+CC124</f>
        <v>7.43419590188027E-007</v>
      </c>
      <c r="CI124" s="57" t="n">
        <f aca="false">1-EXP(LN(1-E124)*dt)</f>
        <v>0.251431166108985</v>
      </c>
      <c r="CJ124" s="57" t="n">
        <f aca="false">J124*(1-CI124)</f>
        <v>3.21601513465781E-005</v>
      </c>
      <c r="CK124" s="57" t="n">
        <f aca="false">(1-EXP(-r_stroke*F124*rr_asa_stroke*dt))</f>
        <v>0.02137268456154</v>
      </c>
      <c r="CL124" s="57" t="n">
        <f aca="false">(1-EXP(-r_ich*rr_asa_ich*dt))</f>
        <v>0.00102357767802375</v>
      </c>
      <c r="CM124" s="57" t="n">
        <f aca="false">(1-EXP(-r_mb*rr_asa_mb*dt))</f>
        <v>0.00951809672747972</v>
      </c>
      <c r="CN124" s="57" t="n">
        <f aca="false">(1-EXP(-r_mi*rr_asa_mi*dt))</f>
        <v>0.00213413516393479</v>
      </c>
      <c r="CO124" s="57" t="n">
        <f aca="false">(1-EXP(-r_tia*rr_asa_tia*dt))</f>
        <v>0.00312764565589152</v>
      </c>
      <c r="CP124" s="57" t="n">
        <f aca="false">(1-EXP(-r_minor*rr_asa_minor*dt))</f>
        <v>0.0278181950466747</v>
      </c>
      <c r="CQ124" s="57" t="n">
        <f aca="false">CJ124*CK124</f>
        <v>6.87348770181798E-007</v>
      </c>
      <c r="CR124" s="57" t="n">
        <f aca="false">CJ124*CL124</f>
        <v>3.29184130402227E-008</v>
      </c>
      <c r="CS124" s="57" t="n">
        <f aca="false">CJ124*CM124</f>
        <v>3.06103431287117E-007</v>
      </c>
      <c r="CT124" s="57" t="n">
        <f aca="false">CJ124*CN124</f>
        <v>6.86341098661972E-008</v>
      </c>
      <c r="CU124" s="57" t="n">
        <f aca="false">CJ124*CO124</f>
        <v>1.00585557651939E-007</v>
      </c>
      <c r="CV124" s="57" t="n">
        <f aca="false">CJ124*CP124</f>
        <v>8.94637362889688E-007</v>
      </c>
      <c r="CW124" s="57" t="n">
        <f aca="false">CQ124*f_stroke_fatal</f>
        <v>1.62901658533086E-007</v>
      </c>
      <c r="CX124" s="57" t="n">
        <f aca="false">CQ124*(1-f_stroke_fatal)*f_stroke_major</f>
        <v>1.74640888179021E-007</v>
      </c>
      <c r="CY124" s="57" t="n">
        <f aca="false">CQ124*(1-f_stroke_fatal)*(1-f_stroke_major)</f>
        <v>3.49806223469691E-007</v>
      </c>
      <c r="CZ124" s="57" t="n">
        <f aca="false">CR124*(1-f_bleed_fatal)</f>
        <v>3.0153266344844E-008</v>
      </c>
      <c r="DA124" s="57" t="n">
        <f aca="false">CS124*(1-f_bleed_fatal)</f>
        <v>2.80390743059E-007</v>
      </c>
      <c r="DB124" s="57" t="n">
        <f aca="false">CT124*f_mi_fatal</f>
        <v>8.30472729380986E-009</v>
      </c>
      <c r="DC124" s="57" t="n">
        <f aca="false">CT124-DB124</f>
        <v>6.03293825723873E-008</v>
      </c>
      <c r="DD124" s="57" t="n">
        <f aca="false">CJ124-CQ124-CR124-CS124-DB124</f>
        <v>3.11254760047752E-005</v>
      </c>
      <c r="DE124" s="19" t="n">
        <f aca="false">CW124*c_stroke_fatal+CX124*c_stroke_major+CY124*c_stroke_minor+CR124*c_ich+CS124*c_major_bleed+DB124*c_mi_fatal+DC124*c_mi_nonfatal+CU124*c_tia+CV124*c_minor_bleed</f>
        <v>0.0297265385037657</v>
      </c>
      <c r="DF124" s="57" t="n">
        <f aca="false">dt*(DC124*dec_mi+DA124*dec_major_bleed+CV124*dec_minor_bleed+CU124*dec_tia)</f>
        <v>1.3831929834673E-008</v>
      </c>
      <c r="DG124" s="57" t="n">
        <f aca="false">J124*CI124+CW124+CR124-CZ124+CS124-DA124+DB124</f>
        <v>1.10017160302778E-005</v>
      </c>
      <c r="DH124" s="57" t="n">
        <f aca="false">AG124</f>
        <v>4.83557793614664E-005</v>
      </c>
      <c r="DI124" s="57" t="n">
        <f aca="false">AB124+AC124+BF124+BA124+BB124+BC124+CY124+CZ124</f>
        <v>2.21688127486687E-006</v>
      </c>
      <c r="DJ124" s="57" t="n">
        <f aca="false">AA124+AZ124+BY124+CX124+CE124+BZ124+CA124+CB124</f>
        <v>1.0775260720209E-006</v>
      </c>
      <c r="DK124" s="57" t="n">
        <f aca="false">AD124+DD124+DA124</f>
        <v>3.17078854227753E-005</v>
      </c>
      <c r="DL124" s="57" t="n">
        <f aca="false">K124+AJ124+BI124+CH124+DG124</f>
        <v>0.999916641927869</v>
      </c>
      <c r="DM124" s="58" t="n">
        <f aca="false">SUM(DH124:DL124)</f>
        <v>1</v>
      </c>
      <c r="DN124" s="19" t="n">
        <f aca="false">dt*(G124*Apixaban!$H$2+(H124+I124+J124)*c_aspirin)</f>
        <v>0.005371199517526</v>
      </c>
      <c r="DO124" s="19" t="n">
        <f aca="false">dt*(H124*c_lt_minor_stroke+I124*c_lt_major_stroke)</f>
        <v>0.0181061935047919</v>
      </c>
      <c r="DP124" s="19" t="n">
        <f aca="false">AH124+BG124+CF124+DE124</f>
        <v>0.0576887443274146</v>
      </c>
      <c r="DQ124" s="19" t="n">
        <f aca="false">DN124+DO124+DP124</f>
        <v>0.0811661373497325</v>
      </c>
      <c r="DR124" s="57" t="n">
        <f aca="false">dt*(G124*(u_af-dec_per_year_over_70*MAX(B124-ref_age,0))+H124*(u_minor_stroke-dec_per_year_over_70*MAX(B124-ref_age,0))+I124*(u_major_stroke-dec_per_year_over_70*MAX(B124-ref_age,0))+J124*(u_af-dec_per_year_over_70*MAX(B124-ref_age,0)))-AI124-BH124-CG124-DF124</f>
        <v>2.24491851179236E-005</v>
      </c>
      <c r="DS124" s="57" t="n">
        <f aca="false">dt*(G124+H124+I124+J124)</f>
        <v>2.83331248953707E-005</v>
      </c>
      <c r="DT124" s="19" t="n">
        <f aca="false">DQ124*C124</f>
        <v>0.052315048500008</v>
      </c>
      <c r="DU124" s="19" t="n">
        <f aca="false">DN124*C124</f>
        <v>0.00346196791467148</v>
      </c>
      <c r="DV124" s="19" t="n">
        <f aca="false">DP124*C124</f>
        <v>0.0371828641344505</v>
      </c>
      <c r="DW124" s="19" t="n">
        <f aca="false">DO124*C124</f>
        <v>0.011670216450886</v>
      </c>
      <c r="DX124" s="57" t="n">
        <f aca="false">DR124*C124</f>
        <v>1.44694603756908E-005</v>
      </c>
      <c r="DY124" s="57" t="n">
        <f aca="false">DS124*C124</f>
        <v>1.82619113272733E-005</v>
      </c>
      <c r="DZ124" s="57" t="n">
        <f aca="false">T124+AS124+BR124+CQ124</f>
        <v>1.3133455448071E-006</v>
      </c>
      <c r="EA124" s="57" t="n">
        <f aca="false">U124+AT124+BS124+CR124</f>
        <v>7.68690467995675E-008</v>
      </c>
      <c r="EB124" s="57" t="n">
        <f aca="false">V124+AU124+BT124+CS124</f>
        <v>6.5819192724271E-007</v>
      </c>
      <c r="EC124" s="57" t="n">
        <f aca="false">G124*dt*C124</f>
        <v>1.06018634151011E-005</v>
      </c>
    </row>
    <row r="125" customFormat="false" ht="15" hidden="false" customHeight="false" outlineLevel="0" collapsed="false">
      <c r="A125" s="8" t="n">
        <v>119</v>
      </c>
      <c r="B125" s="54" t="n">
        <f aca="false">start_age+A125*dt</f>
        <v>99.75</v>
      </c>
      <c r="C125" s="16" t="n">
        <f aca="false">(1+disc_rate)^-(A125*dt)</f>
        <v>0.642148160906862</v>
      </c>
      <c r="D125" s="55" t="n">
        <f aca="false">IF(A125*dt&gt;=wane_start,(1-wane_decay)^(A125*dt-wane_start),1)</f>
        <v>1</v>
      </c>
      <c r="E125" s="25" t="n">
        <f aca="false">MIN(p_nonvasc_death*MIN(EXP(gomp_int+gomp_slope*INT(B125)),1)/qx_ref,0.999)</f>
        <v>0.68600193880086</v>
      </c>
      <c r="F125" s="55" t="n">
        <f aca="false">rr_stroke_per_decade^((B125-ref_age)/10)</f>
        <v>3.34096168979844</v>
      </c>
      <c r="G125" s="57" t="n">
        <f aca="false">DH124</f>
        <v>4.83557793614664E-005</v>
      </c>
      <c r="H125" s="57" t="n">
        <f aca="false">DI124</f>
        <v>2.21688127486687E-006</v>
      </c>
      <c r="I125" s="57" t="n">
        <f aca="false">DJ124</f>
        <v>1.0775260720209E-006</v>
      </c>
      <c r="J125" s="57" t="n">
        <f aca="false">DK124</f>
        <v>3.17078854227753E-005</v>
      </c>
      <c r="K125" s="57" t="n">
        <f aca="false">DL124</f>
        <v>0.999916641927869</v>
      </c>
      <c r="L125" s="57" t="n">
        <f aca="false">1-EXP(LN(1-E125)*dt)</f>
        <v>0.251431166108985</v>
      </c>
      <c r="M125" s="57" t="n">
        <f aca="false">G125*(1-L125)</f>
        <v>3.61976293685041E-005</v>
      </c>
      <c r="N125" s="57" t="n">
        <f aca="false">IF(Apixaban!$B$2=1,EXP(LN(or_apx_stroke)*D125)*(1-EXP(-r_stroke*F125*dt))/(1-(1-EXP(-r_stroke*F125*dt))+EXP(LN(or_apx_stroke)*D125)*(1-EXP(-r_stroke*F125*dt))),(1-EXP(-r_stroke*F125*dt)))</f>
        <v>0.0106012324953732</v>
      </c>
      <c r="O125" s="57" t="n">
        <f aca="false">IF(Apixaban!$B$2=1,EXP(LN(or_apx_ich)*D125)*(1-EXP(-r_ich*dt))/(1-(1-EXP(-r_ich*dt))+EXP(LN(or_apx_ich)*D125)*(1-EXP(-r_ich*dt))),(1-EXP(-r_ich*dt)))</f>
        <v>0.000843513249640701</v>
      </c>
      <c r="P125" s="57" t="n">
        <f aca="false">IF(Apixaban!$B$2=1,EXP(LN(or_apx_mb)*D125)*(1-EXP(-r_mb*dt))/(1-(1-EXP(-r_mb*dt))+EXP(LN(or_apx_mb)*D125)*(1-EXP(-r_mb*dt))),(1-EXP(-r_mb*dt)))</f>
        <v>0.00669446907979895</v>
      </c>
      <c r="Q125" s="57" t="n">
        <f aca="false">IF(Apixaban!$B$2=1,EXP(LN(or_apx_mi)*D125)*(1-EXP(-r_mi*dt))/(1-(1-EXP(-r_mi*dt))+EXP(LN(or_apx_mi)*D125)*(1-EXP(-r_mi*dt))),(1-EXP(-r_mi*dt)))</f>
        <v>0.00132321915530843</v>
      </c>
      <c r="R125" s="57" t="n">
        <f aca="false">(1-EXP(-r_tia*dt))</f>
        <v>0.0020060281549299</v>
      </c>
      <c r="S125" s="57" t="n">
        <f aca="false">(1-EXP(-r_minor*dt))</f>
        <v>0.0437937690785545</v>
      </c>
      <c r="T125" s="57" t="n">
        <f aca="false">M125*N125</f>
        <v>3.8373948471686E-007</v>
      </c>
      <c r="U125" s="57" t="n">
        <f aca="false">M125*O125</f>
        <v>3.05331799779166E-008</v>
      </c>
      <c r="V125" s="57" t="n">
        <f aca="false">M125*P125</f>
        <v>2.42323910569473E-007</v>
      </c>
      <c r="W125" s="57" t="n">
        <f aca="false">M125*Q125</f>
        <v>4.78973965571596E-008</v>
      </c>
      <c r="X125" s="57" t="n">
        <f aca="false">M125*R125</f>
        <v>7.26134636549365E-008</v>
      </c>
      <c r="Y125" s="57" t="n">
        <f aca="false">M125*S125</f>
        <v>1.58523062175537E-006</v>
      </c>
      <c r="Z125" s="57" t="n">
        <f aca="false">T125*f_stroke_fatal</f>
        <v>9.09462578778959E-008</v>
      </c>
      <c r="AA125" s="57" t="n">
        <f aca="false">T125*(1-f_stroke_fatal)*f_stroke_major</f>
        <v>9.75001445373751E-008</v>
      </c>
      <c r="AB125" s="57" t="n">
        <f aca="false">T125*(1-f_stroke_fatal)*(1-f_stroke_major)</f>
        <v>1.95293082301589E-007</v>
      </c>
      <c r="AC125" s="57" t="n">
        <f aca="false">U125*(1-f_bleed_fatal)</f>
        <v>2.79683928597716E-008</v>
      </c>
      <c r="AD125" s="57" t="n">
        <f aca="false">V125*(1-f_bleed_fatal)</f>
        <v>2.21968702081638E-007</v>
      </c>
      <c r="AE125" s="57" t="n">
        <f aca="false">W125*f_mi_fatal</f>
        <v>5.79558498341631E-009</v>
      </c>
      <c r="AF125" s="57" t="n">
        <f aca="false">W125-AE125</f>
        <v>4.21018115737433E-008</v>
      </c>
      <c r="AG125" s="57" t="n">
        <f aca="false">M125-T125-U125-V125-AE125</f>
        <v>3.55352372082565E-005</v>
      </c>
      <c r="AH125" s="19" t="n">
        <f aca="false">Z125*c_stroke_fatal+AA125*c_stroke_major+AB125*c_stroke_minor+U125*c_ich+V125*c_major_bleed+AE125*c_mi_fatal+AF125*c_mi_nonfatal+X125*c_tia+Y125*c_minor_bleed</f>
        <v>0.017695649205719</v>
      </c>
      <c r="AI125" s="57" t="n">
        <f aca="false">dt*(AF125*dec_mi+AD125*dec_major_bleed+Y125*dec_minor_bleed+X125*dec_tia)</f>
        <v>1.34427579693767E-008</v>
      </c>
      <c r="AJ125" s="57" t="n">
        <f aca="false">G125*L125+Z125+U125-AC125+V125-AD125+AE125</f>
        <v>1.22778118314296E-005</v>
      </c>
      <c r="AK125" s="57" t="n">
        <f aca="false">1-EXP(LN(1-E125)*hr_death_prior_stroke*dt)</f>
        <v>0.486272273512471</v>
      </c>
      <c r="AL125" s="57" t="n">
        <f aca="false">H125*(1-AK125)</f>
        <v>1.13887337723013E-006</v>
      </c>
      <c r="AM125" s="57" t="n">
        <f aca="false">(1-EXP(-r_stroke*F125*rr_stroke_prior*rr_asa_stroke*dt))</f>
        <v>0.0468794552644585</v>
      </c>
      <c r="AN125" s="57" t="n">
        <f aca="false">(1-EXP(-r_ich*rr_asa_ich*dt))</f>
        <v>0.00102357767802375</v>
      </c>
      <c r="AO125" s="57" t="n">
        <f aca="false">(1-EXP(-r_mb*rr_asa_mb*dt))</f>
        <v>0.00951809672747972</v>
      </c>
      <c r="AP125" s="57" t="n">
        <f aca="false">(1-EXP(-r_mi*rr_asa_mi*dt))</f>
        <v>0.00213413516393479</v>
      </c>
      <c r="AQ125" s="57" t="n">
        <f aca="false">(1-EXP(-r_tia*rr_asa_tia*dt))</f>
        <v>0.00312764565589152</v>
      </c>
      <c r="AR125" s="57" t="n">
        <f aca="false">(1-EXP(-r_minor*rr_asa_minor*dt))</f>
        <v>0.0278181950466747</v>
      </c>
      <c r="AS125" s="57" t="n">
        <f aca="false">AL125*AM125</f>
        <v>5.33897635397427E-008</v>
      </c>
      <c r="AT125" s="57" t="n">
        <f aca="false">AL125*AN125</f>
        <v>1.16572536702828E-009</v>
      </c>
      <c r="AU125" s="57" t="n">
        <f aca="false">AL125*AO125</f>
        <v>1.08399069648279E-008</v>
      </c>
      <c r="AV125" s="57" t="n">
        <f aca="false">AL125*AP125</f>
        <v>2.430509721616E-009</v>
      </c>
      <c r="AW125" s="57" t="n">
        <f aca="false">AL125*AQ125</f>
        <v>3.56199237090433E-009</v>
      </c>
      <c r="AX125" s="57" t="n">
        <f aca="false">AL125*AR125</f>
        <v>3.1681401741253E-008</v>
      </c>
      <c r="AY125" s="57" t="n">
        <f aca="false">AS125*f_stroke_fatal_recur</f>
        <v>1.98657971155029E-008</v>
      </c>
      <c r="AZ125" s="57" t="n">
        <f aca="false">AS125*(1-f_stroke_fatal_recur)*f_stroke_major</f>
        <v>1.11634808192719E-008</v>
      </c>
      <c r="BA125" s="57" t="n">
        <f aca="false">AS125*(1-f_stroke_fatal_recur)*(1-f_stroke_major)</f>
        <v>2.2360485604968E-008</v>
      </c>
      <c r="BB125" s="57" t="n">
        <f aca="false">AT125*(1-f_bleed_fatal)</f>
        <v>1.0678044361979E-009</v>
      </c>
      <c r="BC125" s="57" t="n">
        <f aca="false">AU125*(1-f_bleed_fatal)</f>
        <v>9.92935477978235E-009</v>
      </c>
      <c r="BD125" s="57" t="n">
        <f aca="false">AV125*f_mi_fatal</f>
        <v>2.94091676315536E-010</v>
      </c>
      <c r="BE125" s="57" t="n">
        <f aca="false">AV125-BD125</f>
        <v>2.13641804530046E-009</v>
      </c>
      <c r="BF125" s="57" t="n">
        <f aca="false">AL125-AS125-AT125-AU125-BD125</f>
        <v>1.07318388968222E-006</v>
      </c>
      <c r="BG125" s="19" t="n">
        <f aca="false">AY125*c_stroke_fatal+AZ125*c_stroke_major+BA125*c_stroke_minor+AT125*c_ich+AU125*c_major_bleed+BD125*c_mi_fatal+BE125*c_mi_nonfatal+AW125*c_tia+AX125*c_minor_bleed</f>
        <v>0.00199420876859679</v>
      </c>
      <c r="BH125" s="57" t="n">
        <f aca="false">dt*(BE125*dec_mi+BC125*dec_major_bleed+AX125*dec_minor_bleed+AW125*dec_tia)</f>
        <v>4.89824083060492E-010</v>
      </c>
      <c r="BI125" s="57" t="n">
        <f aca="false">H125*AK125+AY125+AT125-BB125+AU125-BC125+BD125</f>
        <v>1.09917625954443E-006</v>
      </c>
      <c r="BJ125" s="57" t="n">
        <f aca="false">1-EXP(LN(1-E125)*hr_death_prior_stroke*dt)</f>
        <v>0.486272273512471</v>
      </c>
      <c r="BK125" s="57" t="n">
        <f aca="false">I125*(1-BJ125)</f>
        <v>5.53555019210337E-007</v>
      </c>
      <c r="BL125" s="57" t="n">
        <f aca="false">(1-EXP(-r_stroke*F125*rr_stroke_prior*rr_asa_stroke*dt))</f>
        <v>0.0468794552644585</v>
      </c>
      <c r="BM125" s="57" t="n">
        <f aca="false">(1-EXP(-r_ich*rr_asa_ich*dt))</f>
        <v>0.00102357767802375</v>
      </c>
      <c r="BN125" s="57" t="n">
        <f aca="false">(1-EXP(-r_mb*rr_asa_mb*dt))</f>
        <v>0.00951809672747972</v>
      </c>
      <c r="BO125" s="57" t="n">
        <f aca="false">(1-EXP(-r_mi*rr_asa_mi*dt))</f>
        <v>0.00213413516393479</v>
      </c>
      <c r="BP125" s="57" t="n">
        <f aca="false">(1-EXP(-r_tia*rr_asa_tia*dt))</f>
        <v>0.00312764565589152</v>
      </c>
      <c r="BQ125" s="57" t="n">
        <f aca="false">(1-EXP(-r_minor*rr_asa_minor*dt))</f>
        <v>0.0278181950466747</v>
      </c>
      <c r="BR125" s="57" t="n">
        <f aca="false">BK125*BL125</f>
        <v>2.59503577594874E-008</v>
      </c>
      <c r="BS125" s="57" t="n">
        <f aca="false">BK125*BM125</f>
        <v>5.66606561221706E-010</v>
      </c>
      <c r="BT125" s="57" t="n">
        <f aca="false">BK125*BN125</f>
        <v>5.26879021682588E-009</v>
      </c>
      <c r="BU125" s="57" t="n">
        <f aca="false">BK125*BO125</f>
        <v>1.18136123166938E-009</v>
      </c>
      <c r="BV125" s="57" t="n">
        <f aca="false">BK125*BP125</f>
        <v>1.73132395113016E-009</v>
      </c>
      <c r="BW125" s="57" t="n">
        <f aca="false">BK125*BQ125</f>
        <v>1.53989014934589E-008</v>
      </c>
      <c r="BX125" s="57" t="n">
        <f aca="false">BR125*f_stroke_fatal_recur</f>
        <v>9.65586861872767E-009</v>
      </c>
      <c r="BY125" s="57" t="n">
        <f aca="false">BR125*(1-f_stroke_fatal_recur)*f_stroke_major</f>
        <v>5.426064883873E-009</v>
      </c>
      <c r="BZ125" s="57" t="n">
        <f aca="false">BR125*(1-f_stroke_fatal_recur)*(1-f_stroke_major)</f>
        <v>1.08684242568867E-008</v>
      </c>
      <c r="CA125" s="57" t="n">
        <f aca="false">BS125*(1-f_bleed_fatal)</f>
        <v>5.19011610079083E-010</v>
      </c>
      <c r="CB125" s="57" t="n">
        <f aca="false">BT125*(1-f_bleed_fatal)</f>
        <v>4.8262118386125E-009</v>
      </c>
      <c r="CC125" s="57" t="n">
        <f aca="false">BU125*f_mi_fatal</f>
        <v>1.42944709031995E-010</v>
      </c>
      <c r="CD125" s="57" t="n">
        <f aca="false">BU125-CC125</f>
        <v>1.03841652263738E-009</v>
      </c>
      <c r="CE125" s="57" t="n">
        <f aca="false">BK125-BR125-BS125-BT125-CC125</f>
        <v>5.2162631996377E-007</v>
      </c>
      <c r="CF125" s="19" t="n">
        <f aca="false">BX125*c_stroke_fatal+BY125*c_stroke_major+BZ125*c_stroke_minor+BS125*c_ich+BT125*c_major_bleed+CC125*c_mi_fatal+CD125*c_mi_nonfatal+BV125*c_tia+BW125*c_minor_bleed</f>
        <v>0.000969295002658537</v>
      </c>
      <c r="CG125" s="57" t="n">
        <f aca="false">dt*(CD125*dec_mi+CB125*dec_major_bleed+BW125*dec_minor_bleed+BV125*dec_tia)</f>
        <v>2.38081410215849E-010</v>
      </c>
      <c r="CH125" s="57" t="n">
        <f aca="false">I125*BJ125+BX125+BS125-CA125+BT125-CB125+CC125</f>
        <v>5.34260039467683E-007</v>
      </c>
      <c r="CI125" s="57" t="n">
        <f aca="false">1-EXP(LN(1-E125)*dt)</f>
        <v>0.251431166108985</v>
      </c>
      <c r="CJ125" s="57" t="n">
        <f aca="false">J125*(1-CI125)</f>
        <v>2.37355348160768E-005</v>
      </c>
      <c r="CK125" s="57" t="n">
        <f aca="false">(1-EXP(-r_stroke*F125*rr_asa_stroke*dt))</f>
        <v>0.0215880658633875</v>
      </c>
      <c r="CL125" s="57" t="n">
        <f aca="false">(1-EXP(-r_ich*rr_asa_ich*dt))</f>
        <v>0.00102357767802375</v>
      </c>
      <c r="CM125" s="57" t="n">
        <f aca="false">(1-EXP(-r_mb*rr_asa_mb*dt))</f>
        <v>0.00951809672747972</v>
      </c>
      <c r="CN125" s="57" t="n">
        <f aca="false">(1-EXP(-r_mi*rr_asa_mi*dt))</f>
        <v>0.00213413516393479</v>
      </c>
      <c r="CO125" s="57" t="n">
        <f aca="false">(1-EXP(-r_tia*rr_asa_tia*dt))</f>
        <v>0.00312764565589152</v>
      </c>
      <c r="CP125" s="57" t="n">
        <f aca="false">(1-EXP(-r_minor*rr_asa_minor*dt))</f>
        <v>0.0278181950466747</v>
      </c>
      <c r="CQ125" s="57" t="n">
        <f aca="false">CJ125*CK125</f>
        <v>5.12404288912192E-007</v>
      </c>
      <c r="CR125" s="57" t="n">
        <f aca="false">CJ125*CL125</f>
        <v>2.42951636136917E-008</v>
      </c>
      <c r="CS125" s="57" t="n">
        <f aca="false">CJ125*CM125</f>
        <v>2.25917116257881E-007</v>
      </c>
      <c r="CT125" s="57" t="n">
        <f aca="false">CJ125*CN125</f>
        <v>5.0654839485788E-008</v>
      </c>
      <c r="CU125" s="57" t="n">
        <f aca="false">CJ125*CO125</f>
        <v>7.42363423577645E-008</v>
      </c>
      <c r="CV125" s="57" t="n">
        <f aca="false">CJ125*CP125</f>
        <v>6.60279737050762E-007</v>
      </c>
      <c r="CW125" s="57" t="n">
        <f aca="false">CQ125*f_stroke_fatal</f>
        <v>1.21439816472189E-007</v>
      </c>
      <c r="CX125" s="57" t="n">
        <f aca="false">CQ125*(1-f_stroke_fatal)*f_stroke_major</f>
        <v>1.30191169322521E-007</v>
      </c>
      <c r="CY125" s="57" t="n">
        <f aca="false">CQ125*(1-f_stroke_fatal)*(1-f_stroke_major)</f>
        <v>2.60773303117482E-007</v>
      </c>
      <c r="CZ125" s="57" t="n">
        <f aca="false">CR125*(1-f_bleed_fatal)</f>
        <v>2.22543698701416E-008</v>
      </c>
      <c r="DA125" s="57" t="n">
        <f aca="false">CS125*(1-f_bleed_fatal)</f>
        <v>2.06940078492219E-007</v>
      </c>
      <c r="DB125" s="57" t="n">
        <f aca="false">CT125*f_mi_fatal</f>
        <v>6.12923557778035E-009</v>
      </c>
      <c r="DC125" s="57" t="n">
        <f aca="false">CT125-DB125</f>
        <v>4.45256039080076E-008</v>
      </c>
      <c r="DD125" s="57" t="n">
        <f aca="false">CJ125-CQ125-CR125-CS125-DB125</f>
        <v>2.29667890117152E-005</v>
      </c>
      <c r="DE125" s="19" t="n">
        <f aca="false">CW125*c_stroke_fatal+CX125*c_stroke_major+CY125*c_stroke_minor+CR125*c_ich+CS125*c_major_bleed+DB125*c_mi_fatal+DC125*c_mi_nonfatal+CU125*c_tia+CV125*c_minor_bleed</f>
        <v>0.0221283102250065</v>
      </c>
      <c r="DF125" s="57" t="n">
        <f aca="false">dt*(DC125*dec_mi+DA125*dec_major_bleed+CV125*dec_minor_bleed+CU125*dec_tia)</f>
        <v>1.02085418885737E-008</v>
      </c>
      <c r="DG125" s="57" t="n">
        <f aca="false">J125*CI125+CW125+CR125-CZ125+CS125-DA125+DB125</f>
        <v>8.12093749025765E-006</v>
      </c>
      <c r="DH125" s="57" t="n">
        <f aca="false">AG125</f>
        <v>3.55352372082565E-005</v>
      </c>
      <c r="DI125" s="57" t="n">
        <f aca="false">AB125+AC125+BF125+BA125+BB125+BC125+CY125+CZ125</f>
        <v>1.61283068265215E-006</v>
      </c>
      <c r="DJ125" s="57" t="n">
        <f aca="false">AA125+AZ125+BY125+CX125+CE125+BZ125+CA125+CB125</f>
        <v>7.82120827232389E-007</v>
      </c>
      <c r="DK125" s="57" t="n">
        <f aca="false">AD125+DD125+DA125</f>
        <v>2.33956977922891E-005</v>
      </c>
      <c r="DL125" s="57" t="n">
        <f aca="false">K125+AJ125+BI125+CH125+DG125</f>
        <v>0.999938674113489</v>
      </c>
      <c r="DM125" s="58" t="n">
        <f aca="false">SUM(DH125:DL125)</f>
        <v>1</v>
      </c>
      <c r="DN125" s="19" t="n">
        <f aca="false">dt*(G125*Apixaban!$H$2+(H125+I125+J125)*c_aspirin)</f>
        <v>0.00394819224311649</v>
      </c>
      <c r="DO125" s="19" t="n">
        <f aca="false">dt*(H125*c_lt_minor_stroke+I125*c_lt_major_stroke)</f>
        <v>0.0130277564614097</v>
      </c>
      <c r="DP125" s="19" t="n">
        <f aca="false">AH125+BG125+CF125+DE125</f>
        <v>0.0427874632019808</v>
      </c>
      <c r="DQ125" s="19" t="n">
        <f aca="false">DN125+DO125+DP125</f>
        <v>0.059763411906507</v>
      </c>
      <c r="DR125" s="57" t="n">
        <f aca="false">dt*(G125*(u_af-dec_per_year_over_70*MAX(B125-ref_age,0))+H125*(u_minor_stroke-dec_per_year_over_70*MAX(B125-ref_age,0))+I125*(u_major_stroke-dec_per_year_over_70*MAX(B125-ref_age,0))+J125*(u_af-dec_per_year_over_70*MAX(B125-ref_age,0)))-AI125-BH125-CG125-DF125</f>
        <v>1.6513981503556E-005</v>
      </c>
      <c r="DS125" s="57" t="n">
        <f aca="false">dt*(G125+H125+I125+J125)</f>
        <v>2.08395180327824E-005</v>
      </c>
      <c r="DT125" s="19" t="n">
        <f aca="false">DQ125*C125</f>
        <v>0.0383769650452827</v>
      </c>
      <c r="DU125" s="19" t="n">
        <f aca="false">DN125*C125</f>
        <v>0.00253532438782399</v>
      </c>
      <c r="DV125" s="19" t="n">
        <f aca="false">DP125*C125</f>
        <v>0.027475890805022</v>
      </c>
      <c r="DW125" s="19" t="n">
        <f aca="false">DO125*C125</f>
        <v>0.0083657498524367</v>
      </c>
      <c r="DX125" s="57" t="n">
        <f aca="false">DR125*C125</f>
        <v>1.06044228517584E-005</v>
      </c>
      <c r="DY125" s="57" t="n">
        <f aca="false">DS125*C125</f>
        <v>1.33820581789366E-005</v>
      </c>
      <c r="DZ125" s="57" t="n">
        <f aca="false">T125+AS125+BR125+CQ125</f>
        <v>9.75483894928282E-007</v>
      </c>
      <c r="EA125" s="57" t="n">
        <f aca="false">U125+AT125+BS125+CR125</f>
        <v>5.65606755198582E-008</v>
      </c>
      <c r="EB125" s="57" t="n">
        <f aca="false">V125+AU125+BT125+CS125</f>
        <v>4.84349724009009E-007</v>
      </c>
      <c r="EC125" s="57" t="n">
        <f aca="false">G125*dt*C125</f>
        <v>7.76289369654592E-006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3" min="1" style="0" width="12"/>
  </cols>
  <sheetData>
    <row r="1" customFormat="false" ht="17.35" hidden="false" customHeight="false" outlineLevel="0" collapsed="false">
      <c r="A1" s="1" t="s">
        <v>567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</row>
    <row r="2" customFormat="false" ht="15" hidden="false" customHeight="false" outlineLevel="0" collapsed="false">
      <c r="A2" s="3" t="s">
        <v>438</v>
      </c>
      <c r="B2" s="53" t="n">
        <v>0</v>
      </c>
      <c r="C2" s="3"/>
      <c r="D2" s="3" t="s">
        <v>439</v>
      </c>
      <c r="E2" s="3"/>
      <c r="F2" s="3"/>
      <c r="G2" s="3"/>
      <c r="H2" s="36" t="n">
        <f aca="false">IF($B$2=1,c_apixaban,c_warfarin+c_inr)</f>
        <v>384.2288323603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</row>
    <row r="3" customFormat="false" ht="15" hidden="false" customHeight="false" outlineLevel="0" collapsed="false">
      <c r="A3" s="3" t="s">
        <v>440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</row>
    <row r="5" customFormat="false" ht="60" hidden="false" customHeight="true" outlineLevel="0" collapsed="false">
      <c r="A5" s="5" t="s">
        <v>441</v>
      </c>
      <c r="B5" s="5" t="s">
        <v>426</v>
      </c>
      <c r="C5" s="5" t="s">
        <v>442</v>
      </c>
      <c r="D5" s="5" t="s">
        <v>443</v>
      </c>
      <c r="E5" s="5" t="s">
        <v>444</v>
      </c>
      <c r="F5" s="5" t="s">
        <v>445</v>
      </c>
      <c r="G5" s="5" t="s">
        <v>446</v>
      </c>
      <c r="H5" s="5" t="s">
        <v>447</v>
      </c>
      <c r="I5" s="5" t="s">
        <v>448</v>
      </c>
      <c r="J5" s="5" t="s">
        <v>449</v>
      </c>
      <c r="K5" s="5" t="s">
        <v>450</v>
      </c>
      <c r="L5" s="5" t="s">
        <v>451</v>
      </c>
      <c r="M5" s="5" t="s">
        <v>452</v>
      </c>
      <c r="N5" s="5" t="s">
        <v>453</v>
      </c>
      <c r="O5" s="5" t="s">
        <v>454</v>
      </c>
      <c r="P5" s="5" t="s">
        <v>455</v>
      </c>
      <c r="Q5" s="5" t="s">
        <v>456</v>
      </c>
      <c r="R5" s="5" t="s">
        <v>457</v>
      </c>
      <c r="S5" s="5" t="s">
        <v>458</v>
      </c>
      <c r="T5" s="5" t="s">
        <v>459</v>
      </c>
      <c r="U5" s="5" t="s">
        <v>460</v>
      </c>
      <c r="V5" s="5" t="s">
        <v>461</v>
      </c>
      <c r="W5" s="5" t="s">
        <v>462</v>
      </c>
      <c r="X5" s="5" t="s">
        <v>463</v>
      </c>
      <c r="Y5" s="5" t="s">
        <v>464</v>
      </c>
      <c r="Z5" s="5" t="s">
        <v>465</v>
      </c>
      <c r="AA5" s="5" t="s">
        <v>466</v>
      </c>
      <c r="AB5" s="5" t="s">
        <v>467</v>
      </c>
      <c r="AC5" s="5" t="s">
        <v>468</v>
      </c>
      <c r="AD5" s="5" t="s">
        <v>469</v>
      </c>
      <c r="AE5" s="5" t="s">
        <v>470</v>
      </c>
      <c r="AF5" s="5" t="s">
        <v>471</v>
      </c>
      <c r="AG5" s="5" t="s">
        <v>472</v>
      </c>
      <c r="AH5" s="5" t="s">
        <v>473</v>
      </c>
      <c r="AI5" s="5" t="s">
        <v>474</v>
      </c>
      <c r="AJ5" s="5" t="s">
        <v>475</v>
      </c>
      <c r="AK5" s="5" t="s">
        <v>476</v>
      </c>
      <c r="AL5" s="5" t="s">
        <v>477</v>
      </c>
      <c r="AM5" s="5" t="s">
        <v>478</v>
      </c>
      <c r="AN5" s="5" t="s">
        <v>479</v>
      </c>
      <c r="AO5" s="5" t="s">
        <v>480</v>
      </c>
      <c r="AP5" s="5" t="s">
        <v>481</v>
      </c>
      <c r="AQ5" s="5" t="s">
        <v>482</v>
      </c>
      <c r="AR5" s="5" t="s">
        <v>483</v>
      </c>
      <c r="AS5" s="5" t="s">
        <v>484</v>
      </c>
      <c r="AT5" s="5" t="s">
        <v>485</v>
      </c>
      <c r="AU5" s="5" t="s">
        <v>486</v>
      </c>
      <c r="AV5" s="5" t="s">
        <v>487</v>
      </c>
      <c r="AW5" s="5" t="s">
        <v>488</v>
      </c>
      <c r="AX5" s="5" t="s">
        <v>489</v>
      </c>
      <c r="AY5" s="5" t="s">
        <v>490</v>
      </c>
      <c r="AZ5" s="5" t="s">
        <v>491</v>
      </c>
      <c r="BA5" s="5" t="s">
        <v>492</v>
      </c>
      <c r="BB5" s="5" t="s">
        <v>493</v>
      </c>
      <c r="BC5" s="5" t="s">
        <v>494</v>
      </c>
      <c r="BD5" s="5" t="s">
        <v>495</v>
      </c>
      <c r="BE5" s="5" t="s">
        <v>496</v>
      </c>
      <c r="BF5" s="5" t="s">
        <v>497</v>
      </c>
      <c r="BG5" s="5" t="s">
        <v>498</v>
      </c>
      <c r="BH5" s="5" t="s">
        <v>499</v>
      </c>
      <c r="BI5" s="5" t="s">
        <v>500</v>
      </c>
      <c r="BJ5" s="5" t="s">
        <v>501</v>
      </c>
      <c r="BK5" s="5" t="s">
        <v>502</v>
      </c>
      <c r="BL5" s="5" t="s">
        <v>503</v>
      </c>
      <c r="BM5" s="5" t="s">
        <v>504</v>
      </c>
      <c r="BN5" s="5" t="s">
        <v>505</v>
      </c>
      <c r="BO5" s="5" t="s">
        <v>506</v>
      </c>
      <c r="BP5" s="5" t="s">
        <v>507</v>
      </c>
      <c r="BQ5" s="5" t="s">
        <v>508</v>
      </c>
      <c r="BR5" s="5" t="s">
        <v>509</v>
      </c>
      <c r="BS5" s="5" t="s">
        <v>510</v>
      </c>
      <c r="BT5" s="5" t="s">
        <v>511</v>
      </c>
      <c r="BU5" s="5" t="s">
        <v>512</v>
      </c>
      <c r="BV5" s="5" t="s">
        <v>513</v>
      </c>
      <c r="BW5" s="5" t="s">
        <v>514</v>
      </c>
      <c r="BX5" s="5" t="s">
        <v>515</v>
      </c>
      <c r="BY5" s="5" t="s">
        <v>516</v>
      </c>
      <c r="BZ5" s="5" t="s">
        <v>517</v>
      </c>
      <c r="CA5" s="5" t="s">
        <v>518</v>
      </c>
      <c r="CB5" s="5" t="s">
        <v>519</v>
      </c>
      <c r="CC5" s="5" t="s">
        <v>520</v>
      </c>
      <c r="CD5" s="5" t="s">
        <v>521</v>
      </c>
      <c r="CE5" s="5" t="s">
        <v>522</v>
      </c>
      <c r="CF5" s="5" t="s">
        <v>523</v>
      </c>
      <c r="CG5" s="5" t="s">
        <v>524</v>
      </c>
      <c r="CH5" s="5" t="s">
        <v>525</v>
      </c>
      <c r="CI5" s="5" t="s">
        <v>526</v>
      </c>
      <c r="CJ5" s="5" t="s">
        <v>527</v>
      </c>
      <c r="CK5" s="5" t="s">
        <v>528</v>
      </c>
      <c r="CL5" s="5" t="s">
        <v>529</v>
      </c>
      <c r="CM5" s="5" t="s">
        <v>530</v>
      </c>
      <c r="CN5" s="5" t="s">
        <v>531</v>
      </c>
      <c r="CO5" s="5" t="s">
        <v>532</v>
      </c>
      <c r="CP5" s="5" t="s">
        <v>533</v>
      </c>
      <c r="CQ5" s="5" t="s">
        <v>534</v>
      </c>
      <c r="CR5" s="5" t="s">
        <v>535</v>
      </c>
      <c r="CS5" s="5" t="s">
        <v>536</v>
      </c>
      <c r="CT5" s="5" t="s">
        <v>537</v>
      </c>
      <c r="CU5" s="5" t="s">
        <v>538</v>
      </c>
      <c r="CV5" s="5" t="s">
        <v>539</v>
      </c>
      <c r="CW5" s="5" t="s">
        <v>540</v>
      </c>
      <c r="CX5" s="5" t="s">
        <v>541</v>
      </c>
      <c r="CY5" s="5" t="s">
        <v>542</v>
      </c>
      <c r="CZ5" s="5" t="s">
        <v>543</v>
      </c>
      <c r="DA5" s="5" t="s">
        <v>544</v>
      </c>
      <c r="DB5" s="5" t="s">
        <v>545</v>
      </c>
      <c r="DC5" s="5" t="s">
        <v>546</v>
      </c>
      <c r="DD5" s="5" t="s">
        <v>547</v>
      </c>
      <c r="DE5" s="5" t="s">
        <v>548</v>
      </c>
      <c r="DF5" s="5" t="s">
        <v>549</v>
      </c>
      <c r="DG5" s="5" t="s">
        <v>550</v>
      </c>
      <c r="DH5" s="5" t="s">
        <v>551</v>
      </c>
      <c r="DI5" s="5" t="s">
        <v>552</v>
      </c>
      <c r="DJ5" s="5" t="s">
        <v>553</v>
      </c>
      <c r="DK5" s="5" t="s">
        <v>554</v>
      </c>
      <c r="DL5" s="5" t="s">
        <v>555</v>
      </c>
      <c r="DM5" s="5" t="s">
        <v>556</v>
      </c>
      <c r="DN5" s="5" t="s">
        <v>557</v>
      </c>
      <c r="DO5" s="5" t="s">
        <v>558</v>
      </c>
      <c r="DP5" s="5" t="s">
        <v>559</v>
      </c>
      <c r="DQ5" s="5" t="s">
        <v>274</v>
      </c>
      <c r="DR5" s="5" t="s">
        <v>275</v>
      </c>
      <c r="DS5" s="5" t="s">
        <v>276</v>
      </c>
      <c r="DT5" s="5" t="s">
        <v>268</v>
      </c>
      <c r="DU5" s="5" t="s">
        <v>560</v>
      </c>
      <c r="DV5" s="5" t="s">
        <v>561</v>
      </c>
      <c r="DW5" s="5" t="s">
        <v>562</v>
      </c>
      <c r="DX5" s="5" t="s">
        <v>272</v>
      </c>
      <c r="DY5" s="5" t="s">
        <v>273</v>
      </c>
      <c r="DZ5" s="5" t="s">
        <v>563</v>
      </c>
      <c r="EA5" s="5" t="s">
        <v>564</v>
      </c>
      <c r="EB5" s="5" t="s">
        <v>565</v>
      </c>
      <c r="EC5" s="5" t="s">
        <v>566</v>
      </c>
    </row>
    <row r="6" customFormat="false" ht="15" hidden="false" customHeight="false" outlineLevel="0" collapsed="false">
      <c r="A6" s="8" t="n">
        <v>0</v>
      </c>
      <c r="B6" s="54" t="n">
        <f aca="false">start_age+A6*dt</f>
        <v>70</v>
      </c>
      <c r="C6" s="16" t="n">
        <f aca="false">(1+disc_rate)^-(A6*dt)</f>
        <v>1</v>
      </c>
      <c r="D6" s="55" t="n">
        <f aca="false">IF(A6*dt&gt;=wane_start,(1-wane_decay)^(A6*dt-wane_start),1)</f>
        <v>1</v>
      </c>
      <c r="E6" s="25" t="n">
        <f aca="false">MIN(p_nonvasc_death*MIN(EXP(gomp_int+gomp_slope*INT(B6)),1)/qx_ref,0.999)</f>
        <v>0.033</v>
      </c>
      <c r="F6" s="55" t="n">
        <f aca="false">rr_stroke_per_decade^((B6-ref_age)/10)</f>
        <v>1</v>
      </c>
      <c r="G6" s="56" t="n">
        <v>1</v>
      </c>
      <c r="H6" s="56" t="n">
        <v>0</v>
      </c>
      <c r="I6" s="56" t="n">
        <v>0</v>
      </c>
      <c r="J6" s="56" t="n">
        <v>0</v>
      </c>
      <c r="K6" s="56" t="n">
        <v>0</v>
      </c>
      <c r="L6" s="57" t="n">
        <f aca="false">1-EXP(LN(1-E6)*dt)</f>
        <v>0.00835410477572107</v>
      </c>
      <c r="M6" s="57" t="n">
        <f aca="false">G6*(1-L6)</f>
        <v>0.991645895224279</v>
      </c>
      <c r="N6" s="57" t="n">
        <f aca="false">IF(Warfarin!$B$2=1,EXP(LN(or_apx_stroke)*D6)*(1-EXP(-r_stroke*F6*dt))/(1-(1-EXP(-r_stroke*F6*dt))+EXP(LN(or_apx_stroke)*D6)*(1-EXP(-r_stroke*F6*dt))),(1-EXP(-r_stroke*F6*dt)))</f>
        <v>0.00402422649394751</v>
      </c>
      <c r="O6" s="57" t="n">
        <f aca="false">IF(Warfarin!$B$2=1,EXP(LN(or_apx_ich)*D6)*(1-EXP(-r_ich*dt))/(1-(1-EXP(-r_ich*dt))+EXP(LN(or_apx_ich)*D6)*(1-EXP(-r_ich*dt))),(1-EXP(-r_ich*dt)))</f>
        <v>0.0020060281549299</v>
      </c>
      <c r="P6" s="57" t="n">
        <f aca="false">IF(Warfarin!$B$2=1,EXP(LN(or_apx_mb)*D6)*(1-EXP(-r_mb*dt))/(1-(1-EXP(-r_mb*dt))+EXP(LN(or_apx_mb)*D6)*(1-EXP(-r_mb*dt))),(1-EXP(-r_mb*dt)))</f>
        <v>0.00835410477572107</v>
      </c>
      <c r="Q6" s="57" t="n">
        <f aca="false">IF(Warfarin!$B$2=1,EXP(LN(or_apx_mi)*D6)*(1-EXP(-r_mi*dt))/(1-(1-EXP(-r_mi*dt))+EXP(LN(or_apx_mi)*D6)*(1-EXP(-r_mi*dt))),(1-EXP(-r_mi*dt)))</f>
        <v>0.00150338686144691</v>
      </c>
      <c r="R6" s="57" t="n">
        <f aca="false">(1-EXP(-r_tia*dt))</f>
        <v>0.0020060281549299</v>
      </c>
      <c r="S6" s="57" t="n">
        <f aca="false">(1-EXP(-r_minor*dt))</f>
        <v>0.0437937690785545</v>
      </c>
      <c r="T6" s="57" t="n">
        <f aca="false">M6*N6</f>
        <v>0.00399060768417584</v>
      </c>
      <c r="U6" s="57" t="n">
        <f aca="false">M6*O6</f>
        <v>0.00198926958554056</v>
      </c>
      <c r="V6" s="57" t="n">
        <f aca="false">M6*P6</f>
        <v>0.00828431370911735</v>
      </c>
      <c r="W6" s="57" t="n">
        <f aca="false">M6*Q6</f>
        <v>0.00149082741008794</v>
      </c>
      <c r="X6" s="57" t="n">
        <f aca="false">M6*R6</f>
        <v>0.00198926958554056</v>
      </c>
      <c r="Y6" s="57" t="n">
        <f aca="false">M6*S6</f>
        <v>0.0434279113431485</v>
      </c>
      <c r="Z6" s="57" t="n">
        <f aca="false">T6*f_stroke_fatal</f>
        <v>0.000945774021149675</v>
      </c>
      <c r="AA6" s="57" t="n">
        <f aca="false">T6*(1-f_stroke_fatal)*f_stroke_major</f>
        <v>0.00101392960978771</v>
      </c>
      <c r="AB6" s="57" t="n">
        <f aca="false">T6*(1-f_stroke_fatal)*(1-f_stroke_major)</f>
        <v>0.00203090405323846</v>
      </c>
      <c r="AC6" s="57" t="n">
        <f aca="false">U6*(1-f_bleed_fatal)</f>
        <v>0.00182217094035516</v>
      </c>
      <c r="AD6" s="57" t="n">
        <f aca="false">V6*(1-f_bleed_fatal)</f>
        <v>0.00758843135755149</v>
      </c>
      <c r="AE6" s="57" t="n">
        <f aca="false">W6*f_mi_fatal</f>
        <v>0.000180390116620641</v>
      </c>
      <c r="AF6" s="57" t="n">
        <f aca="false">W6-AE6</f>
        <v>0.0013104372934673</v>
      </c>
      <c r="AG6" s="57" t="n">
        <f aca="false">M6-T6-U6-V6-AE6</f>
        <v>0.977201314128825</v>
      </c>
      <c r="AH6" s="19" t="n">
        <f aca="false">Z6*c_stroke_fatal+AA6*c_stroke_major+AB6*c_stroke_minor+U6*c_ich+V6*c_major_bleed+AE6*c_mi_fatal+AF6*c_mi_nonfatal+X6*c_tia+Y6*c_minor_bleed</f>
        <v>282.509639987943</v>
      </c>
      <c r="AI6" s="57" t="n">
        <f aca="false">dt*(AF6*dec_mi+AD6*dec_major_bleed+Y6*dec_minor_bleed+X6*dec_tia)</f>
        <v>0.00040784949033744</v>
      </c>
      <c r="AJ6" s="57" t="n">
        <f aca="false">G6*L6+Z6+U6-AC6+V6-AD6+AE6</f>
        <v>0.0103432499102427</v>
      </c>
      <c r="AK6" s="57" t="n">
        <f aca="false">1-EXP(LN(1-E6)*hr_death_prior_stroke*dt)</f>
        <v>0.0191101906321427</v>
      </c>
      <c r="AL6" s="57" t="n">
        <f aca="false">H6*(1-AK6)</f>
        <v>0</v>
      </c>
      <c r="AM6" s="57" t="n">
        <f aca="false">(1-EXP(-r_stroke*F6*rr_stroke_prior*rr_asa_stroke*dt))</f>
        <v>0.0142685053851033</v>
      </c>
      <c r="AN6" s="57" t="n">
        <f aca="false">(1-EXP(-r_ich*rr_asa_ich*dt))</f>
        <v>0.00102357767802375</v>
      </c>
      <c r="AO6" s="57" t="n">
        <f aca="false">(1-EXP(-r_mb*rr_asa_mb*dt))</f>
        <v>0.00951809672747972</v>
      </c>
      <c r="AP6" s="57" t="n">
        <f aca="false">(1-EXP(-r_mi*rr_asa_mi*dt))</f>
        <v>0.00213413516393479</v>
      </c>
      <c r="AQ6" s="57" t="n">
        <f aca="false">(1-EXP(-r_tia*rr_asa_tia*dt))</f>
        <v>0.00312764565589152</v>
      </c>
      <c r="AR6" s="57" t="n">
        <f aca="false">(1-EXP(-r_minor*rr_asa_minor*dt))</f>
        <v>0.0278181950466747</v>
      </c>
      <c r="AS6" s="57" t="n">
        <f aca="false">AL6*AM6</f>
        <v>0</v>
      </c>
      <c r="AT6" s="57" t="n">
        <f aca="false">AL6*AN6</f>
        <v>0</v>
      </c>
      <c r="AU6" s="57" t="n">
        <f aca="false">AL6*AO6</f>
        <v>0</v>
      </c>
      <c r="AV6" s="57" t="n">
        <f aca="false">AL6*AP6</f>
        <v>0</v>
      </c>
      <c r="AW6" s="57" t="n">
        <f aca="false">AL6*AQ6</f>
        <v>0</v>
      </c>
      <c r="AX6" s="57" t="n">
        <f aca="false">AL6*AR6</f>
        <v>0</v>
      </c>
      <c r="AY6" s="57" t="n">
        <f aca="false">AS6*f_stroke_fatal_recur</f>
        <v>0</v>
      </c>
      <c r="AZ6" s="57" t="n">
        <f aca="false">AS6*(1-f_stroke_fatal_recur)*f_stroke_major</f>
        <v>0</v>
      </c>
      <c r="BA6" s="57" t="n">
        <f aca="false">AS6*(1-f_stroke_fatal_recur)*(1-f_stroke_major)</f>
        <v>0</v>
      </c>
      <c r="BB6" s="57" t="n">
        <f aca="false">AT6*(1-f_bleed_fatal)</f>
        <v>0</v>
      </c>
      <c r="BC6" s="57" t="n">
        <f aca="false">AU6*(1-f_bleed_fatal)</f>
        <v>0</v>
      </c>
      <c r="BD6" s="57" t="n">
        <f aca="false">AV6*f_mi_fatal</f>
        <v>0</v>
      </c>
      <c r="BE6" s="57" t="n">
        <f aca="false">AV6-BD6</f>
        <v>0</v>
      </c>
      <c r="BF6" s="57" t="n">
        <f aca="false">AL6-AS6-AT6-AU6-BD6</f>
        <v>0</v>
      </c>
      <c r="BG6" s="19" t="n">
        <f aca="false">AY6*c_stroke_fatal+AZ6*c_stroke_major+BA6*c_stroke_minor+AT6*c_ich+AU6*c_major_bleed+BD6*c_mi_fatal+BE6*c_mi_nonfatal+AW6*c_tia+AX6*c_minor_bleed</f>
        <v>0</v>
      </c>
      <c r="BH6" s="57" t="n">
        <f aca="false">dt*(BE6*dec_mi+BC6*dec_major_bleed+AX6*dec_minor_bleed+AW6*dec_tia)</f>
        <v>0</v>
      </c>
      <c r="BI6" s="57" t="n">
        <f aca="false">H6*AK6+AY6+AT6-BB6+AU6-BC6+BD6</f>
        <v>0</v>
      </c>
      <c r="BJ6" s="57" t="n">
        <f aca="false">1-EXP(LN(1-E6)*hr_death_prior_stroke*dt)</f>
        <v>0.0191101906321427</v>
      </c>
      <c r="BK6" s="57" t="n">
        <f aca="false">I6*(1-BJ6)</f>
        <v>0</v>
      </c>
      <c r="BL6" s="57" t="n">
        <f aca="false">(1-EXP(-r_stroke*F6*rr_stroke_prior*rr_asa_stroke*dt))</f>
        <v>0.0142685053851033</v>
      </c>
      <c r="BM6" s="57" t="n">
        <f aca="false">(1-EXP(-r_ich*rr_asa_ich*dt))</f>
        <v>0.00102357767802375</v>
      </c>
      <c r="BN6" s="57" t="n">
        <f aca="false">(1-EXP(-r_mb*rr_asa_mb*dt))</f>
        <v>0.00951809672747972</v>
      </c>
      <c r="BO6" s="57" t="n">
        <f aca="false">(1-EXP(-r_mi*rr_asa_mi*dt))</f>
        <v>0.00213413516393479</v>
      </c>
      <c r="BP6" s="57" t="n">
        <f aca="false">(1-EXP(-r_tia*rr_asa_tia*dt))</f>
        <v>0.00312764565589152</v>
      </c>
      <c r="BQ6" s="57" t="n">
        <f aca="false">(1-EXP(-r_minor*rr_asa_minor*dt))</f>
        <v>0.0278181950466747</v>
      </c>
      <c r="BR6" s="57" t="n">
        <f aca="false">BK6*BL6</f>
        <v>0</v>
      </c>
      <c r="BS6" s="57" t="n">
        <f aca="false">BK6*BM6</f>
        <v>0</v>
      </c>
      <c r="BT6" s="57" t="n">
        <f aca="false">BK6*BN6</f>
        <v>0</v>
      </c>
      <c r="BU6" s="57" t="n">
        <f aca="false">BK6*BO6</f>
        <v>0</v>
      </c>
      <c r="BV6" s="57" t="n">
        <f aca="false">BK6*BP6</f>
        <v>0</v>
      </c>
      <c r="BW6" s="57" t="n">
        <f aca="false">BK6*BQ6</f>
        <v>0</v>
      </c>
      <c r="BX6" s="57" t="n">
        <f aca="false">BR6*f_stroke_fatal_recur</f>
        <v>0</v>
      </c>
      <c r="BY6" s="57" t="n">
        <f aca="false">BR6*(1-f_stroke_fatal_recur)*f_stroke_major</f>
        <v>0</v>
      </c>
      <c r="BZ6" s="57" t="n">
        <f aca="false">BR6*(1-f_stroke_fatal_recur)*(1-f_stroke_major)</f>
        <v>0</v>
      </c>
      <c r="CA6" s="57" t="n">
        <f aca="false">BS6*(1-f_bleed_fatal)</f>
        <v>0</v>
      </c>
      <c r="CB6" s="57" t="n">
        <f aca="false">BT6*(1-f_bleed_fatal)</f>
        <v>0</v>
      </c>
      <c r="CC6" s="57" t="n">
        <f aca="false">BU6*f_mi_fatal</f>
        <v>0</v>
      </c>
      <c r="CD6" s="57" t="n">
        <f aca="false">BU6-CC6</f>
        <v>0</v>
      </c>
      <c r="CE6" s="57" t="n">
        <f aca="false">BK6-BR6-BS6-BT6-CC6</f>
        <v>0</v>
      </c>
      <c r="CF6" s="19" t="n">
        <f aca="false">BX6*c_stroke_fatal+BY6*c_stroke_major+BZ6*c_stroke_minor+BS6*c_ich+BT6*c_major_bleed+CC6*c_mi_fatal+CD6*c_mi_nonfatal+BV6*c_tia+BW6*c_minor_bleed</f>
        <v>0</v>
      </c>
      <c r="CG6" s="57" t="n">
        <f aca="false">dt*(CD6*dec_mi+CB6*dec_major_bleed+BW6*dec_minor_bleed+BV6*dec_tia)</f>
        <v>0</v>
      </c>
      <c r="CH6" s="57" t="n">
        <f aca="false">I6*BJ6+BX6+BS6-CA6+BT6-CB6+CC6</f>
        <v>0</v>
      </c>
      <c r="CI6" s="57" t="n">
        <f aca="false">1-EXP(LN(1-E6)*dt)</f>
        <v>0.00835410477572107</v>
      </c>
      <c r="CJ6" s="57" t="n">
        <f aca="false">J6*(1-CI6)</f>
        <v>0</v>
      </c>
      <c r="CK6" s="57" t="n">
        <f aca="false">(1-EXP(-r_stroke*F6*rr_asa_stroke*dt))</f>
        <v>0.00651110994172399</v>
      </c>
      <c r="CL6" s="57" t="n">
        <f aca="false">(1-EXP(-r_ich*rr_asa_ich*dt))</f>
        <v>0.00102357767802375</v>
      </c>
      <c r="CM6" s="57" t="n">
        <f aca="false">(1-EXP(-r_mb*rr_asa_mb*dt))</f>
        <v>0.00951809672747972</v>
      </c>
      <c r="CN6" s="57" t="n">
        <f aca="false">(1-EXP(-r_mi*rr_asa_mi*dt))</f>
        <v>0.00213413516393479</v>
      </c>
      <c r="CO6" s="57" t="n">
        <f aca="false">(1-EXP(-r_tia*rr_asa_tia*dt))</f>
        <v>0.00312764565589152</v>
      </c>
      <c r="CP6" s="57" t="n">
        <f aca="false">(1-EXP(-r_minor*rr_asa_minor*dt))</f>
        <v>0.0278181950466747</v>
      </c>
      <c r="CQ6" s="57" t="n">
        <f aca="false">CJ6*CK6</f>
        <v>0</v>
      </c>
      <c r="CR6" s="57" t="n">
        <f aca="false">CJ6*CL6</f>
        <v>0</v>
      </c>
      <c r="CS6" s="57" t="n">
        <f aca="false">CJ6*CM6</f>
        <v>0</v>
      </c>
      <c r="CT6" s="57" t="n">
        <f aca="false">CJ6*CN6</f>
        <v>0</v>
      </c>
      <c r="CU6" s="57" t="n">
        <f aca="false">CJ6*CO6</f>
        <v>0</v>
      </c>
      <c r="CV6" s="57" t="n">
        <f aca="false">CJ6*CP6</f>
        <v>0</v>
      </c>
      <c r="CW6" s="57" t="n">
        <f aca="false">CQ6*f_stroke_fatal</f>
        <v>0</v>
      </c>
      <c r="CX6" s="57" t="n">
        <f aca="false">CQ6*(1-f_stroke_fatal)*f_stroke_major</f>
        <v>0</v>
      </c>
      <c r="CY6" s="57" t="n">
        <f aca="false">CQ6*(1-f_stroke_fatal)*(1-f_stroke_major)</f>
        <v>0</v>
      </c>
      <c r="CZ6" s="57" t="n">
        <f aca="false">CR6*(1-f_bleed_fatal)</f>
        <v>0</v>
      </c>
      <c r="DA6" s="57" t="n">
        <f aca="false">CS6*(1-f_bleed_fatal)</f>
        <v>0</v>
      </c>
      <c r="DB6" s="57" t="n">
        <f aca="false">CT6*f_mi_fatal</f>
        <v>0</v>
      </c>
      <c r="DC6" s="57" t="n">
        <f aca="false">CT6-DB6</f>
        <v>0</v>
      </c>
      <c r="DD6" s="57" t="n">
        <f aca="false">CJ6-CQ6-CR6-CS6-DB6</f>
        <v>0</v>
      </c>
      <c r="DE6" s="19" t="n">
        <f aca="false">CW6*c_stroke_fatal+CX6*c_stroke_major+CY6*c_stroke_minor+CR6*c_ich+CS6*c_major_bleed+DB6*c_mi_fatal+DC6*c_mi_nonfatal+CU6*c_tia+CV6*c_minor_bleed</f>
        <v>0</v>
      </c>
      <c r="DF6" s="57" t="n">
        <f aca="false">dt*(DC6*dec_mi+DA6*dec_major_bleed+CV6*dec_minor_bleed+CU6*dec_tia)</f>
        <v>0</v>
      </c>
      <c r="DG6" s="57" t="n">
        <f aca="false">J6*CI6+CW6+CR6-CZ6+CS6-DA6+DB6</f>
        <v>0</v>
      </c>
      <c r="DH6" s="57" t="n">
        <f aca="false">AG6</f>
        <v>0.977201314128825</v>
      </c>
      <c r="DI6" s="57" t="n">
        <f aca="false">AB6+AC6+BF6+BA6+BB6+BC6+CY6+CZ6</f>
        <v>0.00385307499359361</v>
      </c>
      <c r="DJ6" s="57" t="n">
        <f aca="false">AA6+AZ6+BY6+CX6+CE6+BZ6+CA6+CB6</f>
        <v>0.00101392960978771</v>
      </c>
      <c r="DK6" s="57" t="n">
        <f aca="false">AD6+DD6+DA6</f>
        <v>0.00758843135755149</v>
      </c>
      <c r="DL6" s="57" t="n">
        <f aca="false">K6+AJ6+BI6+CH6+DG6</f>
        <v>0.0103432499102427</v>
      </c>
      <c r="DM6" s="58" t="n">
        <f aca="false">SUM(DH6:DL6)</f>
        <v>1</v>
      </c>
      <c r="DN6" s="19" t="n">
        <f aca="false">dt*(G6*Warfarin!$H$2+(H6+I6+J6)*c_aspirin)</f>
        <v>96.0572080900751</v>
      </c>
      <c r="DO6" s="19" t="n">
        <f aca="false">dt*(H6*c_lt_minor_stroke+I6*c_lt_major_stroke)</f>
        <v>0</v>
      </c>
      <c r="DP6" s="19" t="n">
        <f aca="false">AH6+BG6+CF6+DE6</f>
        <v>282.509639987943</v>
      </c>
      <c r="DQ6" s="19" t="n">
        <f aca="false">DN6+DO6+DP6</f>
        <v>378.566848078018</v>
      </c>
      <c r="DR6" s="57" t="n">
        <f aca="false">dt*(G6*(u_af-dec_per_year_over_70*MAX(B6-ref_age,0))+H6*(u_minor_stroke-dec_per_year_over_70*MAX(B6-ref_age,0))+I6*(u_major_stroke-dec_per_year_over_70*MAX(B6-ref_age,0))+J6*(u_af-dec_per_year_over_70*MAX(B6-ref_age,0)))-AI6-BH6-CG6-DF6</f>
        <v>0.202092150509663</v>
      </c>
      <c r="DS6" s="57" t="n">
        <f aca="false">dt*(G6+H6+I6+J6)</f>
        <v>0.25</v>
      </c>
      <c r="DT6" s="19" t="n">
        <f aca="false">DQ6*C6</f>
        <v>378.566848078018</v>
      </c>
      <c r="DU6" s="19" t="n">
        <f aca="false">DN6*C6</f>
        <v>96.0572080900751</v>
      </c>
      <c r="DV6" s="19" t="n">
        <f aca="false">DP6*C6</f>
        <v>282.509639987943</v>
      </c>
      <c r="DW6" s="19" t="n">
        <f aca="false">DO6*C6</f>
        <v>0</v>
      </c>
      <c r="DX6" s="57" t="n">
        <f aca="false">DR6*C6</f>
        <v>0.202092150509663</v>
      </c>
      <c r="DY6" s="57" t="n">
        <f aca="false">DS6*C6</f>
        <v>0.25</v>
      </c>
      <c r="DZ6" s="57" t="n">
        <f aca="false">T6+AS6+BR6+CQ6</f>
        <v>0.00399060768417584</v>
      </c>
      <c r="EA6" s="57" t="n">
        <f aca="false">U6+AT6+BS6+CR6</f>
        <v>0.00198926958554056</v>
      </c>
      <c r="EB6" s="57" t="n">
        <f aca="false">V6+AU6+BT6+CS6</f>
        <v>0.00828431370911735</v>
      </c>
      <c r="EC6" s="57" t="n">
        <f aca="false">G6*dt*C6</f>
        <v>0.25</v>
      </c>
    </row>
    <row r="7" customFormat="false" ht="15" hidden="false" customHeight="false" outlineLevel="0" collapsed="false">
      <c r="A7" s="8" t="n">
        <v>1</v>
      </c>
      <c r="B7" s="54" t="n">
        <f aca="false">start_age+A7*dt</f>
        <v>70.25</v>
      </c>
      <c r="C7" s="16" t="n">
        <f aca="false">(1+disc_rate)^-(A7*dt)</f>
        <v>0.996284765501777</v>
      </c>
      <c r="D7" s="55" t="n">
        <f aca="false">IF(A7*dt&gt;=wane_start,(1-wane_decay)^(A7*dt-wane_start),1)</f>
        <v>1</v>
      </c>
      <c r="E7" s="25" t="n">
        <f aca="false">MIN(p_nonvasc_death*MIN(EXP(gomp_int+gomp_slope*INT(B7)),1)/qx_ref,0.999)</f>
        <v>0.033</v>
      </c>
      <c r="F7" s="55" t="n">
        <f aca="false">rr_stroke_per_decade^((B7-ref_age)/10)</f>
        <v>1.01018817734591</v>
      </c>
      <c r="G7" s="57" t="n">
        <f aca="false">DH6</f>
        <v>0.977201314128825</v>
      </c>
      <c r="H7" s="57" t="n">
        <f aca="false">DI6</f>
        <v>0.00385307499359361</v>
      </c>
      <c r="I7" s="57" t="n">
        <f aca="false">DJ6</f>
        <v>0.00101392960978771</v>
      </c>
      <c r="J7" s="57" t="n">
        <f aca="false">DK6</f>
        <v>0.00758843135755149</v>
      </c>
      <c r="K7" s="57" t="n">
        <f aca="false">DL6</f>
        <v>0.0103432499102427</v>
      </c>
      <c r="L7" s="57" t="n">
        <f aca="false">1-EXP(LN(1-E7)*dt)</f>
        <v>0.00835410477572107</v>
      </c>
      <c r="M7" s="57" t="n">
        <f aca="false">G7*(1-L7)</f>
        <v>0.96903767196362</v>
      </c>
      <c r="N7" s="57" t="n">
        <f aca="false">IF(Warfarin!$B$2=1,EXP(LN(or_apx_stroke)*D7)*(1-EXP(-r_stroke*F7*dt))/(1-(1-EXP(-r_stroke*F7*dt))+EXP(LN(or_apx_stroke)*D7)*(1-EXP(-r_stroke*F7*dt))),(1-EXP(-r_stroke*F7*dt)))</f>
        <v>0.00406514258009227</v>
      </c>
      <c r="O7" s="57" t="n">
        <f aca="false">IF(Warfarin!$B$2=1,EXP(LN(or_apx_ich)*D7)*(1-EXP(-r_ich*dt))/(1-(1-EXP(-r_ich*dt))+EXP(LN(or_apx_ich)*D7)*(1-EXP(-r_ich*dt))),(1-EXP(-r_ich*dt)))</f>
        <v>0.0020060281549299</v>
      </c>
      <c r="P7" s="57" t="n">
        <f aca="false">IF(Warfarin!$B$2=1,EXP(LN(or_apx_mb)*D7)*(1-EXP(-r_mb*dt))/(1-(1-EXP(-r_mb*dt))+EXP(LN(or_apx_mb)*D7)*(1-EXP(-r_mb*dt))),(1-EXP(-r_mb*dt)))</f>
        <v>0.00835410477572107</v>
      </c>
      <c r="Q7" s="57" t="n">
        <f aca="false">IF(Warfarin!$B$2=1,EXP(LN(or_apx_mi)*D7)*(1-EXP(-r_mi*dt))/(1-(1-EXP(-r_mi*dt))+EXP(LN(or_apx_mi)*D7)*(1-EXP(-r_mi*dt))),(1-EXP(-r_mi*dt)))</f>
        <v>0.00150338686144691</v>
      </c>
      <c r="R7" s="57" t="n">
        <f aca="false">(1-EXP(-r_tia*dt))</f>
        <v>0.0020060281549299</v>
      </c>
      <c r="S7" s="57" t="n">
        <f aca="false">(1-EXP(-r_minor*dt))</f>
        <v>0.0437937690785545</v>
      </c>
      <c r="T7" s="57" t="n">
        <f aca="false">M7*N7</f>
        <v>0.0039392763020128</v>
      </c>
      <c r="U7" s="57" t="n">
        <f aca="false">M7*O7</f>
        <v>0.00194391685314674</v>
      </c>
      <c r="V7" s="57" t="n">
        <f aca="false">M7*P7</f>
        <v>0.00809544224320491</v>
      </c>
      <c r="W7" s="57" t="n">
        <f aca="false">M7*Q7</f>
        <v>0.00145683850427721</v>
      </c>
      <c r="X7" s="57" t="n">
        <f aca="false">M7*R7</f>
        <v>0.00194391685314674</v>
      </c>
      <c r="Y7" s="57" t="n">
        <f aca="false">M7*S7</f>
        <v>0.0424378120343948</v>
      </c>
      <c r="Z7" s="57" t="n">
        <f aca="false">T7*f_stroke_fatal</f>
        <v>0.000933608483577034</v>
      </c>
      <c r="AA7" s="57" t="n">
        <f aca="false">T7*(1-f_stroke_fatal)*f_stroke_major</f>
        <v>0.00100088738353911</v>
      </c>
      <c r="AB7" s="57" t="n">
        <f aca="false">T7*(1-f_stroke_fatal)*(1-f_stroke_major)</f>
        <v>0.00200478043489666</v>
      </c>
      <c r="AC7" s="57" t="n">
        <f aca="false">U7*(1-f_bleed_fatal)</f>
        <v>0.00178062783748242</v>
      </c>
      <c r="AD7" s="57" t="n">
        <f aca="false">V7*(1-f_bleed_fatal)</f>
        <v>0.0074154250947757</v>
      </c>
      <c r="AE7" s="57" t="n">
        <f aca="false">W7*f_mi_fatal</f>
        <v>0.000176277459017542</v>
      </c>
      <c r="AF7" s="57" t="n">
        <f aca="false">W7-AE7</f>
        <v>0.00128056104525966</v>
      </c>
      <c r="AG7" s="57" t="n">
        <f aca="false">M7-T7-U7-V7-AE7</f>
        <v>0.954882759106238</v>
      </c>
      <c r="AH7" s="19" t="n">
        <f aca="false">Z7*c_stroke_fatal+AA7*c_stroke_major+AB7*c_stroke_minor+U7*c_ich+V7*c_major_bleed+AE7*c_mi_fatal+AF7*c_mi_nonfatal+X7*c_tia+Y7*c_minor_bleed</f>
        <v>277.533736521316</v>
      </c>
      <c r="AI7" s="57" t="n">
        <f aca="false">dt*(AF7*dec_mi+AD7*dec_major_bleed+Y7*dec_minor_bleed+X7*dec_tia)</f>
        <v>0.000398551057924517</v>
      </c>
      <c r="AJ7" s="57" t="n">
        <f aca="false">G7*L7+Z7+U7-AC7+V7-AD7+AE7</f>
        <v>0.0101168342718926</v>
      </c>
      <c r="AK7" s="57" t="n">
        <f aca="false">1-EXP(LN(1-E7)*hr_death_prior_stroke*dt)</f>
        <v>0.0191101906321427</v>
      </c>
      <c r="AL7" s="57" t="n">
        <f aca="false">H7*(1-AK7)</f>
        <v>0.0037794419959461</v>
      </c>
      <c r="AM7" s="57" t="n">
        <f aca="false">(1-EXP(-r_stroke*F7*rr_stroke_prior*rr_asa_stroke*dt))</f>
        <v>0.0144128228079825</v>
      </c>
      <c r="AN7" s="57" t="n">
        <f aca="false">(1-EXP(-r_ich*rr_asa_ich*dt))</f>
        <v>0.00102357767802375</v>
      </c>
      <c r="AO7" s="57" t="n">
        <f aca="false">(1-EXP(-r_mb*rr_asa_mb*dt))</f>
        <v>0.00951809672747972</v>
      </c>
      <c r="AP7" s="57" t="n">
        <f aca="false">(1-EXP(-r_mi*rr_asa_mi*dt))</f>
        <v>0.00213413516393479</v>
      </c>
      <c r="AQ7" s="57" t="n">
        <f aca="false">(1-EXP(-r_tia*rr_asa_tia*dt))</f>
        <v>0.00312764565589152</v>
      </c>
      <c r="AR7" s="57" t="n">
        <f aca="false">(1-EXP(-r_minor*rr_asa_minor*dt))</f>
        <v>0.0278181950466747</v>
      </c>
      <c r="AS7" s="57" t="n">
        <f aca="false">AL7*AM7</f>
        <v>5.44724278006188E-005</v>
      </c>
      <c r="AT7" s="57" t="n">
        <f aca="false">AL7*AN7</f>
        <v>3.86855246243594E-006</v>
      </c>
      <c r="AU7" s="57" t="n">
        <f aca="false">AL7*AO7</f>
        <v>3.5973094493314E-005</v>
      </c>
      <c r="AV7" s="57" t="n">
        <f aca="false">AL7*AP7</f>
        <v>8.06584006360046E-006</v>
      </c>
      <c r="AW7" s="57" t="n">
        <f aca="false">AL7*AQ7</f>
        <v>1.18207553403148E-005</v>
      </c>
      <c r="AX7" s="57" t="n">
        <f aca="false">AL7*AR7</f>
        <v>0.000105137254610822</v>
      </c>
      <c r="AY7" s="57" t="n">
        <f aca="false">AS7*f_stroke_fatal_recur</f>
        <v>2.02686456603323E-005</v>
      </c>
      <c r="AZ7" s="57" t="n">
        <f aca="false">AS7*(1-f_stroke_fatal_recur)*f_stroke_major</f>
        <v>1.13898594527154E-005</v>
      </c>
      <c r="BA7" s="57" t="n">
        <f aca="false">AS7*(1-f_stroke_fatal_recur)*(1-f_stroke_major)</f>
        <v>2.28139226875711E-005</v>
      </c>
      <c r="BB7" s="57" t="n">
        <f aca="false">AT7*(1-f_bleed_fatal)</f>
        <v>3.54359405559132E-006</v>
      </c>
      <c r="BC7" s="57" t="n">
        <f aca="false">AU7*(1-f_bleed_fatal)</f>
        <v>3.29513545558756E-005</v>
      </c>
      <c r="BD7" s="57" t="n">
        <f aca="false">AV7*f_mi_fatal</f>
        <v>9.75966647695655E-007</v>
      </c>
      <c r="BE7" s="57" t="n">
        <f aca="false">AV7-BD7</f>
        <v>7.0898734159048E-006</v>
      </c>
      <c r="BF7" s="57" t="n">
        <f aca="false">AL7-AS7-AT7-AU7-BD7</f>
        <v>0.00368415195454203</v>
      </c>
      <c r="BG7" s="19" t="n">
        <f aca="false">AY7*c_stroke_fatal+AZ7*c_stroke_major+BA7*c_stroke_minor+AT7*c_ich+AU7*c_major_bleed+BD7*c_mi_fatal+BE7*c_mi_nonfatal+AW7*c_tia+AX7*c_minor_bleed</f>
        <v>2.38711280914145</v>
      </c>
      <c r="BH7" s="57" t="n">
        <f aca="false">dt*(BE7*dec_mi+BC7*dec_major_bleed+AX7*dec_minor_bleed+AW7*dec_tia)</f>
        <v>1.62552022653044E-006</v>
      </c>
      <c r="BI7" s="57" t="n">
        <f aca="false">H7*AK7+AY7+AT7-BB7+AU7-BC7+BD7</f>
        <v>9.82243082998269E-005</v>
      </c>
      <c r="BJ7" s="57" t="n">
        <f aca="false">1-EXP(LN(1-E7)*hr_death_prior_stroke*dt)</f>
        <v>0.0191101906321427</v>
      </c>
      <c r="BK7" s="57" t="n">
        <f aca="false">I7*(1-BJ7)</f>
        <v>0.000994553221657097</v>
      </c>
      <c r="BL7" s="57" t="n">
        <f aca="false">(1-EXP(-r_stroke*F7*rr_stroke_prior*rr_asa_stroke*dt))</f>
        <v>0.0144128228079825</v>
      </c>
      <c r="BM7" s="57" t="n">
        <f aca="false">(1-EXP(-r_ich*rr_asa_ich*dt))</f>
        <v>0.00102357767802375</v>
      </c>
      <c r="BN7" s="57" t="n">
        <f aca="false">(1-EXP(-r_mb*rr_asa_mb*dt))</f>
        <v>0.00951809672747972</v>
      </c>
      <c r="BO7" s="57" t="n">
        <f aca="false">(1-EXP(-r_mi*rr_asa_mi*dt))</f>
        <v>0.00213413516393479</v>
      </c>
      <c r="BP7" s="57" t="n">
        <f aca="false">(1-EXP(-r_tia*rr_asa_tia*dt))</f>
        <v>0.00312764565589152</v>
      </c>
      <c r="BQ7" s="57" t="n">
        <f aca="false">(1-EXP(-r_minor*rr_asa_minor*dt))</f>
        <v>0.0278181950466747</v>
      </c>
      <c r="BR7" s="57" t="n">
        <f aca="false">BK7*BL7</f>
        <v>1.43343193568519E-005</v>
      </c>
      <c r="BS7" s="57" t="n">
        <f aca="false">BK7*BM7</f>
        <v>1.01800247729481E-006</v>
      </c>
      <c r="BT7" s="57" t="n">
        <f aca="false">BK7*BN7</f>
        <v>9.46625376435883E-006</v>
      </c>
      <c r="BU7" s="57" t="n">
        <f aca="false">BK7*BO7</f>
        <v>2.12251100274304E-006</v>
      </c>
      <c r="BV7" s="57" t="n">
        <f aca="false">BK7*BP7</f>
        <v>3.11061006326874E-006</v>
      </c>
      <c r="BW7" s="57" t="n">
        <f aca="false">BK7*BQ7</f>
        <v>2.76666755043558E-005</v>
      </c>
      <c r="BX7" s="57" t="n">
        <f aca="false">BR7*f_stroke_fatal_recur</f>
        <v>5.33365688949102E-006</v>
      </c>
      <c r="BY7" s="57" t="n">
        <f aca="false">BR7*(1-f_stroke_fatal_recur)*f_stroke_major</f>
        <v>2.99722060163117E-006</v>
      </c>
      <c r="BZ7" s="57" t="n">
        <f aca="false">BR7*(1-f_stroke_fatal_recur)*(1-f_stroke_major)</f>
        <v>6.0034418657297E-006</v>
      </c>
      <c r="CA7" s="57" t="n">
        <f aca="false">BS7*(1-f_bleed_fatal)</f>
        <v>9.32490269202044E-007</v>
      </c>
      <c r="CB7" s="57" t="n">
        <f aca="false">BT7*(1-f_bleed_fatal)</f>
        <v>8.67108844815269E-006</v>
      </c>
      <c r="CC7" s="57" t="n">
        <f aca="false">BU7*f_mi_fatal</f>
        <v>2.56823831331908E-007</v>
      </c>
      <c r="CD7" s="57" t="n">
        <f aca="false">BU7-CC7</f>
        <v>1.86568717141114E-006</v>
      </c>
      <c r="CE7" s="57" t="n">
        <f aca="false">BK7-BR7-BS7-BT7-CC7</f>
        <v>0.00096947782222726</v>
      </c>
      <c r="CF7" s="19" t="n">
        <f aca="false">BX7*c_stroke_fatal+BY7*c_stroke_major+BZ7*c_stroke_minor+BS7*c_ich+BT7*c_major_bleed+CC7*c_mi_fatal+CD7*c_mi_nonfatal+BV7*c_tia+BW7*c_minor_bleed</f>
        <v>0.628164352657634</v>
      </c>
      <c r="CG7" s="57" t="n">
        <f aca="false">dt*(CD7*dec_mi+CB7*dec_major_bleed+BW7*dec_minor_bleed+BV7*dec_tia)</f>
        <v>4.27752662932436E-007</v>
      </c>
      <c r="CH7" s="57" t="n">
        <f aca="false">I7*BJ7+BX7+BS7-CA7+BT7-CB7+CC7</f>
        <v>2.58475463757391E-005</v>
      </c>
      <c r="CI7" s="57" t="n">
        <f aca="false">1-EXP(LN(1-E7)*dt)</f>
        <v>0.00835410477572107</v>
      </c>
      <c r="CJ7" s="57" t="n">
        <f aca="false">J7*(1-CI7)</f>
        <v>0.00752503680690714</v>
      </c>
      <c r="CK7" s="57" t="n">
        <f aca="false">(1-EXP(-r_stroke*F7*rr_asa_stroke*dt))</f>
        <v>0.00657722765247137</v>
      </c>
      <c r="CL7" s="57" t="n">
        <f aca="false">(1-EXP(-r_ich*rr_asa_ich*dt))</f>
        <v>0.00102357767802375</v>
      </c>
      <c r="CM7" s="57" t="n">
        <f aca="false">(1-EXP(-r_mb*rr_asa_mb*dt))</f>
        <v>0.00951809672747972</v>
      </c>
      <c r="CN7" s="57" t="n">
        <f aca="false">(1-EXP(-r_mi*rr_asa_mi*dt))</f>
        <v>0.00213413516393479</v>
      </c>
      <c r="CO7" s="57" t="n">
        <f aca="false">(1-EXP(-r_tia*rr_asa_tia*dt))</f>
        <v>0.00312764565589152</v>
      </c>
      <c r="CP7" s="57" t="n">
        <f aca="false">(1-EXP(-r_minor*rr_asa_minor*dt))</f>
        <v>0.0278181950466747</v>
      </c>
      <c r="CQ7" s="57" t="n">
        <f aca="false">CJ7*CK7</f>
        <v>4.94938801722545E-005</v>
      </c>
      <c r="CR7" s="57" t="n">
        <f aca="false">CJ7*CL7</f>
        <v>7.70245970185723E-006</v>
      </c>
      <c r="CS7" s="57" t="n">
        <f aca="false">CJ7*CM7</f>
        <v>7.16240282059873E-005</v>
      </c>
      <c r="CT7" s="57" t="n">
        <f aca="false">CJ7*CN7</f>
        <v>1.60594456595241E-005</v>
      </c>
      <c r="CU7" s="57" t="n">
        <f aca="false">CJ7*CO7</f>
        <v>2.35356486795469E-005</v>
      </c>
      <c r="CV7" s="57" t="n">
        <f aca="false">CJ7*CP7</f>
        <v>0.000209332941627949</v>
      </c>
      <c r="CW7" s="57" t="n">
        <f aca="false">CQ7*f_stroke_fatal</f>
        <v>1.17300496008243E-005</v>
      </c>
      <c r="CX7" s="57" t="n">
        <f aca="false">CQ7*(1-f_stroke_fatal)*f_stroke_major</f>
        <v>1.25753555802863E-005</v>
      </c>
      <c r="CY7" s="57" t="n">
        <f aca="false">CQ7*(1-f_stroke_fatal)*(1-f_stroke_major)</f>
        <v>2.51884749911439E-005</v>
      </c>
      <c r="CZ7" s="57" t="n">
        <f aca="false">CR7*(1-f_bleed_fatal)</f>
        <v>7.05545308690122E-006</v>
      </c>
      <c r="DA7" s="57" t="n">
        <f aca="false">CS7*(1-f_bleed_fatal)</f>
        <v>6.56076098366843E-005</v>
      </c>
      <c r="DB7" s="57" t="n">
        <f aca="false">CT7*f_mi_fatal</f>
        <v>1.94319292480242E-006</v>
      </c>
      <c r="DC7" s="57" t="n">
        <f aca="false">CT7-DB7</f>
        <v>1.41162527347217E-005</v>
      </c>
      <c r="DD7" s="57" t="n">
        <f aca="false">CJ7-CQ7-CR7-CS7-DB7</f>
        <v>0.00739427324590224</v>
      </c>
      <c r="DE7" s="19" t="n">
        <f aca="false">CW7*c_stroke_fatal+CX7*c_stroke_major+CY7*c_stroke_minor+CR7*c_ich+CS7*c_major_bleed+DB7*c_mi_fatal+DC7*c_mi_nonfatal+CU7*c_tia+CV7*c_minor_bleed</f>
        <v>2.84198994456141</v>
      </c>
      <c r="DF7" s="57" t="n">
        <f aca="false">dt*(DC7*dec_mi+DA7*dec_major_bleed+CV7*dec_minor_bleed+CU7*dec_tia)</f>
        <v>3.23648293799296E-006</v>
      </c>
      <c r="DG7" s="57" t="n">
        <f aca="false">J7*CI7+CW7+CR7-CZ7+CS7-DA7+DB7</f>
        <v>8.37312181542381E-005</v>
      </c>
      <c r="DH7" s="57" t="n">
        <f aca="false">AG7</f>
        <v>0.954882759106238</v>
      </c>
      <c r="DI7" s="57" t="n">
        <f aca="false">AB7+AC7+BF7+BA7+BB7+BC7+CY7+CZ7</f>
        <v>0.00756111302629819</v>
      </c>
      <c r="DJ7" s="57" t="n">
        <f aca="false">AA7+AZ7+BY7+CX7+CE7+BZ7+CA7+CB7</f>
        <v>0.00201293466198409</v>
      </c>
      <c r="DK7" s="57" t="n">
        <f aca="false">AD7+DD7+DA7</f>
        <v>0.0148753059505146</v>
      </c>
      <c r="DL7" s="57" t="n">
        <f aca="false">K7+AJ7+BI7+CH7+DG7</f>
        <v>0.0206678872549651</v>
      </c>
      <c r="DM7" s="58" t="n">
        <f aca="false">SUM(DH7:DL7)</f>
        <v>1</v>
      </c>
      <c r="DN7" s="19" t="n">
        <f aca="false">dt*(G7*Warfarin!$H$2+(H7+I7+J7)*c_aspirin)</f>
        <v>93.988795032146</v>
      </c>
      <c r="DO7" s="19" t="n">
        <f aca="false">dt*(H7*c_lt_minor_stroke+I7*c_lt_major_stroke)</f>
        <v>17.0357513278621</v>
      </c>
      <c r="DP7" s="19" t="n">
        <f aca="false">AH7+BG7+CF7+DE7</f>
        <v>283.391003627676</v>
      </c>
      <c r="DQ7" s="19" t="n">
        <f aca="false">DN7+DO7+DP7</f>
        <v>394.415549987684</v>
      </c>
      <c r="DR7" s="57" t="n">
        <f aca="false">dt*(G7*(u_af-dec_per_year_over_70*MAX(B7-ref_age,0))+H7*(u_minor_stroke-dec_per_year_over_70*MAX(B7-ref_age,0))+I7*(u_major_stroke-dec_per_year_over_70*MAX(B7-ref_age,0))+J7*(u_af-dec_per_year_over_70*MAX(B7-ref_age,0)))-AI7-BH7-CG7-DF7</f>
        <v>0.199804904926996</v>
      </c>
      <c r="DS7" s="57" t="n">
        <f aca="false">dt*(G7+H7+I7+J7)</f>
        <v>0.247414187522439</v>
      </c>
      <c r="DT7" s="19" t="n">
        <f aca="false">DQ7*C7</f>
        <v>392.950203729734</v>
      </c>
      <c r="DU7" s="19" t="n">
        <f aca="false">DN7*C7</f>
        <v>93.6396046183962</v>
      </c>
      <c r="DV7" s="19" t="n">
        <f aca="false">DP7*C7</f>
        <v>282.338139594512</v>
      </c>
      <c r="DW7" s="19" t="n">
        <f aca="false">DO7*C7</f>
        <v>16.9724595168257</v>
      </c>
      <c r="DX7" s="57" t="n">
        <f aca="false">DR7*C7</f>
        <v>0.199062582851298</v>
      </c>
      <c r="DY7" s="57" t="n">
        <f aca="false">DS7*C7</f>
        <v>0.246494985797606</v>
      </c>
      <c r="DZ7" s="57" t="n">
        <f aca="false">T7+AS7+BR7+CQ7</f>
        <v>0.00405757692934253</v>
      </c>
      <c r="EA7" s="57" t="n">
        <f aca="false">U7+AT7+BS7+CR7</f>
        <v>0.00195650586778833</v>
      </c>
      <c r="EB7" s="57" t="n">
        <f aca="false">V7+AU7+BT7+CS7</f>
        <v>0.00821250561966857</v>
      </c>
      <c r="EC7" s="57" t="n">
        <f aca="false">G7*dt*C7</f>
        <v>0.243392695523716</v>
      </c>
    </row>
    <row r="8" customFormat="false" ht="15" hidden="false" customHeight="false" outlineLevel="0" collapsed="false">
      <c r="A8" s="8" t="n">
        <v>2</v>
      </c>
      <c r="B8" s="54" t="n">
        <f aca="false">start_age+A8*dt</f>
        <v>70.5</v>
      </c>
      <c r="C8" s="16" t="n">
        <f aca="false">(1+disc_rate)^-(A8*dt)</f>
        <v>0.99258333397093</v>
      </c>
      <c r="D8" s="55" t="n">
        <f aca="false">IF(A8*dt&gt;=wane_start,(1-wane_decay)^(A8*dt-wane_start),1)</f>
        <v>1</v>
      </c>
      <c r="E8" s="25" t="n">
        <f aca="false">MIN(p_nonvasc_death*MIN(EXP(gomp_int+gomp_slope*INT(B8)),1)/qx_ref,0.999)</f>
        <v>0.033</v>
      </c>
      <c r="F8" s="55" t="n">
        <f aca="false">rr_stroke_per_decade^((B8-ref_age)/10)</f>
        <v>1.02048015364945</v>
      </c>
      <c r="G8" s="57" t="n">
        <f aca="false">DH7</f>
        <v>0.954882759106238</v>
      </c>
      <c r="H8" s="57" t="n">
        <f aca="false">DI7</f>
        <v>0.00756111302629819</v>
      </c>
      <c r="I8" s="57" t="n">
        <f aca="false">DJ7</f>
        <v>0.00201293466198409</v>
      </c>
      <c r="J8" s="57" t="n">
        <f aca="false">DK7</f>
        <v>0.0148753059505146</v>
      </c>
      <c r="K8" s="57" t="n">
        <f aca="false">DL7</f>
        <v>0.0206678872549651</v>
      </c>
      <c r="L8" s="57" t="n">
        <f aca="false">1-EXP(LN(1-E8)*dt)</f>
        <v>0.00835410477572107</v>
      </c>
      <c r="M8" s="57" t="n">
        <f aca="false">G8*(1-L8)</f>
        <v>0.946905568488135</v>
      </c>
      <c r="N8" s="57" t="n">
        <f aca="false">IF(Warfarin!$B$2=1,EXP(LN(or_apx_stroke)*D8)*(1-EXP(-r_stroke*F8*dt))/(1-(1-EXP(-r_stroke*F8*dt))+EXP(LN(or_apx_stroke)*D8)*(1-EXP(-r_stroke*F8*dt))),(1-EXP(-r_stroke*F8*dt)))</f>
        <v>0.00410647381991369</v>
      </c>
      <c r="O8" s="57" t="n">
        <f aca="false">IF(Warfarin!$B$2=1,EXP(LN(or_apx_ich)*D8)*(1-EXP(-r_ich*dt))/(1-(1-EXP(-r_ich*dt))+EXP(LN(or_apx_ich)*D8)*(1-EXP(-r_ich*dt))),(1-EXP(-r_ich*dt)))</f>
        <v>0.0020060281549299</v>
      </c>
      <c r="P8" s="57" t="n">
        <f aca="false">IF(Warfarin!$B$2=1,EXP(LN(or_apx_mb)*D8)*(1-EXP(-r_mb*dt))/(1-(1-EXP(-r_mb*dt))+EXP(LN(or_apx_mb)*D8)*(1-EXP(-r_mb*dt))),(1-EXP(-r_mb*dt)))</f>
        <v>0.00835410477572107</v>
      </c>
      <c r="Q8" s="57" t="n">
        <f aca="false">IF(Warfarin!$B$2=1,EXP(LN(or_apx_mi)*D8)*(1-EXP(-r_mi*dt))/(1-(1-EXP(-r_mi*dt))+EXP(LN(or_apx_mi)*D8)*(1-EXP(-r_mi*dt))),(1-EXP(-r_mi*dt)))</f>
        <v>0.00150338686144691</v>
      </c>
      <c r="R8" s="57" t="n">
        <f aca="false">(1-EXP(-r_tia*dt))</f>
        <v>0.0020060281549299</v>
      </c>
      <c r="S8" s="57" t="n">
        <f aca="false">(1-EXP(-r_minor*dt))</f>
        <v>0.0437937690785545</v>
      </c>
      <c r="T8" s="57" t="n">
        <f aca="false">M8*N8</f>
        <v>0.00388844292692702</v>
      </c>
      <c r="U8" s="57" t="n">
        <f aca="false">M8*O8</f>
        <v>0.0018995192304471</v>
      </c>
      <c r="V8" s="57" t="n">
        <f aca="false">M8*P8</f>
        <v>0.00791054833186361</v>
      </c>
      <c r="W8" s="57" t="n">
        <f aca="false">M8*Q8</f>
        <v>0.00142356539069598</v>
      </c>
      <c r="X8" s="57" t="n">
        <f aca="false">M8*R8</f>
        <v>0.0018995192304471</v>
      </c>
      <c r="Y8" s="57" t="n">
        <f aca="false">M8*S8</f>
        <v>0.0414685638055667</v>
      </c>
      <c r="Z8" s="57" t="n">
        <f aca="false">T8*f_stroke_fatal</f>
        <v>0.000921560973681703</v>
      </c>
      <c r="AA8" s="57" t="n">
        <f aca="false">T8*(1-f_stroke_fatal)*f_stroke_major</f>
        <v>0.00098797169043069</v>
      </c>
      <c r="AB8" s="57" t="n">
        <f aca="false">T8*(1-f_stroke_fatal)*(1-f_stroke_major)</f>
        <v>0.00197891026281463</v>
      </c>
      <c r="AC8" s="57" t="n">
        <f aca="false">U8*(1-f_bleed_fatal)</f>
        <v>0.00173995961508954</v>
      </c>
      <c r="AD8" s="57" t="n">
        <f aca="false">V8*(1-f_bleed_fatal)</f>
        <v>0.00724606227198706</v>
      </c>
      <c r="AE8" s="57" t="n">
        <f aca="false">W8*f_mi_fatal</f>
        <v>0.000172251412274213</v>
      </c>
      <c r="AF8" s="57" t="n">
        <f aca="false">W8-AE8</f>
        <v>0.00125131397842177</v>
      </c>
      <c r="AG8" s="57" t="n">
        <f aca="false">M8-T8-U8-V8-AE8</f>
        <v>0.933034806586623</v>
      </c>
      <c r="AH8" s="19" t="n">
        <f aca="false">Z8*c_stroke_fatal+AA8*c_stroke_major+AB8*c_stroke_minor+U8*c_ich+V8*c_major_bleed+AE8*c_mi_fatal+AF8*c_mi_nonfatal+X8*c_tia+Y8*c_minor_bleed</f>
        <v>272.641082656966</v>
      </c>
      <c r="AI8" s="57" t="n">
        <f aca="false">dt*(AF8*dec_mi+AD8*dec_major_bleed+Y8*dec_minor_bleed+X8*dec_tia)</f>
        <v>0.000389448446633487</v>
      </c>
      <c r="AJ8" s="57" t="n">
        <f aca="false">G8*L8+Z8+U8-AC8+V8-AD8+AE8</f>
        <v>0.00989504867929315</v>
      </c>
      <c r="AK8" s="57" t="n">
        <f aca="false">1-EXP(LN(1-E8)*hr_death_prior_stroke*dt)</f>
        <v>0.0191101906321427</v>
      </c>
      <c r="AL8" s="57" t="n">
        <f aca="false">H8*(1-AK8)</f>
        <v>0.00741661871497445</v>
      </c>
      <c r="AM8" s="57" t="n">
        <f aca="false">(1-EXP(-r_stroke*F8*rr_stroke_prior*rr_asa_stroke*dt))</f>
        <v>0.0145585891093775</v>
      </c>
      <c r="AN8" s="57" t="n">
        <f aca="false">(1-EXP(-r_ich*rr_asa_ich*dt))</f>
        <v>0.00102357767802375</v>
      </c>
      <c r="AO8" s="57" t="n">
        <f aca="false">(1-EXP(-r_mb*rr_asa_mb*dt))</f>
        <v>0.00951809672747972</v>
      </c>
      <c r="AP8" s="57" t="n">
        <f aca="false">(1-EXP(-r_mi*rr_asa_mi*dt))</f>
        <v>0.00213413516393479</v>
      </c>
      <c r="AQ8" s="57" t="n">
        <f aca="false">(1-EXP(-r_tia*rr_asa_tia*dt))</f>
        <v>0.00312764565589152</v>
      </c>
      <c r="AR8" s="57" t="n">
        <f aca="false">(1-EXP(-r_minor*rr_asa_minor*dt))</f>
        <v>0.0278181950466747</v>
      </c>
      <c r="AS8" s="57" t="n">
        <f aca="false">AL8*AM8</f>
        <v>0.000107975504452232</v>
      </c>
      <c r="AT8" s="57" t="n">
        <f aca="false">AL8*AN8</f>
        <v>7.59148536306101E-006</v>
      </c>
      <c r="AU8" s="57" t="n">
        <f aca="false">AL8*AO8</f>
        <v>7.05920943199632E-005</v>
      </c>
      <c r="AV8" s="57" t="n">
        <f aca="false">AL8*AP8</f>
        <v>1.58280667971238E-005</v>
      </c>
      <c r="AW8" s="57" t="n">
        <f aca="false">AL8*AQ8</f>
        <v>2.31965553052936E-005</v>
      </c>
      <c r="AX8" s="57" t="n">
        <f aca="false">AL8*AR8</f>
        <v>0.000206316945999977</v>
      </c>
      <c r="AY8" s="57" t="n">
        <f aca="false">AS8*f_stroke_fatal_recur</f>
        <v>4.01766054516311E-005</v>
      </c>
      <c r="AZ8" s="57" t="n">
        <f aca="false">AS8*(1-f_stroke_fatal_recur)*f_stroke_major</f>
        <v>2.25770333672002E-005</v>
      </c>
      <c r="BA8" s="57" t="n">
        <f aca="false">AS8*(1-f_stroke_fatal_recur)*(1-f_stroke_major)</f>
        <v>4.52218656334009E-005</v>
      </c>
      <c r="BB8" s="57" t="n">
        <f aca="false">AT8*(1-f_bleed_fatal)</f>
        <v>6.95380059256388E-006</v>
      </c>
      <c r="BC8" s="57" t="n">
        <f aca="false">AU8*(1-f_bleed_fatal)</f>
        <v>6.46623583970863E-005</v>
      </c>
      <c r="BD8" s="57" t="n">
        <f aca="false">AV8*f_mi_fatal</f>
        <v>1.91519608245199E-006</v>
      </c>
      <c r="BE8" s="57" t="n">
        <f aca="false">AV8-BD8</f>
        <v>1.39128707146719E-005</v>
      </c>
      <c r="BF8" s="57" t="n">
        <f aca="false">AL8-AS8-AT8-AU8-BD8</f>
        <v>0.00722854443475674</v>
      </c>
      <c r="BG8" s="19" t="n">
        <f aca="false">AY8*c_stroke_fatal+AZ8*c_stroke_major+BA8*c_stroke_minor+AT8*c_ich+AU8*c_major_bleed+BD8*c_mi_fatal+BE8*c_mi_nonfatal+AW8*c_tia+AX8*c_minor_bleed</f>
        <v>4.72164572279367</v>
      </c>
      <c r="BH8" s="57" t="n">
        <f aca="false">dt*(BE8*dec_mi+BC8*dec_major_bleed+AX8*dec_minor_bleed+AW8*dec_tia)</f>
        <v>3.18985282657772E-006</v>
      </c>
      <c r="BI8" s="57" t="n">
        <f aca="false">H8*AK8+AY8+AT8-BB8+AU8-BC8+BD8</f>
        <v>0.000193153533551193</v>
      </c>
      <c r="BJ8" s="57" t="n">
        <f aca="false">1-EXP(LN(1-E8)*hr_death_prior_stroke*dt)</f>
        <v>0.0191101906321427</v>
      </c>
      <c r="BK8" s="57" t="n">
        <f aca="false">I8*(1-BJ8)</f>
        <v>0.00197446709686352</v>
      </c>
      <c r="BL8" s="57" t="n">
        <f aca="false">(1-EXP(-r_stroke*F8*rr_stroke_prior*rr_asa_stroke*dt))</f>
        <v>0.0145585891093775</v>
      </c>
      <c r="BM8" s="57" t="n">
        <f aca="false">(1-EXP(-r_ich*rr_asa_ich*dt))</f>
        <v>0.00102357767802375</v>
      </c>
      <c r="BN8" s="57" t="n">
        <f aca="false">(1-EXP(-r_mb*rr_asa_mb*dt))</f>
        <v>0.00951809672747972</v>
      </c>
      <c r="BO8" s="57" t="n">
        <f aca="false">(1-EXP(-r_mi*rr_asa_mi*dt))</f>
        <v>0.00213413516393479</v>
      </c>
      <c r="BP8" s="57" t="n">
        <f aca="false">(1-EXP(-r_tia*rr_asa_tia*dt))</f>
        <v>0.00312764565589152</v>
      </c>
      <c r="BQ8" s="57" t="n">
        <f aca="false">(1-EXP(-r_minor*rr_asa_minor*dt))</f>
        <v>0.0278181950466747</v>
      </c>
      <c r="BR8" s="57" t="n">
        <f aca="false">BK8*BL8</f>
        <v>2.87454551732214E-005</v>
      </c>
      <c r="BS8" s="57" t="n">
        <f aca="false">BK8*BM8</f>
        <v>2.02102044634185E-006</v>
      </c>
      <c r="BT8" s="57" t="n">
        <f aca="false">BK8*BN8</f>
        <v>1.87931688131731E-005</v>
      </c>
      <c r="BU8" s="57" t="n">
        <f aca="false">BK8*BO8</f>
        <v>4.21377966144869E-006</v>
      </c>
      <c r="BV8" s="57" t="n">
        <f aca="false">BK8*BP8</f>
        <v>6.17543343820594E-006</v>
      </c>
      <c r="BW8" s="57" t="n">
        <f aca="false">BK8*BQ8</f>
        <v>5.49261108137911E-005</v>
      </c>
      <c r="BX8" s="57" t="n">
        <f aca="false">BR8*f_stroke_fatal_recur</f>
        <v>1.0695896415404E-005</v>
      </c>
      <c r="BY8" s="57" t="n">
        <f aca="false">BR8*(1-f_stroke_fatal_recur)*f_stroke_major</f>
        <v>6.01050306635322E-006</v>
      </c>
      <c r="BZ8" s="57" t="n">
        <f aca="false">BR8*(1-f_stroke_fatal_recur)*(1-f_stroke_major)</f>
        <v>1.20390556914643E-005</v>
      </c>
      <c r="CA8" s="57" t="n">
        <f aca="false">BS8*(1-f_bleed_fatal)</f>
        <v>1.85125472884914E-006</v>
      </c>
      <c r="CB8" s="57" t="n">
        <f aca="false">BT8*(1-f_bleed_fatal)</f>
        <v>1.72145426328666E-005</v>
      </c>
      <c r="CC8" s="57" t="n">
        <f aca="false">BU8*f_mi_fatal</f>
        <v>5.09867339035291E-007</v>
      </c>
      <c r="CD8" s="57" t="n">
        <f aca="false">BU8-CC8</f>
        <v>3.7039123224134E-006</v>
      </c>
      <c r="CE8" s="57" t="n">
        <f aca="false">BK8-BR8-BS8-BT8-CC8</f>
        <v>0.00192439758509175</v>
      </c>
      <c r="CF8" s="19" t="n">
        <f aca="false">BX8*c_stroke_fatal+BY8*c_stroke_major+BZ8*c_stroke_minor+BS8*c_ich+BT8*c_major_bleed+CC8*c_mi_fatal+CD8*c_mi_nonfatal+BV8*c_tia+BW8*c_minor_bleed</f>
        <v>1.25700598628315</v>
      </c>
      <c r="CG8" s="57" t="n">
        <f aca="false">dt*(CD8*dec_mi+CB8*dec_major_bleed+BW8*dec_minor_bleed+BV8*dec_tia)</f>
        <v>8.49209011809973E-007</v>
      </c>
      <c r="CH8" s="57" t="n">
        <f aca="false">I8*BJ8+BX8+BS8-CA8+BT8-CB8+CC8</f>
        <v>5.14217207728021E-005</v>
      </c>
      <c r="CI8" s="57" t="n">
        <f aca="false">1-EXP(LN(1-E8)*dt)</f>
        <v>0.00835410477572107</v>
      </c>
      <c r="CJ8" s="57" t="n">
        <f aca="false">J8*(1-CI8)</f>
        <v>0.0147510360860331</v>
      </c>
      <c r="CK8" s="57" t="n">
        <f aca="false">(1-EXP(-r_stroke*F8*rr_asa_stroke*dt))</f>
        <v>0.00664401451450725</v>
      </c>
      <c r="CL8" s="57" t="n">
        <f aca="false">(1-EXP(-r_ich*rr_asa_ich*dt))</f>
        <v>0.00102357767802375</v>
      </c>
      <c r="CM8" s="57" t="n">
        <f aca="false">(1-EXP(-r_mb*rr_asa_mb*dt))</f>
        <v>0.00951809672747972</v>
      </c>
      <c r="CN8" s="57" t="n">
        <f aca="false">(1-EXP(-r_mi*rr_asa_mi*dt))</f>
        <v>0.00213413516393479</v>
      </c>
      <c r="CO8" s="57" t="n">
        <f aca="false">(1-EXP(-r_tia*rr_asa_tia*dt))</f>
        <v>0.00312764565589152</v>
      </c>
      <c r="CP8" s="57" t="n">
        <f aca="false">(1-EXP(-r_minor*rr_asa_minor*dt))</f>
        <v>0.0278181950466747</v>
      </c>
      <c r="CQ8" s="57" t="n">
        <f aca="false">CJ8*CK8</f>
        <v>9.80060978596241E-005</v>
      </c>
      <c r="CR8" s="57" t="n">
        <f aca="false">CJ8*CL8</f>
        <v>1.50988312653863E-005</v>
      </c>
      <c r="CS8" s="57" t="n">
        <f aca="false">CJ8*CM8</f>
        <v>0.000140401788297407</v>
      </c>
      <c r="CT8" s="57" t="n">
        <f aca="false">CJ8*CN8</f>
        <v>3.14807048156743E-005</v>
      </c>
      <c r="CU8" s="57" t="n">
        <f aca="false">CJ8*CO8</f>
        <v>4.61360139343805E-005</v>
      </c>
      <c r="CV8" s="57" t="n">
        <f aca="false">CJ8*CP8</f>
        <v>0.000410347198981806</v>
      </c>
      <c r="CW8" s="57" t="n">
        <f aca="false">CQ8*f_stroke_fatal</f>
        <v>2.32274451927309E-005</v>
      </c>
      <c r="CX8" s="57" t="n">
        <f aca="false">CQ8*(1-f_stroke_fatal)*f_stroke_major</f>
        <v>2.49012913380754E-005</v>
      </c>
      <c r="CY8" s="57" t="n">
        <f aca="false">CQ8*(1-f_stroke_fatal)*(1-f_stroke_major)</f>
        <v>4.98773613288178E-005</v>
      </c>
      <c r="CZ8" s="57" t="n">
        <f aca="false">CR8*(1-f_bleed_fatal)</f>
        <v>1.38305294390938E-005</v>
      </c>
      <c r="DA8" s="57" t="n">
        <f aca="false">CS8*(1-f_bleed_fatal)</f>
        <v>0.000128608038080425</v>
      </c>
      <c r="DB8" s="57" t="n">
        <f aca="false">CT8*f_mi_fatal</f>
        <v>3.80916528269659E-006</v>
      </c>
      <c r="DC8" s="57" t="n">
        <f aca="false">CT8-DB8</f>
        <v>2.76715395329777E-005</v>
      </c>
      <c r="DD8" s="57" t="n">
        <f aca="false">CJ8-CQ8-CR8-CS8-DB8</f>
        <v>0.014493720203328</v>
      </c>
      <c r="DE8" s="19" t="n">
        <f aca="false">CW8*c_stroke_fatal+CX8*c_stroke_major+CY8*c_stroke_minor+CR8*c_ich+CS8*c_major_bleed+DB8*c_mi_fatal+DC8*c_mi_nonfatal+CU8*c_tia+CV8*c_minor_bleed</f>
        <v>5.60744191411464</v>
      </c>
      <c r="DF8" s="57" t="n">
        <f aca="false">dt*(DC8*dec_mi+DA8*dec_major_bleed+CV8*dec_minor_bleed+CU8*dec_tia)</f>
        <v>6.34435124175649E-006</v>
      </c>
      <c r="DG8" s="57" t="n">
        <f aca="false">J8*CI8+CW8+CR8-CZ8+CS8-DA8+DB8</f>
        <v>0.000164368527000208</v>
      </c>
      <c r="DH8" s="57" t="n">
        <f aca="false">AG8</f>
        <v>0.933034806586623</v>
      </c>
      <c r="DI8" s="57" t="n">
        <f aca="false">AB8+AC8+BF8+BA8+BB8+BC8+CY8+CZ8</f>
        <v>0.0111279602280519</v>
      </c>
      <c r="DJ8" s="57" t="n">
        <f aca="false">AA8+AZ8+BY8+CX8+CE8+BZ8+CA8+CB8</f>
        <v>0.00299696295634725</v>
      </c>
      <c r="DK8" s="57" t="n">
        <f aca="false">AD8+DD8+DA8</f>
        <v>0.0218683905133955</v>
      </c>
      <c r="DL8" s="57" t="n">
        <f aca="false">K8+AJ8+BI8+CH8+DG8</f>
        <v>0.0309718797155824</v>
      </c>
      <c r="DM8" s="58" t="n">
        <f aca="false">SUM(DH8:DL8)</f>
        <v>1</v>
      </c>
      <c r="DN8" s="19" t="n">
        <f aca="false">dt*(G8*Warfarin!$H$2+(H8+I8+J8)*c_aspirin)</f>
        <v>91.9619975846076</v>
      </c>
      <c r="DO8" s="19" t="n">
        <f aca="false">dt*(H8*c_lt_minor_stroke+I8*c_lt_major_stroke)</f>
        <v>33.5819811551483</v>
      </c>
      <c r="DP8" s="19" t="n">
        <f aca="false">AH8+BG8+CF8+DE8</f>
        <v>284.227176280157</v>
      </c>
      <c r="DQ8" s="19" t="n">
        <f aca="false">DN8+DO8+DP8</f>
        <v>409.771155019913</v>
      </c>
      <c r="DR8" s="57" t="n">
        <f aca="false">dt*(G8*(u_af-dec_per_year_over_70*MAX(B8-ref_age,0))+H8*(u_minor_stroke-dec_per_year_over_70*MAX(B8-ref_age,0))+I8*(u_major_stroke-dec_per_year_over_70*MAX(B8-ref_age,0))+J8*(u_af-dec_per_year_over_70*MAX(B8-ref_age,0)))-AI8-BH8-CG8-DF8</f>
        <v>0.197525759734767</v>
      </c>
      <c r="DS8" s="57" t="n">
        <f aca="false">dt*(G8+H8+I8+J8)</f>
        <v>0.244833028186259</v>
      </c>
      <c r="DT8" s="19" t="n">
        <f aca="false">DQ8*C8</f>
        <v>406.732019214784</v>
      </c>
      <c r="DU8" s="19" t="n">
        <f aca="false">DN8*C8</f>
        <v>91.2799461611565</v>
      </c>
      <c r="DV8" s="19" t="n">
        <f aca="false">DP8*C8</f>
        <v>282.119158237302</v>
      </c>
      <c r="DW8" s="19" t="n">
        <f aca="false">DO8*C8</f>
        <v>33.332914816326</v>
      </c>
      <c r="DX8" s="57" t="n">
        <f aca="false">DR8*C8</f>
        <v>0.196060777142676</v>
      </c>
      <c r="DY8" s="57" t="n">
        <f aca="false">DS8*C8</f>
        <v>0.243017183383315</v>
      </c>
      <c r="DZ8" s="57" t="n">
        <f aca="false">T8+AS8+BR8+CQ8</f>
        <v>0.0041231699844121</v>
      </c>
      <c r="EA8" s="57" t="n">
        <f aca="false">U8+AT8+BS8+CR8</f>
        <v>0.00192423056752189</v>
      </c>
      <c r="EB8" s="57" t="n">
        <f aca="false">V8+AU8+BT8+CS8</f>
        <v>0.00814033538329415</v>
      </c>
      <c r="EC8" s="57" t="n">
        <f aca="false">G8*dt*C8</f>
        <v>0.236950178146258</v>
      </c>
    </row>
    <row r="9" customFormat="false" ht="15" hidden="false" customHeight="false" outlineLevel="0" collapsed="false">
      <c r="A9" s="8" t="n">
        <v>3</v>
      </c>
      <c r="B9" s="54" t="n">
        <f aca="false">start_age+A9*dt</f>
        <v>70.75</v>
      </c>
      <c r="C9" s="16" t="n">
        <f aca="false">(1+disc_rate)^-(A9*dt)</f>
        <v>0.9888956541262</v>
      </c>
      <c r="D9" s="55" t="n">
        <f aca="false">IF(A9*dt&gt;=wane_start,(1-wane_decay)^(A9*dt-wane_start),1)</f>
        <v>1</v>
      </c>
      <c r="E9" s="25" t="n">
        <f aca="false">MIN(p_nonvasc_death*MIN(EXP(gomp_int+gomp_slope*INT(B9)),1)/qx_ref,0.999)</f>
        <v>0.033</v>
      </c>
      <c r="F9" s="55" t="n">
        <f aca="false">rr_stroke_per_decade^((B9-ref_age)/10)</f>
        <v>1.03087698643282</v>
      </c>
      <c r="G9" s="57" t="n">
        <f aca="false">DH8</f>
        <v>0.933034806586623</v>
      </c>
      <c r="H9" s="57" t="n">
        <f aca="false">DI8</f>
        <v>0.0111279602280519</v>
      </c>
      <c r="I9" s="57" t="n">
        <f aca="false">DJ8</f>
        <v>0.00299696295634725</v>
      </c>
      <c r="J9" s="57" t="n">
        <f aca="false">DK8</f>
        <v>0.0218683905133955</v>
      </c>
      <c r="K9" s="57" t="n">
        <f aca="false">DL8</f>
        <v>0.0309718797155824</v>
      </c>
      <c r="L9" s="57" t="n">
        <f aca="false">1-EXP(LN(1-E9)*dt)</f>
        <v>0.00835410477572107</v>
      </c>
      <c r="M9" s="57" t="n">
        <f aca="false">G9*(1-L9)</f>
        <v>0.925240136053004</v>
      </c>
      <c r="N9" s="57" t="n">
        <f aca="false">IF(Warfarin!$B$2=1,EXP(LN(or_apx_stroke)*D9)*(1-EXP(-r_stroke*F9*dt))/(1-(1-EXP(-r_stroke*F9*dt))+EXP(LN(or_apx_stroke)*D9)*(1-EXP(-r_stroke*F9*dt))),(1-EXP(-r_stroke*F9*dt)))</f>
        <v>0.00414822440819063</v>
      </c>
      <c r="O9" s="57" t="n">
        <f aca="false">IF(Warfarin!$B$2=1,EXP(LN(or_apx_ich)*D9)*(1-EXP(-r_ich*dt))/(1-(1-EXP(-r_ich*dt))+EXP(LN(or_apx_ich)*D9)*(1-EXP(-r_ich*dt))),(1-EXP(-r_ich*dt)))</f>
        <v>0.0020060281549299</v>
      </c>
      <c r="P9" s="57" t="n">
        <f aca="false">IF(Warfarin!$B$2=1,EXP(LN(or_apx_mb)*D9)*(1-EXP(-r_mb*dt))/(1-(1-EXP(-r_mb*dt))+EXP(LN(or_apx_mb)*D9)*(1-EXP(-r_mb*dt))),(1-EXP(-r_mb*dt)))</f>
        <v>0.00835410477572107</v>
      </c>
      <c r="Q9" s="57" t="n">
        <f aca="false">IF(Warfarin!$B$2=1,EXP(LN(or_apx_mi)*D9)*(1-EXP(-r_mi*dt))/(1-(1-EXP(-r_mi*dt))+EXP(LN(or_apx_mi)*D9)*(1-EXP(-r_mi*dt))),(1-EXP(-r_mi*dt)))</f>
        <v>0.00150338686144691</v>
      </c>
      <c r="R9" s="57" t="n">
        <f aca="false">(1-EXP(-r_tia*dt))</f>
        <v>0.0020060281549299</v>
      </c>
      <c r="S9" s="57" t="n">
        <f aca="false">(1-EXP(-r_minor*dt))</f>
        <v>0.0437937690785545</v>
      </c>
      <c r="T9" s="57" t="n">
        <f aca="false">M9*N9</f>
        <v>0.00383810371581269</v>
      </c>
      <c r="U9" s="57" t="n">
        <f aca="false">M9*O9</f>
        <v>0.00185605776299349</v>
      </c>
      <c r="V9" s="57" t="n">
        <f aca="false">M9*P9</f>
        <v>0.00772955303928921</v>
      </c>
      <c r="W9" s="57" t="n">
        <f aca="false">M9*Q9</f>
        <v>0.00139099386422544</v>
      </c>
      <c r="X9" s="57" t="n">
        <f aca="false">M9*R9</f>
        <v>0.00185605776299349</v>
      </c>
      <c r="Y9" s="57" t="n">
        <f aca="false">M9*S9</f>
        <v>0.0405197528605156</v>
      </c>
      <c r="Z9" s="57" t="n">
        <f aca="false">T9*f_stroke_fatal</f>
        <v>0.000909630580647607</v>
      </c>
      <c r="AA9" s="57" t="n">
        <f aca="false">T9*(1-f_stroke_fatal)*f_stroke_major</f>
        <v>0.000975181554009972</v>
      </c>
      <c r="AB9" s="57" t="n">
        <f aca="false">T9*(1-f_stroke_fatal)*(1-f_stroke_major)</f>
        <v>0.00195329158115511</v>
      </c>
      <c r="AC9" s="57" t="n">
        <f aca="false">U9*(1-f_bleed_fatal)</f>
        <v>0.00170014891090204</v>
      </c>
      <c r="AD9" s="57" t="n">
        <f aca="false">V9*(1-f_bleed_fatal)</f>
        <v>0.00708027058398892</v>
      </c>
      <c r="AE9" s="57" t="n">
        <f aca="false">W9*f_mi_fatal</f>
        <v>0.000168310257571278</v>
      </c>
      <c r="AF9" s="57" t="n">
        <f aca="false">W9-AE9</f>
        <v>0.00122268360665416</v>
      </c>
      <c r="AG9" s="57" t="n">
        <f aca="false">M9-T9-U9-V9-AE9</f>
        <v>0.911648111277337</v>
      </c>
      <c r="AH9" s="19" t="n">
        <f aca="false">Z9*c_stroke_fatal+AA9*c_stroke_major+AB9*c_stroke_minor+U9*c_ich+V9*c_major_bleed+AE9*c_mi_fatal+AF9*c_mi_nonfatal+X9*c_tia+Y9*c_minor_bleed</f>
        <v>267.830249444372</v>
      </c>
      <c r="AI9" s="57" t="n">
        <f aca="false">dt*(AF9*dec_mi+AD9*dec_major_bleed+Y9*dec_minor_bleed+X9*dec_tia)</f>
        <v>0.000380537770333446</v>
      </c>
      <c r="AJ9" s="57" t="n">
        <f aca="false">G9*L9+Z9+U9-AC9+V9-AD9+AE9</f>
        <v>0.00967780267922993</v>
      </c>
      <c r="AK9" s="57" t="n">
        <f aca="false">1-EXP(LN(1-E9)*hr_death_prior_stroke*dt)</f>
        <v>0.0191101906321427</v>
      </c>
      <c r="AL9" s="57" t="n">
        <f aca="false">H9*(1-AK9)</f>
        <v>0.0109153027867469</v>
      </c>
      <c r="AM9" s="57" t="n">
        <f aca="false">(1-EXP(-r_stroke*F9*rr_stroke_prior*rr_asa_stroke*dt))</f>
        <v>0.014705818614597</v>
      </c>
      <c r="AN9" s="57" t="n">
        <f aca="false">(1-EXP(-r_ich*rr_asa_ich*dt))</f>
        <v>0.00102357767802375</v>
      </c>
      <c r="AO9" s="57" t="n">
        <f aca="false">(1-EXP(-r_mb*rr_asa_mb*dt))</f>
        <v>0.00951809672747972</v>
      </c>
      <c r="AP9" s="57" t="n">
        <f aca="false">(1-EXP(-r_mi*rr_asa_mi*dt))</f>
        <v>0.00213413516393479</v>
      </c>
      <c r="AQ9" s="57" t="n">
        <f aca="false">(1-EXP(-r_tia*rr_asa_tia*dt))</f>
        <v>0.00312764565589152</v>
      </c>
      <c r="AR9" s="57" t="n">
        <f aca="false">(1-EXP(-r_minor*rr_asa_minor*dt))</f>
        <v>0.0278181950466747</v>
      </c>
      <c r="AS9" s="57" t="n">
        <f aca="false">AL9*AM9</f>
        <v>0.000160518462905305</v>
      </c>
      <c r="AT9" s="57" t="n">
        <f aca="false">AL9*AN9</f>
        <v>1.11726602813845E-005</v>
      </c>
      <c r="AU9" s="57" t="n">
        <f aca="false">AL9*AO9</f>
        <v>0.000103892907733986</v>
      </c>
      <c r="AV9" s="57" t="n">
        <f aca="false">AL9*AP9</f>
        <v>2.3294731502192E-005</v>
      </c>
      <c r="AW9" s="57" t="n">
        <f aca="false">AL9*AQ9</f>
        <v>3.41391993437095E-005</v>
      </c>
      <c r="AX9" s="57" t="n">
        <f aca="false">AL9*AR9</f>
        <v>0.000303644021915237</v>
      </c>
      <c r="AY9" s="57" t="n">
        <f aca="false">AS9*f_stroke_fatal_recur</f>
        <v>5.97273148624348E-005</v>
      </c>
      <c r="AZ9" s="57" t="n">
        <f aca="false">AS9*(1-f_stroke_fatal_recur)*f_stroke_major</f>
        <v>3.35634522982757E-005</v>
      </c>
      <c r="BA9" s="57" t="n">
        <f aca="false">AS9*(1-f_stroke_fatal_recur)*(1-f_stroke_major)</f>
        <v>6.72276957445942E-005</v>
      </c>
      <c r="BB9" s="57" t="n">
        <f aca="false">AT9*(1-f_bleed_fatal)</f>
        <v>1.02341568177482E-005</v>
      </c>
      <c r="BC9" s="57" t="n">
        <f aca="false">AU9*(1-f_bleed_fatal)</f>
        <v>9.51659034843311E-005</v>
      </c>
      <c r="BD9" s="57" t="n">
        <f aca="false">AV9*f_mi_fatal</f>
        <v>2.81866251176523E-006</v>
      </c>
      <c r="BE9" s="57" t="n">
        <f aca="false">AV9-BD9</f>
        <v>2.04760689904268E-005</v>
      </c>
      <c r="BF9" s="57" t="n">
        <f aca="false">AL9-AS9-AT9-AU9-BD9</f>
        <v>0.0106369000933145</v>
      </c>
      <c r="BG9" s="19" t="n">
        <f aca="false">AY9*c_stroke_fatal+AZ9*c_stroke_major+BA9*c_stroke_minor+AT9*c_ich+AU9*c_major_bleed+BD9*c_mi_fatal+BE9*c_mi_nonfatal+AW9*c_tia+AX9*c_minor_bleed</f>
        <v>7.00442510380693</v>
      </c>
      <c r="BH9" s="57" t="n">
        <f aca="false">dt*(BE9*dec_mi+BC9*dec_major_bleed+AX9*dec_minor_bleed+AW9*dec_tia)</f>
        <v>4.69462039041549E-006</v>
      </c>
      <c r="BI9" s="57" t="n">
        <f aca="false">H9*AK9+AY9+AT9-BB9+AU9-BC9+BD9</f>
        <v>0.000284868926392465</v>
      </c>
      <c r="BJ9" s="57" t="n">
        <f aca="false">1-EXP(LN(1-E9)*hr_death_prior_stroke*dt)</f>
        <v>0.0191101906321427</v>
      </c>
      <c r="BK9" s="57" t="n">
        <f aca="false">I9*(1-BJ9)</f>
        <v>0.00293969042293398</v>
      </c>
      <c r="BL9" s="57" t="n">
        <f aca="false">(1-EXP(-r_stroke*F9*rr_stroke_prior*rr_asa_stroke*dt))</f>
        <v>0.014705818614597</v>
      </c>
      <c r="BM9" s="57" t="n">
        <f aca="false">(1-EXP(-r_ich*rr_asa_ich*dt))</f>
        <v>0.00102357767802375</v>
      </c>
      <c r="BN9" s="57" t="n">
        <f aca="false">(1-EXP(-r_mb*rr_asa_mb*dt))</f>
        <v>0.00951809672747972</v>
      </c>
      <c r="BO9" s="57" t="n">
        <f aca="false">(1-EXP(-r_mi*rr_asa_mi*dt))</f>
        <v>0.00213413516393479</v>
      </c>
      <c r="BP9" s="57" t="n">
        <f aca="false">(1-EXP(-r_tia*rr_asa_tia*dt))</f>
        <v>0.00312764565589152</v>
      </c>
      <c r="BQ9" s="57" t="n">
        <f aca="false">(1-EXP(-r_minor*rr_asa_minor*dt))</f>
        <v>0.0278181950466747</v>
      </c>
      <c r="BR9" s="57" t="n">
        <f aca="false">BK9*BL9</f>
        <v>4.3230554142735E-005</v>
      </c>
      <c r="BS9" s="57" t="n">
        <f aca="false">BK9*BM9</f>
        <v>3.00900149721541E-006</v>
      </c>
      <c r="BT9" s="57" t="n">
        <f aca="false">BK9*BN9</f>
        <v>2.79802577943314E-005</v>
      </c>
      <c r="BU9" s="57" t="n">
        <f aca="false">BK9*BO9</f>
        <v>6.27369670266576E-006</v>
      </c>
      <c r="BV9" s="57" t="n">
        <f aca="false">BK9*BP9</f>
        <v>9.19430998095538E-006</v>
      </c>
      <c r="BW9" s="57" t="n">
        <f aca="false">BK9*BQ9</f>
        <v>8.17768815620193E-005</v>
      </c>
      <c r="BX9" s="57" t="n">
        <f aca="false">BR9*f_stroke_fatal_recur</f>
        <v>1.60856568909703E-005</v>
      </c>
      <c r="BY9" s="57" t="n">
        <f aca="false">BR9*(1-f_stroke_fatal_recur)*f_stroke_major</f>
        <v>9.03925078483766E-006</v>
      </c>
      <c r="BZ9" s="57" t="n">
        <f aca="false">BR9*(1-f_stroke_fatal_recur)*(1-f_stroke_major)</f>
        <v>1.81056464669271E-005</v>
      </c>
      <c r="CA9" s="57" t="n">
        <f aca="false">BS9*(1-f_bleed_fatal)</f>
        <v>2.75624537144932E-006</v>
      </c>
      <c r="CB9" s="57" t="n">
        <f aca="false">BT9*(1-f_bleed_fatal)</f>
        <v>2.56299161396076E-005</v>
      </c>
      <c r="CC9" s="57" t="n">
        <f aca="false">BU9*f_mi_fatal</f>
        <v>7.59117301022557E-007</v>
      </c>
      <c r="CD9" s="57" t="n">
        <f aca="false">BU9-CC9</f>
        <v>5.5145794016432E-006</v>
      </c>
      <c r="CE9" s="57" t="n">
        <f aca="false">BK9-BR9-BS9-BT9-CC9</f>
        <v>0.00286471149219868</v>
      </c>
      <c r="CF9" s="19" t="n">
        <f aca="false">BX9*c_stroke_fatal+BY9*c_stroke_major+BZ9*c_stroke_minor+BS9*c_ich+BT9*c_major_bleed+CC9*c_mi_fatal+CD9*c_mi_nonfatal+BV9*c_tia+BW9*c_minor_bleed</f>
        <v>1.8864196255573</v>
      </c>
      <c r="CG9" s="57" t="n">
        <f aca="false">dt*(CD9*dec_mi+CB9*dec_major_bleed+BW9*dec_minor_bleed+BV9*dec_tia)</f>
        <v>1.26434702459849E-006</v>
      </c>
      <c r="CH9" s="57" t="n">
        <f aca="false">I9*BJ9+BX9+BS9-CA9+BT9-CB9+CC9</f>
        <v>7.67204053857487E-005</v>
      </c>
      <c r="CI9" s="57" t="n">
        <f aca="false">1-EXP(LN(1-E9)*dt)</f>
        <v>0.00835410477572107</v>
      </c>
      <c r="CJ9" s="57" t="n">
        <f aca="false">J9*(1-CI9)</f>
        <v>0.0216856996877702</v>
      </c>
      <c r="CK9" s="57" t="n">
        <f aca="false">(1-EXP(-r_stroke*F9*rr_asa_stroke*dt))</f>
        <v>0.00671147725407151</v>
      </c>
      <c r="CL9" s="57" t="n">
        <f aca="false">(1-EXP(-r_ich*rr_asa_ich*dt))</f>
        <v>0.00102357767802375</v>
      </c>
      <c r="CM9" s="57" t="n">
        <f aca="false">(1-EXP(-r_mb*rr_asa_mb*dt))</f>
        <v>0.00951809672747972</v>
      </c>
      <c r="CN9" s="57" t="n">
        <f aca="false">(1-EXP(-r_mi*rr_asa_mi*dt))</f>
        <v>0.00213413516393479</v>
      </c>
      <c r="CO9" s="57" t="n">
        <f aca="false">(1-EXP(-r_tia*rr_asa_tia*dt))</f>
        <v>0.00312764565589152</v>
      </c>
      <c r="CP9" s="57" t="n">
        <f aca="false">(1-EXP(-r_minor*rr_asa_minor*dt))</f>
        <v>0.0278181950466747</v>
      </c>
      <c r="CQ9" s="57" t="n">
        <f aca="false">CJ9*CK9</f>
        <v>0.000145543080193095</v>
      </c>
      <c r="CR9" s="57" t="n">
        <f aca="false">CJ9*CL9</f>
        <v>2.21969981327281E-005</v>
      </c>
      <c r="CS9" s="57" t="n">
        <f aca="false">CJ9*CM9</f>
        <v>0.000206406587231273</v>
      </c>
      <c r="CT9" s="57" t="n">
        <f aca="false">CJ9*CN9</f>
        <v>4.62802142582001E-005</v>
      </c>
      <c r="CU9" s="57" t="n">
        <f aca="false">CJ9*CO9</f>
        <v>6.78251844234226E-005</v>
      </c>
      <c r="CV9" s="57" t="n">
        <f aca="false">CJ9*CP9</f>
        <v>0.000603257023638004</v>
      </c>
      <c r="CW9" s="57" t="n">
        <f aca="false">CQ9*f_stroke_fatal</f>
        <v>3.44937100057636E-005</v>
      </c>
      <c r="CX9" s="57" t="n">
        <f aca="false">CQ9*(1-f_stroke_fatal)*f_stroke_major</f>
        <v>3.69794402723815E-005</v>
      </c>
      <c r="CY9" s="57" t="n">
        <f aca="false">CQ9*(1-f_stroke_fatal)*(1-f_stroke_major)</f>
        <v>7.40699299149502E-005</v>
      </c>
      <c r="CZ9" s="57" t="n">
        <f aca="false">CR9*(1-f_bleed_fatal)</f>
        <v>2.03324502895789E-005</v>
      </c>
      <c r="DA9" s="57" t="n">
        <f aca="false">CS9*(1-f_bleed_fatal)</f>
        <v>0.000189068433903847</v>
      </c>
      <c r="DB9" s="57" t="n">
        <f aca="false">CT9*f_mi_fatal</f>
        <v>5.59990592524221E-006</v>
      </c>
      <c r="DC9" s="57" t="n">
        <f aca="false">CT9-DB9</f>
        <v>4.06803083329579E-005</v>
      </c>
      <c r="DD9" s="57" t="n">
        <f aca="false">CJ9-CQ9-CR9-CS9-DB9</f>
        <v>0.0213059531162879</v>
      </c>
      <c r="DE9" s="19" t="n">
        <f aca="false">CW9*c_stroke_fatal+CX9*c_stroke_major+CY9*c_stroke_minor+CR9*c_ich+CS9*c_major_bleed+DB9*c_mi_fatal+DC9*c_mi_nonfatal+CU9*c_tia+CV9*c_minor_bleed</f>
        <v>8.29763049366297</v>
      </c>
      <c r="DF9" s="57" t="n">
        <f aca="false">dt*(DC9*dec_mi+DA9*dec_major_bleed+CV9*dec_minor_bleed+CU9*dec_tia)</f>
        <v>9.32691744092005E-006</v>
      </c>
      <c r="DG9" s="57" t="n">
        <f aca="false">J9*CI9+CW9+CR9-CZ9+CS9-DA9+DB9</f>
        <v>0.000241987142726873</v>
      </c>
      <c r="DH9" s="57" t="n">
        <f aca="false">AG9</f>
        <v>0.911648111277337</v>
      </c>
      <c r="DI9" s="57" t="n">
        <f aca="false">AB9+AC9+BF9+BA9+BB9+BC9+CY9+CZ9</f>
        <v>0.0145573707216228</v>
      </c>
      <c r="DJ9" s="57" t="n">
        <f aca="false">AA9+AZ9+BY9+CX9+CE9+BZ9+CA9+CB9</f>
        <v>0.00396596699754213</v>
      </c>
      <c r="DK9" s="57" t="n">
        <f aca="false">AD9+DD9+DA9</f>
        <v>0.0285752921341806</v>
      </c>
      <c r="DL9" s="57" t="n">
        <f aca="false">K9+AJ9+BI9+CH9+DG9</f>
        <v>0.0412532588693175</v>
      </c>
      <c r="DM9" s="58" t="n">
        <f aca="false">SUM(DH9:DL9)</f>
        <v>1</v>
      </c>
      <c r="DN9" s="19" t="n">
        <f aca="false">dt*(G9*Warfarin!$H$2+(H9+I9+J9)*c_aspirin)</f>
        <v>89.9760133132647</v>
      </c>
      <c r="DO9" s="19" t="n">
        <f aca="false">dt*(H9*c_lt_minor_stroke+I9*c_lt_major_stroke)</f>
        <v>49.6487460935395</v>
      </c>
      <c r="DP9" s="19" t="n">
        <f aca="false">AH9+BG9+CF9+DE9</f>
        <v>285.018724667399</v>
      </c>
      <c r="DQ9" s="19" t="n">
        <f aca="false">DN9+DO9+DP9</f>
        <v>424.643484074203</v>
      </c>
      <c r="DR9" s="57" t="n">
        <f aca="false">dt*(G9*(u_af-dec_per_year_over_70*MAX(B9-ref_age,0))+H9*(u_minor_stroke-dec_per_year_over_70*MAX(B9-ref_age,0))+I9*(u_major_stroke-dec_per_year_over_70*MAX(B9-ref_age,0))+J9*(u_af-dec_per_year_over_70*MAX(B9-ref_age,0)))-AI9-BH9-CG9-DF9</f>
        <v>0.195255072866104</v>
      </c>
      <c r="DS9" s="57" t="n">
        <f aca="false">dt*(G9+H9+I9+J9)</f>
        <v>0.242257030071104</v>
      </c>
      <c r="DT9" s="19" t="n">
        <f aca="false">DQ9*C9</f>
        <v>419.928095953988</v>
      </c>
      <c r="DU9" s="19" t="n">
        <f aca="false">DN9*C9</f>
        <v>88.9768885410886</v>
      </c>
      <c r="DV9" s="19" t="n">
        <f aca="false">DP9*C9</f>
        <v>281.853778168183</v>
      </c>
      <c r="DW9" s="19" t="n">
        <f aca="false">DO9*C9</f>
        <v>49.0974292447163</v>
      </c>
      <c r="DX9" s="57" t="n">
        <f aca="false">DR9*C9</f>
        <v>0.193086893003385</v>
      </c>
      <c r="DY9" s="57" t="n">
        <f aca="false">DS9*C9</f>
        <v>0.239566924218835</v>
      </c>
      <c r="DZ9" s="57" t="n">
        <f aca="false">T9+AS9+BR9+CQ9</f>
        <v>0.00418739581305382</v>
      </c>
      <c r="EA9" s="57" t="n">
        <f aca="false">U9+AT9+BS9+CR9</f>
        <v>0.00189243642290482</v>
      </c>
      <c r="EB9" s="57" t="n">
        <f aca="false">V9+AU9+BT9+CS9</f>
        <v>0.00806783279204881</v>
      </c>
      <c r="EC9" s="57" t="n">
        <f aca="false">G9*dt*C9</f>
        <v>0.230668516345498</v>
      </c>
    </row>
    <row r="10" customFormat="false" ht="15" hidden="false" customHeight="false" outlineLevel="0" collapsed="false">
      <c r="A10" s="8" t="n">
        <v>4</v>
      </c>
      <c r="B10" s="54" t="n">
        <f aca="false">start_age+A10*dt</f>
        <v>71</v>
      </c>
      <c r="C10" s="16" t="n">
        <f aca="false">(1+disc_rate)^-(A10*dt)</f>
        <v>0.985221674876847</v>
      </c>
      <c r="D10" s="55" t="n">
        <f aca="false">IF(A10*dt&gt;=wane_start,(1-wane_decay)^(A10*dt-wane_start),1)</f>
        <v>1</v>
      </c>
      <c r="E10" s="25" t="n">
        <f aca="false">MIN(p_nonvasc_death*MIN(EXP(gomp_int+gomp_slope*INT(B10)),1)/qx_ref,0.999)</f>
        <v>0.0366400208729949</v>
      </c>
      <c r="F10" s="55" t="n">
        <f aca="false">rr_stroke_per_decade^((B10-ref_age)/10)</f>
        <v>1.04137974399241</v>
      </c>
      <c r="G10" s="57" t="n">
        <f aca="false">DH9</f>
        <v>0.911648111277337</v>
      </c>
      <c r="H10" s="57" t="n">
        <f aca="false">DI9</f>
        <v>0.0145573707216228</v>
      </c>
      <c r="I10" s="57" t="n">
        <f aca="false">DJ9</f>
        <v>0.00396596699754213</v>
      </c>
      <c r="J10" s="57" t="n">
        <f aca="false">DK9</f>
        <v>0.0285752921341806</v>
      </c>
      <c r="K10" s="57" t="n">
        <f aca="false">DL9</f>
        <v>0.0412532588693175</v>
      </c>
      <c r="L10" s="57" t="n">
        <f aca="false">1-EXP(LN(1-E10)*dt)</f>
        <v>0.00928862345915527</v>
      </c>
      <c r="M10" s="57" t="n">
        <f aca="false">G10*(1-L10)</f>
        <v>0.903180155244432</v>
      </c>
      <c r="N10" s="57" t="n">
        <f aca="false">IF(Warfarin!$B$2=1,EXP(LN(or_apx_stroke)*D10)*(1-EXP(-r_stroke*F10*dt))/(1-(1-EXP(-r_stroke*F10*dt))+EXP(LN(or_apx_stroke)*D10)*(1-EXP(-r_stroke*F10*dt))),(1-EXP(-r_stroke*F10*dt)))</f>
        <v>0.00419039858172698</v>
      </c>
      <c r="O10" s="57" t="n">
        <f aca="false">IF(Warfarin!$B$2=1,EXP(LN(or_apx_ich)*D10)*(1-EXP(-r_ich*dt))/(1-(1-EXP(-r_ich*dt))+EXP(LN(or_apx_ich)*D10)*(1-EXP(-r_ich*dt))),(1-EXP(-r_ich*dt)))</f>
        <v>0.0020060281549299</v>
      </c>
      <c r="P10" s="57" t="n">
        <f aca="false">IF(Warfarin!$B$2=1,EXP(LN(or_apx_mb)*D10)*(1-EXP(-r_mb*dt))/(1-(1-EXP(-r_mb*dt))+EXP(LN(or_apx_mb)*D10)*(1-EXP(-r_mb*dt))),(1-EXP(-r_mb*dt)))</f>
        <v>0.00835410477572107</v>
      </c>
      <c r="Q10" s="57" t="n">
        <f aca="false">IF(Warfarin!$B$2=1,EXP(LN(or_apx_mi)*D10)*(1-EXP(-r_mi*dt))/(1-(1-EXP(-r_mi*dt))+EXP(LN(or_apx_mi)*D10)*(1-EXP(-r_mi*dt))),(1-EXP(-r_mi*dt)))</f>
        <v>0.00150338686144691</v>
      </c>
      <c r="R10" s="57" t="n">
        <f aca="false">(1-EXP(-r_tia*dt))</f>
        <v>0.0020060281549299</v>
      </c>
      <c r="S10" s="57" t="n">
        <f aca="false">(1-EXP(-r_minor*dt))</f>
        <v>0.0437937690785545</v>
      </c>
      <c r="T10" s="57" t="n">
        <f aca="false">M10*N10</f>
        <v>0.00378468484158022</v>
      </c>
      <c r="U10" s="57" t="n">
        <f aca="false">M10*O10</f>
        <v>0.00181180482039428</v>
      </c>
      <c r="V10" s="57" t="n">
        <f aca="false">M10*P10</f>
        <v>0.00754526164826401</v>
      </c>
      <c r="W10" s="57" t="n">
        <f aca="false">M10*Q10</f>
        <v>0.00135782917891406</v>
      </c>
      <c r="X10" s="57" t="n">
        <f aca="false">M10*R10</f>
        <v>0.00181180482039428</v>
      </c>
      <c r="Y10" s="57" t="n">
        <f aca="false">M10*S10</f>
        <v>0.0395536631551076</v>
      </c>
      <c r="Z10" s="57" t="n">
        <f aca="false">T10*f_stroke_fatal</f>
        <v>0.000896970307454513</v>
      </c>
      <c r="AA10" s="57" t="n">
        <f aca="false">T10*(1-f_stroke_fatal)*f_stroke_major</f>
        <v>0.000961608939863862</v>
      </c>
      <c r="AB10" s="57" t="n">
        <f aca="false">T10*(1-f_stroke_fatal)*(1-f_stroke_major)</f>
        <v>0.00192610559426185</v>
      </c>
      <c r="AC10" s="57" t="n">
        <f aca="false">U10*(1-f_bleed_fatal)</f>
        <v>0.00165961321548116</v>
      </c>
      <c r="AD10" s="57" t="n">
        <f aca="false">V10*(1-f_bleed_fatal)</f>
        <v>0.00691145966980983</v>
      </c>
      <c r="AE10" s="57" t="n">
        <f aca="false">W10*f_mi_fatal</f>
        <v>0.000164297330648601</v>
      </c>
      <c r="AF10" s="57" t="n">
        <f aca="false">W10-AE10</f>
        <v>0.00119353184826546</v>
      </c>
      <c r="AG10" s="57" t="n">
        <f aca="false">M10-T10-U10-V10-AE10</f>
        <v>0.889874106603545</v>
      </c>
      <c r="AH10" s="19" t="n">
        <f aca="false">Z10*c_stroke_fatal+AA10*c_stroke_major+AB10*c_stroke_minor+U10*c_ich+V10*c_major_bleed+AE10*c_mi_fatal+AF10*c_mi_nonfatal+X10*c_tia+Y10*c_minor_bleed</f>
        <v>262.851890907958</v>
      </c>
      <c r="AI10" s="57" t="n">
        <f aca="false">dt*(AF10*dec_mi+AD10*dec_major_bleed+Y10*dec_minor_bleed+X10*dec_tia)</f>
        <v>0.000371464822043174</v>
      </c>
      <c r="AJ10" s="57" t="n">
        <f aca="false">G10*L10+Z10+U10-AC10+V10-AD10+AE10</f>
        <v>0.0103152172543757</v>
      </c>
      <c r="AK10" s="57" t="n">
        <f aca="false">1-EXP(LN(1-E10)*hr_death_prior_stroke*dt)</f>
        <v>0.0212349675660142</v>
      </c>
      <c r="AL10" s="57" t="n">
        <f aca="false">H10*(1-AK10)</f>
        <v>0.0142482454265027</v>
      </c>
      <c r="AM10" s="57" t="n">
        <f aca="false">(1-EXP(-r_stroke*F10*rr_stroke_prior*rr_asa_stroke*dt))</f>
        <v>0.0148545257860664</v>
      </c>
      <c r="AN10" s="57" t="n">
        <f aca="false">(1-EXP(-r_ich*rr_asa_ich*dt))</f>
        <v>0.00102357767802375</v>
      </c>
      <c r="AO10" s="57" t="n">
        <f aca="false">(1-EXP(-r_mb*rr_asa_mb*dt))</f>
        <v>0.00951809672747972</v>
      </c>
      <c r="AP10" s="57" t="n">
        <f aca="false">(1-EXP(-r_mi*rr_asa_mi*dt))</f>
        <v>0.00213413516393479</v>
      </c>
      <c r="AQ10" s="57" t="n">
        <f aca="false">(1-EXP(-r_tia*rr_asa_tia*dt))</f>
        <v>0.00312764565589152</v>
      </c>
      <c r="AR10" s="57" t="n">
        <f aca="false">(1-EXP(-r_minor*rr_asa_minor*dt))</f>
        <v>0.0278181950466747</v>
      </c>
      <c r="AS10" s="57" t="n">
        <f aca="false">AL10*AM10</f>
        <v>0.000211650929094187</v>
      </c>
      <c r="AT10" s="57" t="n">
        <f aca="false">AL10*AN10</f>
        <v>1.45841859695721E-005</v>
      </c>
      <c r="AU10" s="57" t="n">
        <f aca="false">AL10*AO10</f>
        <v>0.000135616178166323</v>
      </c>
      <c r="AV10" s="57" t="n">
        <f aca="false">AL10*AP10</f>
        <v>3.04076815890725E-005</v>
      </c>
      <c r="AW10" s="57" t="n">
        <f aca="false">AL10*AQ10</f>
        <v>4.45634629122774E-005</v>
      </c>
      <c r="AX10" s="57" t="n">
        <f aca="false">AL10*AR10</f>
        <v>0.000396360470347343</v>
      </c>
      <c r="AY10" s="57" t="n">
        <f aca="false">AS10*f_stroke_fatal_recur</f>
        <v>7.8753194206656E-005</v>
      </c>
      <c r="AZ10" s="57" t="n">
        <f aca="false">AS10*(1-f_stroke_fatal_recur)*f_stroke_major</f>
        <v>4.42549457175478E-005</v>
      </c>
      <c r="BA10" s="57" t="n">
        <f aca="false">AS10*(1-f_stroke_fatal_recur)*(1-f_stroke_major)</f>
        <v>8.86427891699831E-005</v>
      </c>
      <c r="BB10" s="57" t="n">
        <f aca="false">AT10*(1-f_bleed_fatal)</f>
        <v>1.3359114348128E-005</v>
      </c>
      <c r="BC10" s="57" t="n">
        <f aca="false">AU10*(1-f_bleed_fatal)</f>
        <v>0.000124224419200352</v>
      </c>
      <c r="BD10" s="57" t="n">
        <f aca="false">AV10*f_mi_fatal</f>
        <v>3.67932947227777E-006</v>
      </c>
      <c r="BE10" s="57" t="n">
        <f aca="false">AV10-BD10</f>
        <v>2.67283521167947E-005</v>
      </c>
      <c r="BF10" s="57" t="n">
        <f aca="false">AL10-AS10-AT10-AU10-BD10</f>
        <v>0.0138827148038003</v>
      </c>
      <c r="BG10" s="19" t="n">
        <f aca="false">AY10*c_stroke_fatal+AZ10*c_stroke_major+BA10*c_stroke_minor+AT10*c_ich+AU10*c_major_bleed+BD10*c_mi_fatal+BE10*c_mi_nonfatal+AW10*c_tia+AX10*c_minor_bleed</f>
        <v>9.21625302503924</v>
      </c>
      <c r="BH10" s="57" t="n">
        <f aca="false">dt*(BE10*dec_mi+BC10*dec_major_bleed+AX10*dec_minor_bleed+AW10*dec_tia)</f>
        <v>6.12810334387794E-006</v>
      </c>
      <c r="BI10" s="57" t="n">
        <f aca="false">H10*AK10+AY10+AT10-BB10+AU10-BC10+BD10</f>
        <v>0.000404174649386454</v>
      </c>
      <c r="BJ10" s="57" t="n">
        <f aca="false">1-EXP(LN(1-E10)*hr_death_prior_stroke*dt)</f>
        <v>0.0212349675660142</v>
      </c>
      <c r="BK10" s="57" t="n">
        <f aca="false">I10*(1-BJ10)</f>
        <v>0.00388174981698144</v>
      </c>
      <c r="BL10" s="57" t="n">
        <f aca="false">(1-EXP(-r_stroke*F10*rr_stroke_prior*rr_asa_stroke*dt))</f>
        <v>0.0148545257860664</v>
      </c>
      <c r="BM10" s="57" t="n">
        <f aca="false">(1-EXP(-r_ich*rr_asa_ich*dt))</f>
        <v>0.00102357767802375</v>
      </c>
      <c r="BN10" s="57" t="n">
        <f aca="false">(1-EXP(-r_mb*rr_asa_mb*dt))</f>
        <v>0.00951809672747972</v>
      </c>
      <c r="BO10" s="57" t="n">
        <f aca="false">(1-EXP(-r_mi*rr_asa_mi*dt))</f>
        <v>0.00213413516393479</v>
      </c>
      <c r="BP10" s="57" t="n">
        <f aca="false">(1-EXP(-r_tia*rr_asa_tia*dt))</f>
        <v>0.00312764565589152</v>
      </c>
      <c r="BQ10" s="57" t="n">
        <f aca="false">(1-EXP(-r_minor*rr_asa_minor*dt))</f>
        <v>0.0278181950466747</v>
      </c>
      <c r="BR10" s="57" t="n">
        <f aca="false">BK10*BL10</f>
        <v>5.76615527514093E-005</v>
      </c>
      <c r="BS10" s="57" t="n">
        <f aca="false">BK10*BM10</f>
        <v>3.97327246433496E-006</v>
      </c>
      <c r="BT10" s="57" t="n">
        <f aca="false">BK10*BN10</f>
        <v>3.69468702299061E-005</v>
      </c>
      <c r="BU10" s="57" t="n">
        <f aca="false">BK10*BO10</f>
        <v>8.28417878201753E-006</v>
      </c>
      <c r="BV10" s="57" t="n">
        <f aca="false">BK10*BP10</f>
        <v>1.21407379523397E-005</v>
      </c>
      <c r="BW10" s="57" t="n">
        <f aca="false">BK10*BQ10</f>
        <v>0.000107983273531184</v>
      </c>
      <c r="BX10" s="57" t="n">
        <f aca="false">BR10*f_stroke_fatal_recur</f>
        <v>2.14552871632719E-005</v>
      </c>
      <c r="BY10" s="57" t="n">
        <f aca="false">BR10*(1-f_stroke_fatal_recur)*f_stroke_major</f>
        <v>1.20566864408498E-005</v>
      </c>
      <c r="BZ10" s="57" t="n">
        <f aca="false">BR10*(1-f_stroke_fatal_recur)*(1-f_stroke_major)</f>
        <v>2.41495791472876E-005</v>
      </c>
      <c r="CA10" s="57" t="n">
        <f aca="false">BS10*(1-f_bleed_fatal)</f>
        <v>3.63951757733083E-006</v>
      </c>
      <c r="CB10" s="57" t="n">
        <f aca="false">BT10*(1-f_bleed_fatal)</f>
        <v>3.38433331305939E-005</v>
      </c>
      <c r="CC10" s="57" t="n">
        <f aca="false">BU10*f_mi_fatal</f>
        <v>1.00238563262412E-006</v>
      </c>
      <c r="CD10" s="57" t="n">
        <f aca="false">BU10-CC10</f>
        <v>7.28179314939341E-006</v>
      </c>
      <c r="CE10" s="57" t="n">
        <f aca="false">BK10-BR10-BS10-BT10-CC10</f>
        <v>0.00378216573590317</v>
      </c>
      <c r="CF10" s="19" t="n">
        <f aca="false">BX10*c_stroke_fatal+BY10*c_stroke_major+BZ10*c_stroke_minor+BS10*c_ich+BT10*c_major_bleed+CC10*c_mi_fatal+CD10*c_mi_nonfatal+BV10*c_tia+BW10*c_minor_bleed</f>
        <v>2.51084869907255</v>
      </c>
      <c r="CG10" s="57" t="n">
        <f aca="false">dt*(CD10*dec_mi+CB10*dec_major_bleed+BW10*dec_minor_bleed+BV10*dec_tia)</f>
        <v>1.6695223391713E-006</v>
      </c>
      <c r="CH10" s="57" t="n">
        <f aca="false">I10*BJ10+BX10+BS10-CA10+BT10-CB10+CC10</f>
        <v>0.000110112145342902</v>
      </c>
      <c r="CI10" s="57" t="n">
        <f aca="false">1-EXP(LN(1-E10)*dt)</f>
        <v>0.00928862345915527</v>
      </c>
      <c r="CJ10" s="57" t="n">
        <f aca="false">J10*(1-CI10)</f>
        <v>0.0283098670053109</v>
      </c>
      <c r="CK10" s="57" t="n">
        <f aca="false">(1-EXP(-r_stroke*F10*rr_asa_stroke*dt))</f>
        <v>0.00677962266407395</v>
      </c>
      <c r="CL10" s="57" t="n">
        <f aca="false">(1-EXP(-r_ich*rr_asa_ich*dt))</f>
        <v>0.00102357767802375</v>
      </c>
      <c r="CM10" s="57" t="n">
        <f aca="false">(1-EXP(-r_mb*rr_asa_mb*dt))</f>
        <v>0.00951809672747972</v>
      </c>
      <c r="CN10" s="57" t="n">
        <f aca="false">(1-EXP(-r_mi*rr_asa_mi*dt))</f>
        <v>0.00213413516393479</v>
      </c>
      <c r="CO10" s="57" t="n">
        <f aca="false">(1-EXP(-r_tia*rr_asa_tia*dt))</f>
        <v>0.00312764565589152</v>
      </c>
      <c r="CP10" s="57" t="n">
        <f aca="false">(1-EXP(-r_minor*rr_asa_minor*dt))</f>
        <v>0.0278181950466747</v>
      </c>
      <c r="CQ10" s="57" t="n">
        <f aca="false">CJ10*CK10</f>
        <v>0.000191930215966125</v>
      </c>
      <c r="CR10" s="57" t="n">
        <f aca="false">CJ10*CL10</f>
        <v>2.89773479344572E-005</v>
      </c>
      <c r="CS10" s="57" t="n">
        <f aca="false">CJ10*CM10</f>
        <v>0.000269456052498635</v>
      </c>
      <c r="CT10" s="57" t="n">
        <f aca="false">CJ10*CN10</f>
        <v>6.04170826623512E-005</v>
      </c>
      <c r="CU10" s="57" t="n">
        <f aca="false">CJ10*CO10</f>
        <v>8.85432325580272E-005</v>
      </c>
      <c r="CV10" s="57" t="n">
        <f aca="false">CJ10*CP10</f>
        <v>0.000787529402099158</v>
      </c>
      <c r="CW10" s="57" t="n">
        <f aca="false">CQ10*f_stroke_fatal</f>
        <v>4.54874611839716E-005</v>
      </c>
      <c r="CX10" s="57" t="n">
        <f aca="false">CQ10*(1-f_stroke_fatal)*f_stroke_major</f>
        <v>4.8765437342457E-005</v>
      </c>
      <c r="CY10" s="57" t="n">
        <f aca="false">CQ10*(1-f_stroke_fatal)*(1-f_stroke_major)</f>
        <v>9.76773174396962E-005</v>
      </c>
      <c r="CZ10" s="57" t="n">
        <f aca="false">CR10*(1-f_bleed_fatal)</f>
        <v>2.65432507079627E-005</v>
      </c>
      <c r="DA10" s="57" t="n">
        <f aca="false">CS10*(1-f_bleed_fatal)</f>
        <v>0.00024682174408875</v>
      </c>
      <c r="DB10" s="57" t="n">
        <f aca="false">CT10*f_mi_fatal</f>
        <v>7.3104670021445E-006</v>
      </c>
      <c r="DC10" s="57" t="n">
        <f aca="false">CT10-DB10</f>
        <v>5.31066156602067E-005</v>
      </c>
      <c r="DD10" s="57" t="n">
        <f aca="false">CJ10-CQ10-CR10-CS10-DB10</f>
        <v>0.0278121929219095</v>
      </c>
      <c r="DE10" s="19" t="n">
        <f aca="false">CW10*c_stroke_fatal+CX10*c_stroke_major+CY10*c_stroke_minor+CR10*c_ich+CS10*c_major_bleed+DB10*c_mi_fatal+DC10*c_mi_nonfatal+CU10*c_tia+CV10*c_minor_bleed</f>
        <v>10.9035240789142</v>
      </c>
      <c r="DF10" s="57" t="n">
        <f aca="false">dt*(DC10*dec_mi+DA10*dec_major_bleed+CV10*dec_minor_bleed+CU10*dec_tia)</f>
        <v>1.21759406486142E-005</v>
      </c>
      <c r="DG10" s="57" t="n">
        <f aca="false">J10*CI10+CW10+CR10-CZ10+CS10-DA10+DB10</f>
        <v>0.000343291462692261</v>
      </c>
      <c r="DH10" s="57" t="n">
        <f aca="false">AG10</f>
        <v>0.889874106603545</v>
      </c>
      <c r="DI10" s="57" t="n">
        <f aca="false">AB10+AC10+BF10+BA10+BB10+BC10+CY10+CZ10</f>
        <v>0.0178188805044095</v>
      </c>
      <c r="DJ10" s="57" t="n">
        <f aca="false">AA10+AZ10+BY10+CX10+CE10+BZ10+CA10+CB10</f>
        <v>0.00491048417512309</v>
      </c>
      <c r="DK10" s="57" t="n">
        <f aca="false">AD10+DD10+DA10</f>
        <v>0.0349704743358081</v>
      </c>
      <c r="DL10" s="57" t="n">
        <f aca="false">K10+AJ10+BI10+CH10+DG10</f>
        <v>0.0524260543811147</v>
      </c>
      <c r="DM10" s="58" t="n">
        <f aca="false">SUM(DH10:DL10)</f>
        <v>1</v>
      </c>
      <c r="DN10" s="19" t="n">
        <f aca="false">dt*(G10*Warfarin!$H$2+(H10+I10+J10)*c_aspirin)</f>
        <v>88.0300549572597</v>
      </c>
      <c r="DO10" s="19" t="n">
        <f aca="false">dt*(H10*c_lt_minor_stroke+I10*c_lt_major_stroke)</f>
        <v>65.2458847443816</v>
      </c>
      <c r="DP10" s="19" t="n">
        <f aca="false">AH10+BG10+CF10+DE10</f>
        <v>285.482516710984</v>
      </c>
      <c r="DQ10" s="19" t="n">
        <f aca="false">DN10+DO10+DP10</f>
        <v>438.758456412626</v>
      </c>
      <c r="DR10" s="57" t="n">
        <f aca="false">dt*(G10*(u_af-dec_per_year_over_70*MAX(B10-ref_age,0))+H10*(u_minor_stroke-dec_per_year_over_70*MAX(B10-ref_age,0))+I10*(u_major_stroke-dec_per_year_over_70*MAX(B10-ref_age,0))+J10*(u_af-dec_per_year_over_70*MAX(B10-ref_age,0)))-AI10-BH10-CG10-DF10</f>
        <v>0.192993568829875</v>
      </c>
      <c r="DS10" s="57" t="n">
        <f aca="false">dt*(G10+H10+I10+J10)</f>
        <v>0.239686685282671</v>
      </c>
      <c r="DT10" s="19" t="n">
        <f aca="false">DQ10*C10</f>
        <v>432.274341293227</v>
      </c>
      <c r="DU10" s="19" t="n">
        <f aca="false">DN10*C10</f>
        <v>86.7291181844924</v>
      </c>
      <c r="DV10" s="19" t="n">
        <f aca="false">DP10*C10</f>
        <v>281.263563262054</v>
      </c>
      <c r="DW10" s="19" t="n">
        <f aca="false">DO10*C10</f>
        <v>64.2816598466814</v>
      </c>
      <c r="DX10" s="57" t="n">
        <f aca="false">DR10*C10</f>
        <v>0.19014144712303</v>
      </c>
      <c r="DY10" s="57" t="n">
        <f aca="false">DS10*C10</f>
        <v>0.236144517519873</v>
      </c>
      <c r="DZ10" s="57" t="n">
        <f aca="false">T10+AS10+BR10+CQ10</f>
        <v>0.00424592753939195</v>
      </c>
      <c r="EA10" s="57" t="n">
        <f aca="false">U10+AT10+BS10+CR10</f>
        <v>0.00185933962676265</v>
      </c>
      <c r="EB10" s="57" t="n">
        <f aca="false">V10+AU10+BT10+CS10</f>
        <v>0.00798728074915887</v>
      </c>
      <c r="EC10" s="57" t="n">
        <f aca="false">G10*dt*C10</f>
        <v>0.224543869772743</v>
      </c>
    </row>
    <row r="11" customFormat="false" ht="15" hidden="false" customHeight="false" outlineLevel="0" collapsed="false">
      <c r="A11" s="8" t="n">
        <v>5</v>
      </c>
      <c r="B11" s="54" t="n">
        <f aca="false">start_age+A11*dt</f>
        <v>71.25</v>
      </c>
      <c r="C11" s="16" t="n">
        <f aca="false">(1+disc_rate)^-(A11*dt)</f>
        <v>0.981561345321948</v>
      </c>
      <c r="D11" s="55" t="n">
        <f aca="false">IF(A11*dt&gt;=wane_start,(1-wane_decay)^(A11*dt-wane_start),1)</f>
        <v>1</v>
      </c>
      <c r="E11" s="25" t="n">
        <f aca="false">MIN(p_nonvasc_death*MIN(EXP(gomp_int+gomp_slope*INT(B11)),1)/qx_ref,0.999)</f>
        <v>0.0366400208729949</v>
      </c>
      <c r="F11" s="55" t="n">
        <f aca="false">rr_stroke_per_decade^((B11-ref_age)/10)</f>
        <v>1.05198950550864</v>
      </c>
      <c r="G11" s="57" t="n">
        <f aca="false">DH10</f>
        <v>0.889874106603545</v>
      </c>
      <c r="H11" s="57" t="n">
        <f aca="false">DI10</f>
        <v>0.0178188805044095</v>
      </c>
      <c r="I11" s="57" t="n">
        <f aca="false">DJ10</f>
        <v>0.00491048417512309</v>
      </c>
      <c r="J11" s="57" t="n">
        <f aca="false">DK10</f>
        <v>0.0349704743358081</v>
      </c>
      <c r="K11" s="57" t="n">
        <f aca="false">DL10</f>
        <v>0.0524260543811147</v>
      </c>
      <c r="L11" s="57" t="n">
        <f aca="false">1-EXP(LN(1-E11)*dt)</f>
        <v>0.00928862345915527</v>
      </c>
      <c r="M11" s="57" t="n">
        <f aca="false">G11*(1-L11)</f>
        <v>0.881608401101252</v>
      </c>
      <c r="N11" s="57" t="n">
        <f aca="false">IF(Warfarin!$B$2=1,EXP(LN(or_apx_stroke)*D11)*(1-EXP(-r_stroke*F11*dt))/(1-(1-EXP(-r_stroke*F11*dt))+EXP(LN(or_apx_stroke)*D11)*(1-EXP(-r_stroke*F11*dt))),(1-EXP(-r_stroke*F11*dt)))</f>
        <v>0.00423300061976517</v>
      </c>
      <c r="O11" s="57" t="n">
        <f aca="false">IF(Warfarin!$B$2=1,EXP(LN(or_apx_ich)*D11)*(1-EXP(-r_ich*dt))/(1-(1-EXP(-r_ich*dt))+EXP(LN(or_apx_ich)*D11)*(1-EXP(-r_ich*dt))),(1-EXP(-r_ich*dt)))</f>
        <v>0.0020060281549299</v>
      </c>
      <c r="P11" s="57" t="n">
        <f aca="false">IF(Warfarin!$B$2=1,EXP(LN(or_apx_mb)*D11)*(1-EXP(-r_mb*dt))/(1-(1-EXP(-r_mb*dt))+EXP(LN(or_apx_mb)*D11)*(1-EXP(-r_mb*dt))),(1-EXP(-r_mb*dt)))</f>
        <v>0.00835410477572107</v>
      </c>
      <c r="Q11" s="57" t="n">
        <f aca="false">IF(Warfarin!$B$2=1,EXP(LN(or_apx_mi)*D11)*(1-EXP(-r_mi*dt))/(1-(1-EXP(-r_mi*dt))+EXP(LN(or_apx_mi)*D11)*(1-EXP(-r_mi*dt))),(1-EXP(-r_mi*dt)))</f>
        <v>0.00150338686144691</v>
      </c>
      <c r="R11" s="57" t="n">
        <f aca="false">(1-EXP(-r_tia*dt))</f>
        <v>0.0020060281549299</v>
      </c>
      <c r="S11" s="57" t="n">
        <f aca="false">(1-EXP(-r_minor*dt))</f>
        <v>0.0437937690785545</v>
      </c>
      <c r="T11" s="57" t="n">
        <f aca="false">M11*N11</f>
        <v>0.00373184890825178</v>
      </c>
      <c r="U11" s="57" t="n">
        <f aca="false">M11*O11</f>
        <v>0.00176853127423184</v>
      </c>
      <c r="V11" s="57" t="n">
        <f aca="false">M11*P11</f>
        <v>0.00736504895395579</v>
      </c>
      <c r="W11" s="57" t="n">
        <f aca="false">M11*Q11</f>
        <v>0.00132539848715684</v>
      </c>
      <c r="X11" s="57" t="n">
        <f aca="false">M11*R11</f>
        <v>0.00176853127423184</v>
      </c>
      <c r="Y11" s="57" t="n">
        <f aca="false">M11*S11</f>
        <v>0.0386089547355419</v>
      </c>
      <c r="Z11" s="57" t="n">
        <f aca="false">T11*f_stroke_fatal</f>
        <v>0.000884448191255672</v>
      </c>
      <c r="AA11" s="57" t="n">
        <f aca="false">T11*(1-f_stroke_fatal)*f_stroke_major</f>
        <v>0.000948184438759705</v>
      </c>
      <c r="AB11" s="57" t="n">
        <f aca="false">T11*(1-f_stroke_fatal)*(1-f_stroke_major)</f>
        <v>0.00189921627823641</v>
      </c>
      <c r="AC11" s="57" t="n">
        <f aca="false">U11*(1-f_bleed_fatal)</f>
        <v>0.00161997464719637</v>
      </c>
      <c r="AD11" s="57" t="n">
        <f aca="false">V11*(1-f_bleed_fatal)</f>
        <v>0.0067463848418235</v>
      </c>
      <c r="AE11" s="57" t="n">
        <f aca="false">W11*f_mi_fatal</f>
        <v>0.000160373216945978</v>
      </c>
      <c r="AF11" s="57" t="n">
        <f aca="false">W11-AE11</f>
        <v>0.00116502527021086</v>
      </c>
      <c r="AG11" s="57" t="n">
        <f aca="false">M11-T11-U11-V11-AE11</f>
        <v>0.868582598747867</v>
      </c>
      <c r="AH11" s="19" t="n">
        <f aca="false">Z11*c_stroke_fatal+AA11*c_stroke_major+AB11*c_stroke_minor+U11*c_ich+V11*c_major_bleed+AE11*c_mi_fatal+AF11*c_mi_nonfatal+X11*c_tia+Y11*c_minor_bleed</f>
        <v>257.961569083049</v>
      </c>
      <c r="AI11" s="57" t="n">
        <f aca="false">dt*(AF11*dec_mi+AD11*dec_major_bleed+Y11*dec_minor_bleed+X11*dec_tia)</f>
        <v>0.000362592674258011</v>
      </c>
      <c r="AJ11" s="57" t="n">
        <f aca="false">G11*L11+Z11+U11-AC11+V11-AD11+AE11</f>
        <v>0.0100777476496619</v>
      </c>
      <c r="AK11" s="57" t="n">
        <f aca="false">1-EXP(LN(1-E11)*hr_death_prior_stroke*dt)</f>
        <v>0.0212349675660142</v>
      </c>
      <c r="AL11" s="57" t="n">
        <f aca="false">H11*(1-AK11)</f>
        <v>0.0174404971548357</v>
      </c>
      <c r="AM11" s="57" t="n">
        <f aca="false">(1-EXP(-r_stroke*F11*rr_stroke_prior*rr_asa_stroke*dt))</f>
        <v>0.0150047252245464</v>
      </c>
      <c r="AN11" s="57" t="n">
        <f aca="false">(1-EXP(-r_ich*rr_asa_ich*dt))</f>
        <v>0.00102357767802375</v>
      </c>
      <c r="AO11" s="57" t="n">
        <f aca="false">(1-EXP(-r_mb*rr_asa_mb*dt))</f>
        <v>0.00951809672747972</v>
      </c>
      <c r="AP11" s="57" t="n">
        <f aca="false">(1-EXP(-r_mi*rr_asa_mi*dt))</f>
        <v>0.00213413516393479</v>
      </c>
      <c r="AQ11" s="57" t="n">
        <f aca="false">(1-EXP(-r_tia*rr_asa_tia*dt))</f>
        <v>0.00312764565589152</v>
      </c>
      <c r="AR11" s="57" t="n">
        <f aca="false">(1-EXP(-r_minor*rr_asa_minor*dt))</f>
        <v>0.0278181950466747</v>
      </c>
      <c r="AS11" s="57" t="n">
        <f aca="false">AL11*AM11</f>
        <v>0.000261689867587793</v>
      </c>
      <c r="AT11" s="57" t="n">
        <f aca="false">AL11*AN11</f>
        <v>1.78517035813264E-005</v>
      </c>
      <c r="AU11" s="57" t="n">
        <f aca="false">AL11*AO11</f>
        <v>0.000166000338895061</v>
      </c>
      <c r="AV11" s="57" t="n">
        <f aca="false">AL11*AP11</f>
        <v>3.72203782546395E-005</v>
      </c>
      <c r="AW11" s="57" t="n">
        <f aca="false">AL11*AQ11</f>
        <v>5.45476951629102E-005</v>
      </c>
      <c r="AX11" s="57" t="n">
        <f aca="false">AL11*AR11</f>
        <v>0.000485163151564194</v>
      </c>
      <c r="AY11" s="57" t="n">
        <f aca="false">AS11*f_stroke_fatal_recur</f>
        <v>9.73721828307419E-005</v>
      </c>
      <c r="AZ11" s="57" t="n">
        <f aca="false">AS11*(1-f_stroke_fatal_recur)*f_stroke_major</f>
        <v>5.4717789024098E-005</v>
      </c>
      <c r="BA11" s="57" t="n">
        <f aca="false">AS11*(1-f_stroke_fatal_recur)*(1-f_stroke_major)</f>
        <v>0.000109599895732953</v>
      </c>
      <c r="BB11" s="57" t="n">
        <f aca="false">AT11*(1-f_bleed_fatal)</f>
        <v>1.6352160480495E-005</v>
      </c>
      <c r="BC11" s="57" t="n">
        <f aca="false">AU11*(1-f_bleed_fatal)</f>
        <v>0.000152056310427876</v>
      </c>
      <c r="BD11" s="57" t="n">
        <f aca="false">AV11*f_mi_fatal</f>
        <v>4.50366576881138E-006</v>
      </c>
      <c r="BE11" s="57" t="n">
        <f aca="false">AV11-BD11</f>
        <v>3.27167124858281E-005</v>
      </c>
      <c r="BF11" s="57" t="n">
        <f aca="false">AL11-AS11-AT11-AU11-BD11</f>
        <v>0.0169904515790027</v>
      </c>
      <c r="BG11" s="19" t="n">
        <f aca="false">AY11*c_stroke_fatal+AZ11*c_stroke_major+BA11*c_stroke_minor+AT11*c_ich+AU11*c_major_bleed+BD11*c_mi_fatal+BE11*c_mi_nonfatal+AW11*c_tia+AX11*c_minor_bleed</f>
        <v>11.3714315121834</v>
      </c>
      <c r="BH11" s="57" t="n">
        <f aca="false">dt*(BE11*dec_mi+BC11*dec_major_bleed+AX11*dec_minor_bleed+AW11*dec_tia)</f>
        <v>7.50107579805183E-006</v>
      </c>
      <c r="BI11" s="57" t="n">
        <f aca="false">H11*AK11+AY11+AT11-BB11+AU11-BC11+BD11</f>
        <v>0.000495702769741387</v>
      </c>
      <c r="BJ11" s="57" t="n">
        <f aca="false">1-EXP(LN(1-E11)*hr_death_prior_stroke*dt)</f>
        <v>0.0212349675660142</v>
      </c>
      <c r="BK11" s="57" t="n">
        <f aca="false">I11*(1-BJ11)</f>
        <v>0.00480621020293093</v>
      </c>
      <c r="BL11" s="57" t="n">
        <f aca="false">(1-EXP(-r_stroke*F11*rr_stroke_prior*rr_asa_stroke*dt))</f>
        <v>0.0150047252245464</v>
      </c>
      <c r="BM11" s="57" t="n">
        <f aca="false">(1-EXP(-r_ich*rr_asa_ich*dt))</f>
        <v>0.00102357767802375</v>
      </c>
      <c r="BN11" s="57" t="n">
        <f aca="false">(1-EXP(-r_mb*rr_asa_mb*dt))</f>
        <v>0.00951809672747972</v>
      </c>
      <c r="BO11" s="57" t="n">
        <f aca="false">(1-EXP(-r_mi*rr_asa_mi*dt))</f>
        <v>0.00213413516393479</v>
      </c>
      <c r="BP11" s="57" t="n">
        <f aca="false">(1-EXP(-r_tia*rr_asa_tia*dt))</f>
        <v>0.00312764565589152</v>
      </c>
      <c r="BQ11" s="57" t="n">
        <f aca="false">(1-EXP(-r_minor*rr_asa_minor*dt))</f>
        <v>0.0278181950466747</v>
      </c>
      <c r="BR11" s="57" t="n">
        <f aca="false">BK11*BL11</f>
        <v>7.21158634663902E-005</v>
      </c>
      <c r="BS11" s="57" t="n">
        <f aca="false">BK11*BM11</f>
        <v>4.91952947961008E-006</v>
      </c>
      <c r="BT11" s="57" t="n">
        <f aca="false">BK11*BN11</f>
        <v>4.57459736040965E-005</v>
      </c>
      <c r="BU11" s="57" t="n">
        <f aca="false">BK11*BO11</f>
        <v>1.02571021993371E-005</v>
      </c>
      <c r="BV11" s="57" t="n">
        <f aca="false">BK11*BP11</f>
        <v>1.50321224624984E-005</v>
      </c>
      <c r="BW11" s="57" t="n">
        <f aca="false">BK11*BQ11</f>
        <v>0.000133700092860451</v>
      </c>
      <c r="BX11" s="57" t="n">
        <f aca="false">BR11*f_stroke_fatal_recur</f>
        <v>2.68335916372091E-005</v>
      </c>
      <c r="BY11" s="57" t="n">
        <f aca="false">BR11*(1-f_stroke_fatal_recur)*f_stroke_major</f>
        <v>1.50789965191173E-005</v>
      </c>
      <c r="BZ11" s="57" t="n">
        <f aca="false">BR11*(1-f_stroke_fatal_recur)*(1-f_stroke_major)</f>
        <v>3.02032753100638E-005</v>
      </c>
      <c r="CA11" s="57" t="n">
        <f aca="false">BS11*(1-f_bleed_fatal)</f>
        <v>4.50628900332283E-006</v>
      </c>
      <c r="CB11" s="57" t="n">
        <f aca="false">BT11*(1-f_bleed_fatal)</f>
        <v>4.19033118213524E-005</v>
      </c>
      <c r="CC11" s="57" t="n">
        <f aca="false">BU11*f_mi_fatal</f>
        <v>1.24110936611979E-006</v>
      </c>
      <c r="CD11" s="57" t="n">
        <f aca="false">BU11-CC11</f>
        <v>9.01599283321728E-006</v>
      </c>
      <c r="CE11" s="57" t="n">
        <f aca="false">BK11-BR11-BS11-BT11-CC11</f>
        <v>0.00468218772701471</v>
      </c>
      <c r="CF11" s="19" t="n">
        <f aca="false">BX11*c_stroke_fatal+BY11*c_stroke_major+BZ11*c_stroke_minor+BS11*c_ich+BT11*c_major_bleed+CC11*c_mi_fatal+CD11*c_mi_nonfatal+BV11*c_tia+BW11*c_minor_bleed</f>
        <v>3.13371170962479</v>
      </c>
      <c r="CG11" s="57" t="n">
        <f aca="false">dt*(CD11*dec_mi+CB11*dec_major_bleed+BW11*dec_minor_bleed+BV11*dec_tia)</f>
        <v>2.06712840313494E-006</v>
      </c>
      <c r="CH11" s="57" t="n">
        <f aca="false">I11*BJ11+BX11+BS11-CA11+BT11-CB11+CC11</f>
        <v>0.000136604575454525</v>
      </c>
      <c r="CI11" s="57" t="n">
        <f aca="false">1-EXP(LN(1-E11)*dt)</f>
        <v>0.00928862345915527</v>
      </c>
      <c r="CJ11" s="57" t="n">
        <f aca="false">J11*(1-CI11)</f>
        <v>0.0346456467675147</v>
      </c>
      <c r="CK11" s="57" t="n">
        <f aca="false">(1-EXP(-r_stroke*F11*rr_asa_stroke*dt))</f>
        <v>0.00684845760473585</v>
      </c>
      <c r="CL11" s="57" t="n">
        <f aca="false">(1-EXP(-r_ich*rr_asa_ich*dt))</f>
        <v>0.00102357767802375</v>
      </c>
      <c r="CM11" s="57" t="n">
        <f aca="false">(1-EXP(-r_mb*rr_asa_mb*dt))</f>
        <v>0.00951809672747972</v>
      </c>
      <c r="CN11" s="57" t="n">
        <f aca="false">(1-EXP(-r_mi*rr_asa_mi*dt))</f>
        <v>0.00213413516393479</v>
      </c>
      <c r="CO11" s="57" t="n">
        <f aca="false">(1-EXP(-r_tia*rr_asa_tia*dt))</f>
        <v>0.00312764565589152</v>
      </c>
      <c r="CP11" s="57" t="n">
        <f aca="false">(1-EXP(-r_minor*rr_asa_minor*dt))</f>
        <v>0.0278181950466747</v>
      </c>
      <c r="CQ11" s="57" t="n">
        <f aca="false">CJ11*CK11</f>
        <v>0.000237269243075978</v>
      </c>
      <c r="CR11" s="57" t="n">
        <f aca="false">CJ11*CL11</f>
        <v>3.54625106719236E-005</v>
      </c>
      <c r="CS11" s="57" t="n">
        <f aca="false">CJ11*CM11</f>
        <v>0.0003297606171193</v>
      </c>
      <c r="CT11" s="57" t="n">
        <f aca="false">CJ11*CN11</f>
        <v>7.39384930438169E-005</v>
      </c>
      <c r="CU11" s="57" t="n">
        <f aca="false">CJ11*CO11</f>
        <v>0.000108359306607969</v>
      </c>
      <c r="CV11" s="57" t="n">
        <f aca="false">CJ11*CP11</f>
        <v>0.000963779359296919</v>
      </c>
      <c r="CW11" s="57" t="n">
        <f aca="false">CQ11*f_stroke_fatal</f>
        <v>5.62328106090068E-005</v>
      </c>
      <c r="CX11" s="57" t="n">
        <f aca="false">CQ11*(1-f_stroke_fatal)*f_stroke_major</f>
        <v>6.02851320115014E-005</v>
      </c>
      <c r="CY11" s="57" t="n">
        <f aca="false">CQ11*(1-f_stroke_fatal)*(1-f_stroke_major)</f>
        <v>0.00012075130045547</v>
      </c>
      <c r="CZ11" s="57" t="n">
        <f aca="false">CR11*(1-f_bleed_fatal)</f>
        <v>3.2483659775482E-005</v>
      </c>
      <c r="DA11" s="57" t="n">
        <f aca="false">CS11*(1-f_bleed_fatal)</f>
        <v>0.000302060725281279</v>
      </c>
      <c r="DB11" s="57" t="n">
        <f aca="false">CT11*f_mi_fatal</f>
        <v>8.94655765830184E-006</v>
      </c>
      <c r="DC11" s="57" t="n">
        <f aca="false">CT11-DB11</f>
        <v>6.4991935385515E-005</v>
      </c>
      <c r="DD11" s="57" t="n">
        <f aca="false">CJ11-CQ11-CR11-CS11-DB11</f>
        <v>0.0340342078389892</v>
      </c>
      <c r="DE11" s="19" t="n">
        <f aca="false">CW11*c_stroke_fatal+CX11*c_stroke_major+CY11*c_stroke_minor+CR11*c_ich+CS11*c_major_bleed+DB11*c_mi_fatal+DC11*c_mi_nonfatal+CU11*c_tia+CV11*c_minor_bleed</f>
        <v>13.4318587670049</v>
      </c>
      <c r="DF11" s="57" t="n">
        <f aca="false">dt*(DC11*dec_mi+DA11*dec_major_bleed+CV11*dec_minor_bleed+CU11*dec_tia)</f>
        <v>1.4900929725137E-005</v>
      </c>
      <c r="DG11" s="57" t="n">
        <f aca="false">J11*CI11+CW11+CR11-CZ11+CS11-DA11+DB11</f>
        <v>0.000420685679295145</v>
      </c>
      <c r="DH11" s="57" t="n">
        <f aca="false">AG11</f>
        <v>0.868582598747867</v>
      </c>
      <c r="DI11" s="57" t="n">
        <f aca="false">AB11+AC11+BF11+BA11+BB11+BC11+CY11+CZ11</f>
        <v>0.0209408858313077</v>
      </c>
      <c r="DJ11" s="57" t="n">
        <f aca="false">AA11+AZ11+BY11+CX11+CE11+BZ11+CA11+CB11</f>
        <v>0.00583706695946388</v>
      </c>
      <c r="DK11" s="57" t="n">
        <f aca="false">AD11+DD11+DA11</f>
        <v>0.041082653406094</v>
      </c>
      <c r="DL11" s="57" t="n">
        <f aca="false">K11+AJ11+BI11+CH11+DG11</f>
        <v>0.0635567950552677</v>
      </c>
      <c r="DM11" s="58" t="n">
        <f aca="false">SUM(DH11:DL11)</f>
        <v>1</v>
      </c>
      <c r="DN11" s="19" t="n">
        <f aca="false">dt*(G11*Warfarin!$H$2+(H11+I11+J11)*c_aspirin)</f>
        <v>86.0419726607761</v>
      </c>
      <c r="DO11" s="19" t="n">
        <f aca="false">dt*(H11*c_lt_minor_stroke+I11*c_lt_major_stroke)</f>
        <v>80.2292646062363</v>
      </c>
      <c r="DP11" s="19" t="n">
        <f aca="false">AH11+BG11+CF11+DE11</f>
        <v>285.898571071862</v>
      </c>
      <c r="DQ11" s="19" t="n">
        <f aca="false">DN11+DO11+DP11</f>
        <v>452.169808338875</v>
      </c>
      <c r="DR11" s="57" t="n">
        <f aca="false">dt*(G11*(u_af-dec_per_year_over_70*MAX(B11-ref_age,0))+H11*(u_minor_stroke-dec_per_year_over_70*MAX(B11-ref_age,0))+I11*(u_major_stroke-dec_per_year_over_70*MAX(B11-ref_age,0))+J11*(u_af-dec_per_year_over_70*MAX(B11-ref_age,0)))-AI11-BH11-CG11-DF11</f>
        <v>0.190557438796951</v>
      </c>
      <c r="DS11" s="57" t="n">
        <f aca="false">dt*(G11+H11+I11+J11)</f>
        <v>0.236893486404721</v>
      </c>
      <c r="DT11" s="19" t="n">
        <f aca="false">DQ11*C11</f>
        <v>443.832405387073</v>
      </c>
      <c r="DU11" s="19" t="n">
        <f aca="false">DN11*C11</f>
        <v>84.4554744390656</v>
      </c>
      <c r="DV11" s="19" t="n">
        <f aca="false">DP11*C11</f>
        <v>280.626986046919</v>
      </c>
      <c r="DW11" s="19" t="n">
        <f aca="false">DO11*C11</f>
        <v>78.7499449010878</v>
      </c>
      <c r="DX11" s="57" t="n">
        <f aca="false">DR11*C11</f>
        <v>0.18704381598664</v>
      </c>
      <c r="DY11" s="57" t="n">
        <f aca="false">DS11*C11</f>
        <v>0.232525489213425</v>
      </c>
      <c r="DZ11" s="57" t="n">
        <f aca="false">T11+AS11+BR11+CQ11</f>
        <v>0.00430292388238194</v>
      </c>
      <c r="EA11" s="57" t="n">
        <f aca="false">U11+AT11+BS11+CR11</f>
        <v>0.0018267650179647</v>
      </c>
      <c r="EB11" s="57" t="n">
        <f aca="false">V11+AU11+BT11+CS11</f>
        <v>0.00790655588357425</v>
      </c>
      <c r="EC11" s="57" t="n">
        <f aca="false">G11*dt*C11</f>
        <v>0.218366506311235</v>
      </c>
    </row>
    <row r="12" customFormat="false" ht="15" hidden="false" customHeight="false" outlineLevel="0" collapsed="false">
      <c r="A12" s="8" t="n">
        <v>6</v>
      </c>
      <c r="B12" s="54" t="n">
        <f aca="false">start_age+A12*dt</f>
        <v>71.5</v>
      </c>
      <c r="C12" s="16" t="n">
        <f aca="false">(1+disc_rate)^-(A12*dt)</f>
        <v>0.977914614749685</v>
      </c>
      <c r="D12" s="55" t="n">
        <f aca="false">IF(A12*dt&gt;=wane_start,(1-wane_decay)^(A12*dt-wane_start),1)</f>
        <v>1</v>
      </c>
      <c r="E12" s="25" t="n">
        <f aca="false">MIN(p_nonvasc_death*MIN(EXP(gomp_int+gomp_slope*INT(B12)),1)/qx_ref,0.999)</f>
        <v>0.0366400208729949</v>
      </c>
      <c r="F12" s="55" t="n">
        <f aca="false">rr_stroke_per_decade^((B12-ref_age)/10)</f>
        <v>1.0627073611568</v>
      </c>
      <c r="G12" s="57" t="n">
        <f aca="false">DH11</f>
        <v>0.868582598747867</v>
      </c>
      <c r="H12" s="57" t="n">
        <f aca="false">DI11</f>
        <v>0.0209408858313077</v>
      </c>
      <c r="I12" s="57" t="n">
        <f aca="false">DJ11</f>
        <v>0.00583706695946388</v>
      </c>
      <c r="J12" s="57" t="n">
        <f aca="false">DK11</f>
        <v>0.041082653406094</v>
      </c>
      <c r="K12" s="57" t="n">
        <f aca="false">DL11</f>
        <v>0.0635567950552677</v>
      </c>
      <c r="L12" s="57" t="n">
        <f aca="false">1-EXP(LN(1-E12)*dt)</f>
        <v>0.00928862345915527</v>
      </c>
      <c r="M12" s="57" t="n">
        <f aca="false">G12*(1-L12)</f>
        <v>0.860514662044923</v>
      </c>
      <c r="N12" s="57" t="n">
        <f aca="false">IF(Warfarin!$B$2=1,EXP(LN(or_apx_stroke)*D12)*(1-EXP(-r_stroke*F12*dt))/(1-(1-EXP(-r_stroke*F12*dt))+EXP(LN(or_apx_stroke)*D12)*(1-EXP(-r_stroke*F12*dt))),(1-EXP(-r_stroke*F12*dt)))</f>
        <v>0.00427603484440386</v>
      </c>
      <c r="O12" s="57" t="n">
        <f aca="false">IF(Warfarin!$B$2=1,EXP(LN(or_apx_ich)*D12)*(1-EXP(-r_ich*dt))/(1-(1-EXP(-r_ich*dt))+EXP(LN(or_apx_ich)*D12)*(1-EXP(-r_ich*dt))),(1-EXP(-r_ich*dt)))</f>
        <v>0.0020060281549299</v>
      </c>
      <c r="P12" s="57" t="n">
        <f aca="false">IF(Warfarin!$B$2=1,EXP(LN(or_apx_mb)*D12)*(1-EXP(-r_mb*dt))/(1-(1-EXP(-r_mb*dt))+EXP(LN(or_apx_mb)*D12)*(1-EXP(-r_mb*dt))),(1-EXP(-r_mb*dt)))</f>
        <v>0.00835410477572107</v>
      </c>
      <c r="Q12" s="57" t="n">
        <f aca="false">IF(Warfarin!$B$2=1,EXP(LN(or_apx_mi)*D12)*(1-EXP(-r_mi*dt))/(1-(1-EXP(-r_mi*dt))+EXP(LN(or_apx_mi)*D12)*(1-EXP(-r_mi*dt))),(1-EXP(-r_mi*dt)))</f>
        <v>0.00150338686144691</v>
      </c>
      <c r="R12" s="57" t="n">
        <f aca="false">(1-EXP(-r_tia*dt))</f>
        <v>0.0020060281549299</v>
      </c>
      <c r="S12" s="57" t="n">
        <f aca="false">(1-EXP(-r_minor*dt))</f>
        <v>0.0437937690785545</v>
      </c>
      <c r="T12" s="57" t="n">
        <f aca="false">M12*N12</f>
        <v>0.00367959067902451</v>
      </c>
      <c r="U12" s="57" t="n">
        <f aca="false">M12*O12</f>
        <v>0.0017262166397921</v>
      </c>
      <c r="V12" s="57" t="n">
        <f aca="false">M12*P12</f>
        <v>0.0071888296477675</v>
      </c>
      <c r="W12" s="57" t="n">
        <f aca="false">M12*Q12</f>
        <v>0.00129368643700077</v>
      </c>
      <c r="X12" s="57" t="n">
        <f aca="false">M12*R12</f>
        <v>0.0017262166397921</v>
      </c>
      <c r="Y12" s="57" t="n">
        <f aca="false">M12*S12</f>
        <v>0.0376851803983057</v>
      </c>
      <c r="Z12" s="57" t="n">
        <f aca="false">T12*f_stroke_fatal</f>
        <v>0.000872062990928808</v>
      </c>
      <c r="AA12" s="57" t="n">
        <f aca="false">T12*(1-f_stroke_fatal)*f_stroke_major</f>
        <v>0.000934906720135868</v>
      </c>
      <c r="AB12" s="57" t="n">
        <f aca="false">T12*(1-f_stroke_fatal)*(1-f_stroke_major)</f>
        <v>0.00187262096795983</v>
      </c>
      <c r="AC12" s="57" t="n">
        <f aca="false">U12*(1-f_bleed_fatal)</f>
        <v>0.00158121444204956</v>
      </c>
      <c r="AD12" s="57" t="n">
        <f aca="false">V12*(1-f_bleed_fatal)</f>
        <v>0.00658496795735503</v>
      </c>
      <c r="AE12" s="57" t="n">
        <f aca="false">W12*f_mi_fatal</f>
        <v>0.000156536058877093</v>
      </c>
      <c r="AF12" s="57" t="n">
        <f aca="false">W12-AE12</f>
        <v>0.00113715037812367</v>
      </c>
      <c r="AG12" s="57" t="n">
        <f aca="false">M12-T12-U12-V12-AE12</f>
        <v>0.847763489019462</v>
      </c>
      <c r="AH12" s="19" t="n">
        <f aca="false">Z12*c_stroke_fatal+AA12*c_stroke_major+AB12*c_stroke_minor+U12*c_ich+V12*c_major_bleed+AE12*c_mi_fatal+AF12*c_mi_nonfatal+X12*c_tia+Y12*c_minor_bleed</f>
        <v>253.157699624311</v>
      </c>
      <c r="AI12" s="57" t="n">
        <f aca="false">dt*(AF12*dec_mi+AD12*dec_major_bleed+Y12*dec_minor_bleed+X12*dec_tia)</f>
        <v>0.000353917127104671</v>
      </c>
      <c r="AJ12" s="57" t="n">
        <f aca="false">G12*L12+Z12+U12-AC12+V12-AD12+AE12</f>
        <v>0.00984539964090439</v>
      </c>
      <c r="AK12" s="57" t="n">
        <f aca="false">1-EXP(LN(1-E12)*hr_death_prior_stroke*dt)</f>
        <v>0.0212349675660142</v>
      </c>
      <c r="AL12" s="57" t="n">
        <f aca="false">H12*(1-AK12)</f>
        <v>0.0204962067998763</v>
      </c>
      <c r="AM12" s="57" t="n">
        <f aca="false">(1-EXP(-r_stroke*F12*rr_stroke_prior*rr_asa_stroke*dt))</f>
        <v>0.0151564316703614</v>
      </c>
      <c r="AN12" s="57" t="n">
        <f aca="false">(1-EXP(-r_ich*rr_asa_ich*dt))</f>
        <v>0.00102357767802375</v>
      </c>
      <c r="AO12" s="57" t="n">
        <f aca="false">(1-EXP(-r_mb*rr_asa_mb*dt))</f>
        <v>0.00951809672747972</v>
      </c>
      <c r="AP12" s="57" t="n">
        <f aca="false">(1-EXP(-r_mi*rr_asa_mi*dt))</f>
        <v>0.00213413516393479</v>
      </c>
      <c r="AQ12" s="57" t="n">
        <f aca="false">(1-EXP(-r_tia*rr_asa_tia*dt))</f>
        <v>0.00312764565589152</v>
      </c>
      <c r="AR12" s="57" t="n">
        <f aca="false">(1-EXP(-r_minor*rr_asa_minor*dt))</f>
        <v>0.0278181950466747</v>
      </c>
      <c r="AS12" s="57" t="n">
        <f aca="false">AL12*AM12</f>
        <v>0.000310649357863922</v>
      </c>
      <c r="AT12" s="57" t="n">
        <f aca="false">AL12*AN12</f>
        <v>2.09794597645119E-005</v>
      </c>
      <c r="AU12" s="57" t="n">
        <f aca="false">AL12*AO12</f>
        <v>0.00019508487886765</v>
      </c>
      <c r="AV12" s="57" t="n">
        <f aca="false">AL12*AP12</f>
        <v>4.37416756588954E-005</v>
      </c>
      <c r="AW12" s="57" t="n">
        <f aca="false">AL12*AQ12</f>
        <v>6.41048721598873E-005</v>
      </c>
      <c r="AX12" s="57" t="n">
        <f aca="false">AL12*AR12</f>
        <v>0.000570167478475939</v>
      </c>
      <c r="AY12" s="57" t="n">
        <f aca="false">AS12*f_stroke_fatal_recur</f>
        <v>0.000115589519567587</v>
      </c>
      <c r="AZ12" s="57" t="n">
        <f aca="false">AS12*(1-f_stroke_fatal_recur)*f_stroke_major</f>
        <v>6.49549261526796E-005</v>
      </c>
      <c r="BA12" s="57" t="n">
        <f aca="false">AS12*(1-f_stroke_fatal_recur)*(1-f_stroke_major)</f>
        <v>0.000130104912143656</v>
      </c>
      <c r="BB12" s="57" t="n">
        <f aca="false">AT12*(1-f_bleed_fatal)</f>
        <v>1.92171851442929E-005</v>
      </c>
      <c r="BC12" s="57" t="n">
        <f aca="false">AU12*(1-f_bleed_fatal)</f>
        <v>0.000178697749042768</v>
      </c>
      <c r="BD12" s="57" t="n">
        <f aca="false">AV12*f_mi_fatal</f>
        <v>5.29274275472634E-006</v>
      </c>
      <c r="BE12" s="57" t="n">
        <f aca="false">AV12-BD12</f>
        <v>3.8448932904169E-005</v>
      </c>
      <c r="BF12" s="57" t="n">
        <f aca="false">AL12-AS12-AT12-AU12-BD12</f>
        <v>0.0199642003606255</v>
      </c>
      <c r="BG12" s="19" t="n">
        <f aca="false">AY12*c_stroke_fatal+AZ12*c_stroke_major+BA12*c_stroke_minor+AT12*c_ich+AU12*c_major_bleed+BD12*c_mi_fatal+BE12*c_mi_nonfatal+AW12*c_tia+AX12*c_minor_bleed</f>
        <v>13.4710046919511</v>
      </c>
      <c r="BH12" s="57" t="n">
        <f aca="false">dt*(BE12*dec_mi+BC12*dec_major_bleed+AX12*dec_minor_bleed+AW12*dec_tia)</f>
        <v>8.81532214440283E-006</v>
      </c>
      <c r="BI12" s="57" t="n">
        <f aca="false">H12*AK12+AY12+AT12-BB12+AU12-BC12+BD12</f>
        <v>0.00058371069819884</v>
      </c>
      <c r="BJ12" s="57" t="n">
        <f aca="false">1-EXP(LN(1-E12)*hr_death_prior_stroke*dt)</f>
        <v>0.0212349675660142</v>
      </c>
      <c r="BK12" s="57" t="n">
        <f aca="false">I12*(1-BJ12)</f>
        <v>0.00571311703189901</v>
      </c>
      <c r="BL12" s="57" t="n">
        <f aca="false">(1-EXP(-r_stroke*F12*rr_stroke_prior*rr_asa_stroke*dt))</f>
        <v>0.0151564316703614</v>
      </c>
      <c r="BM12" s="57" t="n">
        <f aca="false">(1-EXP(-r_ich*rr_asa_ich*dt))</f>
        <v>0.00102357767802375</v>
      </c>
      <c r="BN12" s="57" t="n">
        <f aca="false">(1-EXP(-r_mb*rr_asa_mb*dt))</f>
        <v>0.00951809672747972</v>
      </c>
      <c r="BO12" s="57" t="n">
        <f aca="false">(1-EXP(-r_mi*rr_asa_mi*dt))</f>
        <v>0.00213413516393479</v>
      </c>
      <c r="BP12" s="57" t="n">
        <f aca="false">(1-EXP(-r_tia*rr_asa_tia*dt))</f>
        <v>0.00312764565589152</v>
      </c>
      <c r="BQ12" s="57" t="n">
        <f aca="false">(1-EXP(-r_minor*rr_asa_minor*dt))</f>
        <v>0.0278181950466747</v>
      </c>
      <c r="BR12" s="57" t="n">
        <f aca="false">BK12*BL12</f>
        <v>8.65904679187552E-005</v>
      </c>
      <c r="BS12" s="57" t="n">
        <f aca="false">BK12*BM12</f>
        <v>5.8478190657891E-006</v>
      </c>
      <c r="BT12" s="57" t="n">
        <f aca="false">BK12*BN12</f>
        <v>5.43780005250266E-005</v>
      </c>
      <c r="BU12" s="57" t="n">
        <f aca="false">BK12*BO12</f>
        <v>1.21925639534504E-005</v>
      </c>
      <c r="BV12" s="57" t="n">
        <f aca="false">BK12*BP12</f>
        <v>1.78686056664188E-005</v>
      </c>
      <c r="BW12" s="57" t="n">
        <f aca="false">BK12*BQ12</f>
        <v>0.000158928603917846</v>
      </c>
      <c r="BX12" s="57" t="n">
        <f aca="false">BR12*f_stroke_fatal_recur</f>
        <v>3.22194472078896E-005</v>
      </c>
      <c r="BY12" s="57" t="n">
        <f aca="false">BR12*(1-f_stroke_fatal_recur)*f_stroke_major</f>
        <v>1.81055498967182E-005</v>
      </c>
      <c r="BZ12" s="57" t="n">
        <f aca="false">BR12*(1-f_stroke_fatal_recur)*(1-f_stroke_major)</f>
        <v>3.62654708141474E-005</v>
      </c>
      <c r="CA12" s="57" t="n">
        <f aca="false">BS12*(1-f_bleed_fatal)</f>
        <v>5.35660226426282E-006</v>
      </c>
      <c r="CB12" s="57" t="n">
        <f aca="false">BT12*(1-f_bleed_fatal)</f>
        <v>4.98102484809243E-005</v>
      </c>
      <c r="CC12" s="57" t="n">
        <f aca="false">BU12*f_mi_fatal</f>
        <v>1.4753002383675E-006</v>
      </c>
      <c r="CD12" s="57" t="n">
        <f aca="false">BU12-CC12</f>
        <v>1.07172637150829E-005</v>
      </c>
      <c r="CE12" s="57" t="n">
        <f aca="false">BK12-BR12-BS12-BT12-CC12</f>
        <v>0.00556482544415107</v>
      </c>
      <c r="CF12" s="19" t="n">
        <f aca="false">BX12*c_stroke_fatal+BY12*c_stroke_major+BZ12*c_stroke_minor+BS12*c_ich+BT12*c_major_bleed+CC12*c_mi_fatal+CD12*c_mi_nonfatal+BV12*c_tia+BW12*c_minor_bleed</f>
        <v>3.75491070586007</v>
      </c>
      <c r="CG12" s="57" t="n">
        <f aca="false">dt*(CD12*dec_mi+CB12*dec_major_bleed+BW12*dec_minor_bleed+BV12*dec_tia)</f>
        <v>2.45718476480088E-006</v>
      </c>
      <c r="CH12" s="57" t="n">
        <f aca="false">I12*BJ12+BX12+BS12-CA12+BT12-CB12+CC12</f>
        <v>0.000162703643856754</v>
      </c>
      <c r="CI12" s="57" t="n">
        <f aca="false">1-EXP(LN(1-E12)*dt)</f>
        <v>0.00928862345915527</v>
      </c>
      <c r="CJ12" s="57" t="n">
        <f aca="false">J12*(1-CI12)</f>
        <v>0.0407010521079018</v>
      </c>
      <c r="CK12" s="57" t="n">
        <f aca="false">(1-EXP(-r_stroke*F12*rr_asa_stroke*dt))</f>
        <v>0.0069179890042369</v>
      </c>
      <c r="CL12" s="57" t="n">
        <f aca="false">(1-EXP(-r_ich*rr_asa_ich*dt))</f>
        <v>0.00102357767802375</v>
      </c>
      <c r="CM12" s="57" t="n">
        <f aca="false">(1-EXP(-r_mb*rr_asa_mb*dt))</f>
        <v>0.00951809672747972</v>
      </c>
      <c r="CN12" s="57" t="n">
        <f aca="false">(1-EXP(-r_mi*rr_asa_mi*dt))</f>
        <v>0.00213413516393479</v>
      </c>
      <c r="CO12" s="57" t="n">
        <f aca="false">(1-EXP(-r_tia*rr_asa_tia*dt))</f>
        <v>0.00312764565589152</v>
      </c>
      <c r="CP12" s="57" t="n">
        <f aca="false">(1-EXP(-r_minor*rr_asa_minor*dt))</f>
        <v>0.0278181950466747</v>
      </c>
      <c r="CQ12" s="57" t="n">
        <f aca="false">CJ12*CK12</f>
        <v>0.000281569430943338</v>
      </c>
      <c r="CR12" s="57" t="n">
        <f aca="false">CJ12*CL12</f>
        <v>4.16606884097296E-005</v>
      </c>
      <c r="CS12" s="57" t="n">
        <f aca="false">CJ12*CM12</f>
        <v>0.000387396550873202</v>
      </c>
      <c r="CT12" s="57" t="n">
        <f aca="false">CJ12*CN12</f>
        <v>8.68615465126155E-005</v>
      </c>
      <c r="CU12" s="57" t="n">
        <f aca="false">CJ12*CO12</f>
        <v>0.000127298468815493</v>
      </c>
      <c r="CV12" s="57" t="n">
        <f aca="false">CJ12*CP12</f>
        <v>0.00113222980614248</v>
      </c>
      <c r="CW12" s="57" t="n">
        <f aca="false">CQ12*f_stroke_fatal</f>
        <v>6.67319551335711E-005</v>
      </c>
      <c r="CX12" s="57" t="n">
        <f aca="false">CQ12*(1-f_stroke_fatal)*f_stroke_major</f>
        <v>7.15408794446523E-005</v>
      </c>
      <c r="CY12" s="57" t="n">
        <f aca="false">CQ12*(1-f_stroke_fatal)*(1-f_stroke_major)</f>
        <v>0.000143296596365114</v>
      </c>
      <c r="CZ12" s="57" t="n">
        <f aca="false">CR12*(1-f_bleed_fatal)</f>
        <v>3.81611905833123E-005</v>
      </c>
      <c r="DA12" s="57" t="n">
        <f aca="false">CS12*(1-f_bleed_fatal)</f>
        <v>0.000354855240599853</v>
      </c>
      <c r="DB12" s="57" t="n">
        <f aca="false">CT12*f_mi_fatal</f>
        <v>1.05102471280265E-005</v>
      </c>
      <c r="DC12" s="57" t="n">
        <f aca="false">CT12-DB12</f>
        <v>7.6351299384589E-005</v>
      </c>
      <c r="DD12" s="57" t="n">
        <f aca="false">CJ12-CQ12-CR12-CS12-DB12</f>
        <v>0.0399799151905475</v>
      </c>
      <c r="DE12" s="19" t="n">
        <f aca="false">CW12*c_stroke_fatal+CX12*c_stroke_major+CY12*c_stroke_minor+CR12*c_ich+CS12*c_major_bleed+DB12*c_mi_fatal+DC12*c_mi_nonfatal+CU12*c_tia+CV12*c_minor_bleed</f>
        <v>15.8840560756518</v>
      </c>
      <c r="DF12" s="57" t="n">
        <f aca="false">dt*(DC12*dec_mi+DA12*dec_major_bleed+CV12*dec_minor_bleed+CU12*dec_tia)</f>
        <v>1.7505331081527E-005</v>
      </c>
      <c r="DG12" s="57" t="n">
        <f aca="false">J12*CI12+CW12+CR12-CZ12+CS12-DA12+DB12</f>
        <v>0.000494884308553553</v>
      </c>
      <c r="DH12" s="57" t="n">
        <f aca="false">AG12</f>
        <v>0.847763489019462</v>
      </c>
      <c r="DI12" s="57" t="n">
        <f aca="false">AB12+AC12+BF12+BA12+BB12+BC12+CY12+CZ12</f>
        <v>0.023927513403914</v>
      </c>
      <c r="DJ12" s="57" t="n">
        <f aca="false">AA12+AZ12+BY12+CX12+CE12+BZ12+CA12+CB12</f>
        <v>0.00674576584134032</v>
      </c>
      <c r="DK12" s="57" t="n">
        <f aca="false">AD12+DD12+DA12</f>
        <v>0.0469197383885024</v>
      </c>
      <c r="DL12" s="57" t="n">
        <f aca="false">K12+AJ12+BI12+CH12+DG12</f>
        <v>0.0746434933467813</v>
      </c>
      <c r="DM12" s="58" t="n">
        <f aca="false">SUM(DH12:DL12)</f>
        <v>1</v>
      </c>
      <c r="DN12" s="19" t="n">
        <f aca="false">dt*(G12*Warfarin!$H$2+(H12+I12+J12)*c_aspirin)</f>
        <v>84.0959389478234</v>
      </c>
      <c r="DO12" s="19" t="n">
        <f aca="false">dt*(H12*c_lt_minor_stroke+I12*c_lt_major_stroke)</f>
        <v>94.7184291288876</v>
      </c>
      <c r="DP12" s="19" t="n">
        <f aca="false">AH12+BG12+CF12+DE12</f>
        <v>286.267671097774</v>
      </c>
      <c r="DQ12" s="19" t="n">
        <f aca="false">DN12+DO12+DP12</f>
        <v>465.082039174485</v>
      </c>
      <c r="DR12" s="57" t="n">
        <f aca="false">dt*(G12*(u_af-dec_per_year_over_70*MAX(B12-ref_age,0))+H12*(u_minor_stroke-dec_per_year_over_70*MAX(B12-ref_age,0))+I12*(u_major_stroke-dec_per_year_over_70*MAX(B12-ref_age,0))+J12*(u_af-dec_per_year_over_70*MAX(B12-ref_age,0)))-AI12-BH12-CG12-DF12</f>
        <v>0.188134448608594</v>
      </c>
      <c r="DS12" s="57" t="n">
        <f aca="false">dt*(G12+H12+I12+J12)</f>
        <v>0.234110801236183</v>
      </c>
      <c r="DT12" s="19" t="n">
        <f aca="false">DQ12*C12</f>
        <v>454.810523166314</v>
      </c>
      <c r="DU12" s="19" t="n">
        <f aca="false">DN12*C12</f>
        <v>82.2386477381738</v>
      </c>
      <c r="DV12" s="19" t="n">
        <f aca="false">DP12*C12</f>
        <v>279.945339296869</v>
      </c>
      <c r="DW12" s="19" t="n">
        <f aca="false">DO12*C12</f>
        <v>92.6265361312714</v>
      </c>
      <c r="DX12" s="57" t="n">
        <f aca="false">DR12*C12</f>
        <v>0.183979426832217</v>
      </c>
      <c r="DY12" s="57" t="n">
        <f aca="false">DS12*C12</f>
        <v>0.228940373999622</v>
      </c>
      <c r="DZ12" s="57" t="n">
        <f aca="false">T12+AS12+BR12+CQ12</f>
        <v>0.00435839993575052</v>
      </c>
      <c r="EA12" s="57" t="n">
        <f aca="false">U12+AT12+BS12+CR12</f>
        <v>0.00179470460703213</v>
      </c>
      <c r="EB12" s="57" t="n">
        <f aca="false">V12+AU12+BT12+CS12</f>
        <v>0.00782568907803338</v>
      </c>
      <c r="EC12" s="57" t="n">
        <f aca="false">G12*dt*C12</f>
        <v>0.2123499043582</v>
      </c>
    </row>
    <row r="13" customFormat="false" ht="15" hidden="false" customHeight="false" outlineLevel="0" collapsed="false">
      <c r="A13" s="8" t="n">
        <v>7</v>
      </c>
      <c r="B13" s="54" t="n">
        <f aca="false">start_age+A13*dt</f>
        <v>71.75</v>
      </c>
      <c r="C13" s="16" t="n">
        <f aca="false">(1+disc_rate)^-(A13*dt)</f>
        <v>0.974281432636651</v>
      </c>
      <c r="D13" s="55" t="n">
        <f aca="false">IF(A13*dt&gt;=wane_start,(1-wane_decay)^(A13*dt-wane_start),1)</f>
        <v>1</v>
      </c>
      <c r="E13" s="25" t="n">
        <f aca="false">MIN(p_nonvasc_death*MIN(EXP(gomp_int+gomp_slope*INT(B13)),1)/qx_ref,0.999)</f>
        <v>0.0366400208729949</v>
      </c>
      <c r="F13" s="55" t="n">
        <f aca="false">rr_stroke_per_decade^((B13-ref_age)/10)</f>
        <v>1.07353441221907</v>
      </c>
      <c r="G13" s="57" t="n">
        <f aca="false">DH12</f>
        <v>0.847763489019462</v>
      </c>
      <c r="H13" s="57" t="n">
        <f aca="false">DI12</f>
        <v>0.023927513403914</v>
      </c>
      <c r="I13" s="57" t="n">
        <f aca="false">DJ12</f>
        <v>0.00674576584134032</v>
      </c>
      <c r="J13" s="57" t="n">
        <f aca="false">DK12</f>
        <v>0.0469197383885024</v>
      </c>
      <c r="K13" s="57" t="n">
        <f aca="false">DL12</f>
        <v>0.0746434933467813</v>
      </c>
      <c r="L13" s="57" t="n">
        <f aca="false">1-EXP(LN(1-E13)*dt)</f>
        <v>0.00928862345915527</v>
      </c>
      <c r="M13" s="57" t="n">
        <f aca="false">G13*(1-L13)</f>
        <v>0.839888933187541</v>
      </c>
      <c r="N13" s="57" t="n">
        <f aca="false">IF(Warfarin!$B$2=1,EXP(LN(or_apx_stroke)*D13)*(1-EXP(-r_stroke*F13*dt))/(1-(1-EXP(-r_stroke*F13*dt))+EXP(LN(or_apx_stroke)*D13)*(1-EXP(-r_stroke*F13*dt))),(1-EXP(-r_stroke*F13*dt)))</f>
        <v>0.00431950562101957</v>
      </c>
      <c r="O13" s="57" t="n">
        <f aca="false">IF(Warfarin!$B$2=1,EXP(LN(or_apx_ich)*D13)*(1-EXP(-r_ich*dt))/(1-(1-EXP(-r_ich*dt))+EXP(LN(or_apx_ich)*D13)*(1-EXP(-r_ich*dt))),(1-EXP(-r_ich*dt)))</f>
        <v>0.0020060281549299</v>
      </c>
      <c r="P13" s="57" t="n">
        <f aca="false">IF(Warfarin!$B$2=1,EXP(LN(or_apx_mb)*D13)*(1-EXP(-r_mb*dt))/(1-(1-EXP(-r_mb*dt))+EXP(LN(or_apx_mb)*D13)*(1-EXP(-r_mb*dt))),(1-EXP(-r_mb*dt)))</f>
        <v>0.00835410477572107</v>
      </c>
      <c r="Q13" s="57" t="n">
        <f aca="false">IF(Warfarin!$B$2=1,EXP(LN(or_apx_mi)*D13)*(1-EXP(-r_mi*dt))/(1-(1-EXP(-r_mi*dt))+EXP(LN(or_apx_mi)*D13)*(1-EXP(-r_mi*dt))),(1-EXP(-r_mi*dt)))</f>
        <v>0.00150338686144691</v>
      </c>
      <c r="R13" s="57" t="n">
        <f aca="false">(1-EXP(-r_tia*dt))</f>
        <v>0.0020060281549299</v>
      </c>
      <c r="S13" s="57" t="n">
        <f aca="false">(1-EXP(-r_minor*dt))</f>
        <v>0.0437937690785545</v>
      </c>
      <c r="T13" s="57" t="n">
        <f aca="false">M13*N13</f>
        <v>0.00362790496793571</v>
      </c>
      <c r="U13" s="57" t="n">
        <f aca="false">M13*O13</f>
        <v>0.00168484084698824</v>
      </c>
      <c r="V13" s="57" t="n">
        <f aca="false">M13*P13</f>
        <v>0.00701652014781731</v>
      </c>
      <c r="W13" s="57" t="n">
        <f aca="false">M13*Q13</f>
        <v>0.00126267798722881</v>
      </c>
      <c r="X13" s="57" t="n">
        <f aca="false">M13*R13</f>
        <v>0.00168484084698824</v>
      </c>
      <c r="Y13" s="57" t="n">
        <f aca="false">M13*S13</f>
        <v>0.0367819019916486</v>
      </c>
      <c r="Z13" s="57" t="n">
        <f aca="false">T13*f_stroke_fatal</f>
        <v>0.000859813477400764</v>
      </c>
      <c r="AA13" s="57" t="n">
        <f aca="false">T13*(1-f_stroke_fatal)*f_stroke_major</f>
        <v>0.000921774466348138</v>
      </c>
      <c r="AB13" s="57" t="n">
        <f aca="false">T13*(1-f_stroke_fatal)*(1-f_stroke_major)</f>
        <v>0.00184631702418681</v>
      </c>
      <c r="AC13" s="57" t="n">
        <f aca="false">U13*(1-f_bleed_fatal)</f>
        <v>0.00154331421584123</v>
      </c>
      <c r="AD13" s="57" t="n">
        <f aca="false">V13*(1-f_bleed_fatal)</f>
        <v>0.00642713245540066</v>
      </c>
      <c r="AE13" s="57" t="n">
        <f aca="false">W13*f_mi_fatal</f>
        <v>0.000152784036454686</v>
      </c>
      <c r="AF13" s="57" t="n">
        <f aca="false">W13-AE13</f>
        <v>0.00110989395077412</v>
      </c>
      <c r="AG13" s="57" t="n">
        <f aca="false">M13-T13-U13-V13-AE13</f>
        <v>0.827406883188345</v>
      </c>
      <c r="AH13" s="19" t="n">
        <f aca="false">Z13*c_stroke_fatal+AA13*c_stroke_major+AB13*c_stroke_minor+U13*c_ich+V13*c_major_bleed+AE13*c_mi_fatal+AF13*c_mi_nonfatal+X13*c_tia+Y13*c_minor_bleed</f>
        <v>248.438728216928</v>
      </c>
      <c r="AI13" s="57" t="n">
        <f aca="false">dt*(AF13*dec_mi+AD13*dec_major_bleed+Y13*dec_minor_bleed+X13*dec_tia)</f>
        <v>0.000345434065718712</v>
      </c>
      <c r="AJ13" s="57" t="n">
        <f aca="false">G13*L13+Z13+U13-AC13+V13-AD13+AE13</f>
        <v>0.00961806766934061</v>
      </c>
      <c r="AK13" s="57" t="n">
        <f aca="false">1-EXP(LN(1-E13)*hr_death_prior_stroke*dt)</f>
        <v>0.0212349675660142</v>
      </c>
      <c r="AL13" s="57" t="n">
        <f aca="false">H13*(1-AK13)</f>
        <v>0.0234194134328465</v>
      </c>
      <c r="AM13" s="57" t="n">
        <f aca="false">(1-EXP(-r_stroke*F13*rr_stroke_prior*rr_asa_stroke*dt))</f>
        <v>0.0153096600046361</v>
      </c>
      <c r="AN13" s="57" t="n">
        <f aca="false">(1-EXP(-r_ich*rr_asa_ich*dt))</f>
        <v>0.00102357767802375</v>
      </c>
      <c r="AO13" s="57" t="n">
        <f aca="false">(1-EXP(-r_mb*rr_asa_mb*dt))</f>
        <v>0.00951809672747972</v>
      </c>
      <c r="AP13" s="57" t="n">
        <f aca="false">(1-EXP(-r_mi*rr_asa_mi*dt))</f>
        <v>0.00213413516393479</v>
      </c>
      <c r="AQ13" s="57" t="n">
        <f aca="false">(1-EXP(-r_tia*rr_asa_tia*dt))</f>
        <v>0.00312764565589152</v>
      </c>
      <c r="AR13" s="57" t="n">
        <f aca="false">(1-EXP(-r_minor*rr_asa_minor*dt))</f>
        <v>0.0278181950466747</v>
      </c>
      <c r="AS13" s="57" t="n">
        <f aca="false">AL13*AM13</f>
        <v>0.000358543257164887</v>
      </c>
      <c r="AT13" s="57" t="n">
        <f aca="false">AL13*AN13</f>
        <v>2.39715888222712E-005</v>
      </c>
      <c r="AU13" s="57" t="n">
        <f aca="false">AL13*AO13</f>
        <v>0.000222908242354671</v>
      </c>
      <c r="AV13" s="57" t="n">
        <f aca="false">AL13*AP13</f>
        <v>4.99801937257646E-005</v>
      </c>
      <c r="AW13" s="57" t="n">
        <f aca="false">AL13*AQ13</f>
        <v>7.324762668677E-005</v>
      </c>
      <c r="AX13" s="57" t="n">
        <f aca="false">AL13*AR13</f>
        <v>0.000651485810753639</v>
      </c>
      <c r="AY13" s="57" t="n">
        <f aca="false">AS13*f_stroke_fatal_recur</f>
        <v>0.000133410360558483</v>
      </c>
      <c r="AZ13" s="57" t="n">
        <f aca="false">AS13*(1-f_stroke_fatal_recur)*f_stroke_major</f>
        <v>7.49692545699327E-005</v>
      </c>
      <c r="BA13" s="57" t="n">
        <f aca="false">AS13*(1-f_stroke_fatal_recur)*(1-f_stroke_major)</f>
        <v>0.000150163642036472</v>
      </c>
      <c r="BB13" s="57" t="n">
        <f aca="false">AT13*(1-f_bleed_fatal)</f>
        <v>2.19579753612004E-005</v>
      </c>
      <c r="BC13" s="57" t="n">
        <f aca="false">AU13*(1-f_bleed_fatal)</f>
        <v>0.000204183949996879</v>
      </c>
      <c r="BD13" s="57" t="n">
        <f aca="false">AV13*f_mi_fatal</f>
        <v>6.04760344081752E-006</v>
      </c>
      <c r="BE13" s="57" t="n">
        <f aca="false">AV13-BD13</f>
        <v>4.39325902849471E-005</v>
      </c>
      <c r="BF13" s="57" t="n">
        <f aca="false">AL13-AS13-AT13-AU13-BD13</f>
        <v>0.0228079427410639</v>
      </c>
      <c r="BG13" s="19" t="n">
        <f aca="false">AY13*c_stroke_fatal+AZ13*c_stroke_major+BA13*c_stroke_minor+AT13*c_ich+AU13*c_major_bleed+BD13*c_mi_fatal+BE13*c_mi_nonfatal+AW13*c_tia+AX13*c_minor_bleed</f>
        <v>15.5159942488212</v>
      </c>
      <c r="BH13" s="57" t="n">
        <f aca="false">dt*(BE13*dec_mi+BC13*dec_major_bleed+AX13*dec_minor_bleed+AW13*dec_tia)</f>
        <v>1.00725795684665E-005</v>
      </c>
      <c r="BI13" s="57" t="n">
        <f aca="false">H13*AK13+AY13+AT13-BB13+AU13-BC13+BD13</f>
        <v>0.000668295840885647</v>
      </c>
      <c r="BJ13" s="57" t="n">
        <f aca="false">1-EXP(LN(1-E13)*hr_death_prior_stroke*dt)</f>
        <v>0.0212349675660142</v>
      </c>
      <c r="BK13" s="57" t="n">
        <f aca="false">I13*(1-BJ13)</f>
        <v>0.00660251972249153</v>
      </c>
      <c r="BL13" s="57" t="n">
        <f aca="false">(1-EXP(-r_stroke*F13*rr_stroke_prior*rr_asa_stroke*dt))</f>
        <v>0.0153096600046361</v>
      </c>
      <c r="BM13" s="57" t="n">
        <f aca="false">(1-EXP(-r_ich*rr_asa_ich*dt))</f>
        <v>0.00102357767802375</v>
      </c>
      <c r="BN13" s="57" t="n">
        <f aca="false">(1-EXP(-r_mb*rr_asa_mb*dt))</f>
        <v>0.00951809672747972</v>
      </c>
      <c r="BO13" s="57" t="n">
        <f aca="false">(1-EXP(-r_mi*rr_asa_mi*dt))</f>
        <v>0.00213413516393479</v>
      </c>
      <c r="BP13" s="57" t="n">
        <f aca="false">(1-EXP(-r_tia*rr_asa_tia*dt))</f>
        <v>0.00312764565589152</v>
      </c>
      <c r="BQ13" s="57" t="n">
        <f aca="false">(1-EXP(-r_minor*rr_asa_minor*dt))</f>
        <v>0.0278181950466747</v>
      </c>
      <c r="BR13" s="57" t="n">
        <f aca="false">BK13*BL13</f>
        <v>0.000101082332125249</v>
      </c>
      <c r="BS13" s="57" t="n">
        <f aca="false">BK13*BM13</f>
        <v>6.75819180665387E-006</v>
      </c>
      <c r="BT13" s="57" t="n">
        <f aca="false">BK13*BN13</f>
        <v>6.2843421363767E-005</v>
      </c>
      <c r="BU13" s="57" t="n">
        <f aca="false">BK13*BO13</f>
        <v>1.40906695103422E-005</v>
      </c>
      <c r="BV13" s="57" t="n">
        <f aca="false">BK13*BP13</f>
        <v>2.06503421279887E-005</v>
      </c>
      <c r="BW13" s="57" t="n">
        <f aca="false">BK13*BQ13</f>
        <v>0.000183670181439786</v>
      </c>
      <c r="BX13" s="57" t="n">
        <f aca="false">BR13*f_stroke_fatal_recur</f>
        <v>3.76117249604841E-005</v>
      </c>
      <c r="BY13" s="57" t="n">
        <f aca="false">BR13*(1-f_stroke_fatal_recur)*f_stroke_major</f>
        <v>2.11357121858669E-005</v>
      </c>
      <c r="BZ13" s="57" t="n">
        <f aca="false">BR13*(1-f_stroke_fatal_recur)*(1-f_stroke_major)</f>
        <v>4.23348949788985E-005</v>
      </c>
      <c r="CA13" s="57" t="n">
        <f aca="false">BS13*(1-f_bleed_fatal)</f>
        <v>6.19050369489495E-006</v>
      </c>
      <c r="CB13" s="57" t="n">
        <f aca="false">BT13*(1-f_bleed_fatal)</f>
        <v>5.75645739692105E-005</v>
      </c>
      <c r="CC13" s="57" t="n">
        <f aca="false">BU13*f_mi_fatal</f>
        <v>1.7049710107514E-006</v>
      </c>
      <c r="CD13" s="57" t="n">
        <f aca="false">BU13-CC13</f>
        <v>1.23856984995908E-005</v>
      </c>
      <c r="CE13" s="57" t="n">
        <f aca="false">BK13-BR13-BS13-BT13-CC13</f>
        <v>0.00643013080618511</v>
      </c>
      <c r="CF13" s="19" t="n">
        <f aca="false">BX13*c_stroke_fatal+BY13*c_stroke_major+BZ13*c_stroke_minor+BS13*c_ich+BT13*c_major_bleed+CC13*c_mi_fatal+CD13*c_mi_nonfatal+BV13*c_tia+BW13*c_minor_bleed</f>
        <v>4.37434773230591</v>
      </c>
      <c r="CG13" s="57" t="n">
        <f aca="false">dt*(CD13*dec_mi+CB13*dec_major_bleed+BW13*dec_minor_bleed+BV13*dec_tia)</f>
        <v>2.83971267887907E-006</v>
      </c>
      <c r="CH13" s="57" t="n">
        <f aca="false">I13*BJ13+BX13+BS13-CA13+BT13-CB13+CC13</f>
        <v>0.000188409350326339</v>
      </c>
      <c r="CI13" s="57" t="n">
        <f aca="false">1-EXP(LN(1-E13)*dt)</f>
        <v>0.00928862345915527</v>
      </c>
      <c r="CJ13" s="57" t="n">
        <f aca="false">J13*(1-CI13)</f>
        <v>0.0464839186058095</v>
      </c>
      <c r="CK13" s="57" t="n">
        <f aca="false">(1-EXP(-r_stroke*F13*rr_asa_stroke*dt))</f>
        <v>0.00698822385936893</v>
      </c>
      <c r="CL13" s="57" t="n">
        <f aca="false">(1-EXP(-r_ich*rr_asa_ich*dt))</f>
        <v>0.00102357767802375</v>
      </c>
      <c r="CM13" s="57" t="n">
        <f aca="false">(1-EXP(-r_mb*rr_asa_mb*dt))</f>
        <v>0.00951809672747972</v>
      </c>
      <c r="CN13" s="57" t="n">
        <f aca="false">(1-EXP(-r_mi*rr_asa_mi*dt))</f>
        <v>0.00213413516393479</v>
      </c>
      <c r="CO13" s="57" t="n">
        <f aca="false">(1-EXP(-r_tia*rr_asa_tia*dt))</f>
        <v>0.00312764565589152</v>
      </c>
      <c r="CP13" s="57" t="n">
        <f aca="false">(1-EXP(-r_minor*rr_asa_minor*dt))</f>
        <v>0.0278181950466747</v>
      </c>
      <c r="CQ13" s="57" t="n">
        <f aca="false">CJ13*CK13</f>
        <v>0.000324840029078081</v>
      </c>
      <c r="CR13" s="57" t="n">
        <f aca="false">CJ13*CL13</f>
        <v>4.75799014719793E-005</v>
      </c>
      <c r="CS13" s="57" t="n">
        <f aca="false">CJ13*CM13</f>
        <v>0.000442438433562389</v>
      </c>
      <c r="CT13" s="57" t="n">
        <f aca="false">CJ13*CN13</f>
        <v>9.92029652541408E-005</v>
      </c>
      <c r="CU13" s="57" t="n">
        <f aca="false">CJ13*CO13</f>
        <v>0.000145385226096275</v>
      </c>
      <c r="CV13" s="57" t="n">
        <f aca="false">CJ13*CP13</f>
        <v>0.00129309871431016</v>
      </c>
      <c r="CW13" s="57" t="n">
        <f aca="false">CQ13*f_stroke_fatal</f>
        <v>7.69870868915052E-005</v>
      </c>
      <c r="CX13" s="57" t="n">
        <f aca="false">CQ13*(1-f_stroke_fatal)*f_stroke_major</f>
        <v>8.25350297481298E-005</v>
      </c>
      <c r="CY13" s="57" t="n">
        <f aca="false">CQ13*(1-f_stroke_fatal)*(1-f_stroke_major)</f>
        <v>0.000165317912438446</v>
      </c>
      <c r="CZ13" s="57" t="n">
        <f aca="false">CR13*(1-f_bleed_fatal)</f>
        <v>4.3583189748333E-005</v>
      </c>
      <c r="DA13" s="57" t="n">
        <f aca="false">CS13*(1-f_bleed_fatal)</f>
        <v>0.000405273605143148</v>
      </c>
      <c r="DB13" s="57" t="n">
        <f aca="false">CT13*f_mi_fatal</f>
        <v>1.2003558795751E-005</v>
      </c>
      <c r="DC13" s="57" t="n">
        <f aca="false">CT13-DB13</f>
        <v>8.71994064583898E-005</v>
      </c>
      <c r="DD13" s="57" t="n">
        <f aca="false">CJ13-CQ13-CR13-CS13-DB13</f>
        <v>0.0456570566829013</v>
      </c>
      <c r="DE13" s="19" t="n">
        <f aca="false">CW13*c_stroke_fatal+CX13*c_stroke_major+CY13*c_stroke_minor+CR13*c_ich+CS13*c_major_bleed+DB13*c_mi_fatal+DC13*c_mi_nonfatal+CU13*c_tia+CV13*c_minor_bleed</f>
        <v>18.261512877778</v>
      </c>
      <c r="DF13" s="57" t="n">
        <f aca="false">dt*(DC13*dec_mi+DA13*dec_major_bleed+CV13*dec_minor_bleed+CU13*dec_tia)</f>
        <v>1.99925147636042E-005</v>
      </c>
      <c r="DG13" s="57" t="n">
        <f aca="false">J13*CI13+CW13+CR13-CZ13+CS13-DA13+DB13</f>
        <v>0.000565971968523014</v>
      </c>
      <c r="DH13" s="57" t="n">
        <f aca="false">AG13</f>
        <v>0.827406883188345</v>
      </c>
      <c r="DI13" s="57" t="n">
        <f aca="false">AB13+AC13+BF13+BA13+BB13+BC13+CY13+CZ13</f>
        <v>0.0267827806506733</v>
      </c>
      <c r="DJ13" s="57" t="n">
        <f aca="false">AA13+AZ13+BY13+CX13+CE13+BZ13+CA13+CB13</f>
        <v>0.00763663524168018</v>
      </c>
      <c r="DK13" s="57" t="n">
        <f aca="false">AD13+DD13+DA13</f>
        <v>0.0524894627434451</v>
      </c>
      <c r="DL13" s="57" t="n">
        <f aca="false">K13+AJ13+BI13+CH13+DG13</f>
        <v>0.0856842381758569</v>
      </c>
      <c r="DM13" s="58" t="n">
        <f aca="false">SUM(DH13:DL13)</f>
        <v>1</v>
      </c>
      <c r="DN13" s="19" t="n">
        <f aca="false">dt*(G13*Warfarin!$H$2+(H13+I13+J13)*c_aspirin)</f>
        <v>82.191101728016</v>
      </c>
      <c r="DO13" s="19" t="n">
        <f aca="false">dt*(H13*c_lt_minor_stroke+I13*c_lt_major_stroke)</f>
        <v>108.724863836798</v>
      </c>
      <c r="DP13" s="19" t="n">
        <f aca="false">AH13+BG13+CF13+DE13</f>
        <v>286.590583075833</v>
      </c>
      <c r="DQ13" s="19" t="n">
        <f aca="false">DN13+DO13+DP13</f>
        <v>477.506548640646</v>
      </c>
      <c r="DR13" s="57" t="n">
        <f aca="false">dt*(G13*(u_af-dec_per_year_over_70*MAX(B13-ref_age,0))+H13*(u_minor_stroke-dec_per_year_over_70*MAX(B13-ref_age,0))+I13*(u_major_stroke-dec_per_year_over_70*MAX(B13-ref_age,0))+J13*(u_af-dec_per_year_over_70*MAX(B13-ref_age,0)))-AI13-BH13-CG13-DF13</f>
        <v>0.185724929263543</v>
      </c>
      <c r="DS13" s="57" t="n">
        <f aca="false">dt*(G13+H13+I13+J13)</f>
        <v>0.231339126663305</v>
      </c>
      <c r="DT13" s="19" t="n">
        <f aca="false">DQ13*C13</f>
        <v>465.225764302991</v>
      </c>
      <c r="DU13" s="19" t="n">
        <f aca="false">DN13*C13</f>
        <v>80.0772643415561</v>
      </c>
      <c r="DV13" s="19" t="n">
        <f aca="false">DP13*C13</f>
        <v>279.219883859295</v>
      </c>
      <c r="DW13" s="19" t="n">
        <f aca="false">DO13*C13</f>
        <v>105.92861610214</v>
      </c>
      <c r="DX13" s="57" t="n">
        <f aca="false">DR13*C13</f>
        <v>0.180948350159225</v>
      </c>
      <c r="DY13" s="57" t="n">
        <f aca="false">DS13*C13</f>
        <v>0.225389415750436</v>
      </c>
      <c r="DZ13" s="57" t="n">
        <f aca="false">T13+AS13+BR13+CQ13</f>
        <v>0.00441237058630393</v>
      </c>
      <c r="EA13" s="57" t="n">
        <f aca="false">U13+AT13+BS13+CR13</f>
        <v>0.00176315052908915</v>
      </c>
      <c r="EB13" s="57" t="n">
        <f aca="false">V13+AU13+BT13+CS13</f>
        <v>0.00774471024509814</v>
      </c>
      <c r="EC13" s="57" t="n">
        <f aca="false">G13*dt*C13</f>
        <v>0.206490056654732</v>
      </c>
    </row>
    <row r="14" customFormat="false" ht="15" hidden="false" customHeight="false" outlineLevel="0" collapsed="false">
      <c r="A14" s="8" t="n">
        <v>8</v>
      </c>
      <c r="B14" s="54" t="n">
        <f aca="false">start_age+A14*dt</f>
        <v>72</v>
      </c>
      <c r="C14" s="16" t="n">
        <f aca="false">(1+disc_rate)^-(A14*dt)</f>
        <v>0.97066174864714</v>
      </c>
      <c r="D14" s="55" t="n">
        <f aca="false">IF(A14*dt&gt;=wane_start,(1-wane_decay)^(A14*dt-wane_start),1)</f>
        <v>1</v>
      </c>
      <c r="E14" s="25" t="n">
        <f aca="false">MIN(p_nonvasc_death*MIN(EXP(gomp_int+gomp_slope*INT(B14)),1)/qx_ref,0.999)</f>
        <v>0.0406815493810151</v>
      </c>
      <c r="F14" s="55" t="n">
        <f aca="false">rr_stroke_per_decade^((B14-ref_age)/10)</f>
        <v>1.0844717711977</v>
      </c>
      <c r="G14" s="57" t="n">
        <f aca="false">DH13</f>
        <v>0.827406883188345</v>
      </c>
      <c r="H14" s="57" t="n">
        <f aca="false">DI13</f>
        <v>0.0267827806506733</v>
      </c>
      <c r="I14" s="57" t="n">
        <f aca="false">DJ13</f>
        <v>0.00763663524168018</v>
      </c>
      <c r="J14" s="57" t="n">
        <f aca="false">DK13</f>
        <v>0.0524894627434451</v>
      </c>
      <c r="K14" s="57" t="n">
        <f aca="false">DL13</f>
        <v>0.0856842381758569</v>
      </c>
      <c r="L14" s="57" t="n">
        <f aca="false">1-EXP(LN(1-E14)*dt)</f>
        <v>0.010329330711955</v>
      </c>
      <c r="M14" s="57" t="n">
        <f aca="false">G14*(1-L14)</f>
        <v>0.818860323858545</v>
      </c>
      <c r="N14" s="57" t="n">
        <f aca="false">IF(Warfarin!$B$2=1,EXP(LN(or_apx_stroke)*D14)*(1-EXP(-r_stroke*F14*dt))/(1-(1-EXP(-r_stroke*F14*dt))+EXP(LN(or_apx_stroke)*D14)*(1-EXP(-r_stroke*F14*dt))),(1-EXP(-r_stroke*F14*dt)))</f>
        <v>0.00436341735869206</v>
      </c>
      <c r="O14" s="57" t="n">
        <f aca="false">IF(Warfarin!$B$2=1,EXP(LN(or_apx_ich)*D14)*(1-EXP(-r_ich*dt))/(1-(1-EXP(-r_ich*dt))+EXP(LN(or_apx_ich)*D14)*(1-EXP(-r_ich*dt))),(1-EXP(-r_ich*dt)))</f>
        <v>0.0020060281549299</v>
      </c>
      <c r="P14" s="57" t="n">
        <f aca="false">IF(Warfarin!$B$2=1,EXP(LN(or_apx_mb)*D14)*(1-EXP(-r_mb*dt))/(1-(1-EXP(-r_mb*dt))+EXP(LN(or_apx_mb)*D14)*(1-EXP(-r_mb*dt))),(1-EXP(-r_mb*dt)))</f>
        <v>0.00835410477572107</v>
      </c>
      <c r="Q14" s="57" t="n">
        <f aca="false">IF(Warfarin!$B$2=1,EXP(LN(or_apx_mi)*D14)*(1-EXP(-r_mi*dt))/(1-(1-EXP(-r_mi*dt))+EXP(LN(or_apx_mi)*D14)*(1-EXP(-r_mi*dt))),(1-EXP(-r_mi*dt)))</f>
        <v>0.00150338686144691</v>
      </c>
      <c r="R14" s="57" t="n">
        <f aca="false">(1-EXP(-r_tia*dt))</f>
        <v>0.0020060281549299</v>
      </c>
      <c r="S14" s="57" t="n">
        <f aca="false">(1-EXP(-r_minor*dt))</f>
        <v>0.0437937690785545</v>
      </c>
      <c r="T14" s="57" t="n">
        <f aca="false">M14*N14</f>
        <v>0.00357302935146857</v>
      </c>
      <c r="U14" s="57" t="n">
        <f aca="false">M14*O14</f>
        <v>0.00164265686461525</v>
      </c>
      <c r="V14" s="57" t="n">
        <f aca="false">M14*P14</f>
        <v>0.00684084494219517</v>
      </c>
      <c r="W14" s="57" t="n">
        <f aca="false">M14*Q14</f>
        <v>0.0012310638522491</v>
      </c>
      <c r="X14" s="57" t="n">
        <f aca="false">M14*R14</f>
        <v>0.00164265686461525</v>
      </c>
      <c r="Y14" s="57" t="n">
        <f aca="false">M14*S14</f>
        <v>0.0358609799306514</v>
      </c>
      <c r="Z14" s="57" t="n">
        <f aca="false">T14*f_stroke_fatal</f>
        <v>0.000846807956298052</v>
      </c>
      <c r="AA14" s="57" t="n">
        <f aca="false">T14*(1-f_stroke_fatal)*f_stroke_major</f>
        <v>0.000907831724591783</v>
      </c>
      <c r="AB14" s="57" t="n">
        <f aca="false">T14*(1-f_stroke_fatal)*(1-f_stroke_major)</f>
        <v>0.00181838967057874</v>
      </c>
      <c r="AC14" s="57" t="n">
        <f aca="false">U14*(1-f_bleed_fatal)</f>
        <v>0.00150467368798757</v>
      </c>
      <c r="AD14" s="57" t="n">
        <f aca="false">V14*(1-f_bleed_fatal)</f>
        <v>0.00626621396705078</v>
      </c>
      <c r="AE14" s="57" t="n">
        <f aca="false">W14*f_mi_fatal</f>
        <v>0.000148958726122141</v>
      </c>
      <c r="AF14" s="57" t="n">
        <f aca="false">W14-AE14</f>
        <v>0.00108210512612696</v>
      </c>
      <c r="AG14" s="57" t="n">
        <f aca="false">M14-T14-U14-V14-AE14</f>
        <v>0.806654833974143</v>
      </c>
      <c r="AH14" s="19" t="n">
        <f aca="false">Z14*c_stroke_fatal+AA14*c_stroke_major+AB14*c_stroke_minor+U14*c_ich+V14*c_major_bleed+AE14*c_mi_fatal+AF14*c_mi_nonfatal+X14*c_tia+Y14*c_minor_bleed</f>
        <v>243.547023430268</v>
      </c>
      <c r="AI14" s="57" t="n">
        <f aca="false">dt*(AF14*dec_mi+AD14*dec_major_bleed+Y14*dec_minor_bleed+X14*dec_tia)</f>
        <v>0.000336785305472095</v>
      </c>
      <c r="AJ14" s="57" t="n">
        <f aca="false">G14*L14+Z14+U14-AC14+V14-AD14+AE14</f>
        <v>0.0102549401639926</v>
      </c>
      <c r="AK14" s="57" t="n">
        <f aca="false">1-EXP(LN(1-E14)*hr_death_prior_stroke*dt)</f>
        <v>0.023598116564566</v>
      </c>
      <c r="AL14" s="57" t="n">
        <f aca="false">H14*(1-AK14)</f>
        <v>0.0261507574709555</v>
      </c>
      <c r="AM14" s="57" t="n">
        <f aca="false">(1-EXP(-r_stroke*F14*rr_stroke_prior*rr_asa_stroke*dt))</f>
        <v>0.0154644252505415</v>
      </c>
      <c r="AN14" s="57" t="n">
        <f aca="false">(1-EXP(-r_ich*rr_asa_ich*dt))</f>
        <v>0.00102357767802375</v>
      </c>
      <c r="AO14" s="57" t="n">
        <f aca="false">(1-EXP(-r_mb*rr_asa_mb*dt))</f>
        <v>0.00951809672747972</v>
      </c>
      <c r="AP14" s="57" t="n">
        <f aca="false">(1-EXP(-r_mi*rr_asa_mi*dt))</f>
        <v>0.00213413516393479</v>
      </c>
      <c r="AQ14" s="57" t="n">
        <f aca="false">(1-EXP(-r_tia*rr_asa_tia*dt))</f>
        <v>0.00312764565589152</v>
      </c>
      <c r="AR14" s="57" t="n">
        <f aca="false">(1-EXP(-r_minor*rr_asa_minor*dt))</f>
        <v>0.0278181950466747</v>
      </c>
      <c r="AS14" s="57" t="n">
        <f aca="false">AL14*AM14</f>
        <v>0.00040440643415463</v>
      </c>
      <c r="AT14" s="57" t="n">
        <f aca="false">AL14*AN14</f>
        <v>2.67673316106827E-005</v>
      </c>
      <c r="AU14" s="57" t="n">
        <f aca="false">AL14*AO14</f>
        <v>0.000248905439105417</v>
      </c>
      <c r="AV14" s="57" t="n">
        <f aca="false">AL14*AP14</f>
        <v>5.58092510822965E-005</v>
      </c>
      <c r="AW14" s="57" t="n">
        <f aca="false">AL14*AQ14</f>
        <v>8.17903030023066E-005</v>
      </c>
      <c r="AX14" s="57" t="n">
        <f aca="false">AL14*AR14</f>
        <v>0.000727466871945325</v>
      </c>
      <c r="AY14" s="57" t="n">
        <f aca="false">AS14*f_stroke_fatal_recur</f>
        <v>0.000150475590084596</v>
      </c>
      <c r="AZ14" s="57" t="n">
        <f aca="false">AS14*(1-f_stroke_fatal_recur)*f_stroke_major</f>
        <v>8.45589710753212E-005</v>
      </c>
      <c r="BA14" s="57" t="n">
        <f aca="false">AS14*(1-f_stroke_fatal_recur)*(1-f_stroke_major)</f>
        <v>0.000169371872994712</v>
      </c>
      <c r="BB14" s="57" t="n">
        <f aca="false">AT14*(1-f_bleed_fatal)</f>
        <v>2.45188757553854E-005</v>
      </c>
      <c r="BC14" s="57" t="n">
        <f aca="false">AU14*(1-f_bleed_fatal)</f>
        <v>0.000227997382220562</v>
      </c>
      <c r="BD14" s="57" t="n">
        <f aca="false">AV14*f_mi_fatal</f>
        <v>6.75291938095788E-006</v>
      </c>
      <c r="BE14" s="57" t="n">
        <f aca="false">AV14-BD14</f>
        <v>4.90563317013386E-005</v>
      </c>
      <c r="BF14" s="57" t="n">
        <f aca="false">AL14-AS14-AT14-AU14-BD14</f>
        <v>0.0254639253467038</v>
      </c>
      <c r="BG14" s="19" t="n">
        <f aca="false">AY14*c_stroke_fatal+AZ14*c_stroke_major+BA14*c_stroke_minor+AT14*c_ich+AU14*c_major_bleed+BD14*c_mi_fatal+BE14*c_mi_nonfatal+AW14*c_tia+AX14*c_minor_bleed</f>
        <v>17.4651297203311</v>
      </c>
      <c r="BH14" s="57" t="n">
        <f aca="false">dt*(BE14*dec_mi+BC14*dec_major_bleed+AX14*dec_minor_bleed+AW14*dec_tia)</f>
        <v>1.12473177928715E-005</v>
      </c>
      <c r="BI14" s="57" t="n">
        <f aca="false">H14*AK14+AY14+AT14-BB14+AU14-BC14+BD14</f>
        <v>0.000812408201923497</v>
      </c>
      <c r="BJ14" s="57" t="n">
        <f aca="false">1-EXP(LN(1-E14)*hr_death_prior_stroke*dt)</f>
        <v>0.023598116564566</v>
      </c>
      <c r="BK14" s="57" t="n">
        <f aca="false">I14*(1-BJ14)</f>
        <v>0.00745642503308594</v>
      </c>
      <c r="BL14" s="57" t="n">
        <f aca="false">(1-EXP(-r_stroke*F14*rr_stroke_prior*rr_asa_stroke*dt))</f>
        <v>0.0154644252505415</v>
      </c>
      <c r="BM14" s="57" t="n">
        <f aca="false">(1-EXP(-r_ich*rr_asa_ich*dt))</f>
        <v>0.00102357767802375</v>
      </c>
      <c r="BN14" s="57" t="n">
        <f aca="false">(1-EXP(-r_mb*rr_asa_mb*dt))</f>
        <v>0.00951809672747972</v>
      </c>
      <c r="BO14" s="57" t="n">
        <f aca="false">(1-EXP(-r_mi*rr_asa_mi*dt))</f>
        <v>0.00213413516393479</v>
      </c>
      <c r="BP14" s="57" t="n">
        <f aca="false">(1-EXP(-r_tia*rr_asa_tia*dt))</f>
        <v>0.00312764565589152</v>
      </c>
      <c r="BQ14" s="57" t="n">
        <f aca="false">(1-EXP(-r_minor*rr_asa_minor*dt))</f>
        <v>0.0278181950466747</v>
      </c>
      <c r="BR14" s="57" t="n">
        <f aca="false">BK14*BL14</f>
        <v>0.000115309327560424</v>
      </c>
      <c r="BS14" s="57" t="n">
        <f aca="false">BK14*BM14</f>
        <v>7.63223022172424E-006</v>
      </c>
      <c r="BT14" s="57" t="n">
        <f aca="false">BK14*BN14</f>
        <v>7.09709747061131E-005</v>
      </c>
      <c r="BU14" s="57" t="n">
        <f aca="false">BK14*BO14</f>
        <v>1.59130188603523E-005</v>
      </c>
      <c r="BV14" s="57" t="n">
        <f aca="false">BK14*BP14</f>
        <v>2.3321055363212E-005</v>
      </c>
      <c r="BW14" s="57" t="n">
        <f aca="false">BK14*BQ14</f>
        <v>0.000207424285921293</v>
      </c>
      <c r="BX14" s="57" t="n">
        <f aca="false">BR14*f_stroke_fatal_recur</f>
        <v>4.29054476919581E-005</v>
      </c>
      <c r="BY14" s="57" t="n">
        <f aca="false">BR14*(1-f_stroke_fatal_recur)*f_stroke_major</f>
        <v>2.41104919961991E-005</v>
      </c>
      <c r="BZ14" s="57" t="n">
        <f aca="false">BR14*(1-f_stroke_fatal_recur)*(1-f_stroke_major)</f>
        <v>4.82933878722666E-005</v>
      </c>
      <c r="CA14" s="57" t="n">
        <f aca="false">BS14*(1-f_bleed_fatal)</f>
        <v>6.9911228830994E-006</v>
      </c>
      <c r="CB14" s="57" t="n">
        <f aca="false">BT14*(1-f_bleed_fatal)</f>
        <v>6.50094128307996E-005</v>
      </c>
      <c r="CC14" s="57" t="n">
        <f aca="false">BU14*f_mi_fatal</f>
        <v>1.92547528210263E-006</v>
      </c>
      <c r="CD14" s="57" t="n">
        <f aca="false">BU14-CC14</f>
        <v>1.39875435782497E-005</v>
      </c>
      <c r="CE14" s="57" t="n">
        <f aca="false">BK14-BR14-BS14-BT14-CC14</f>
        <v>0.00726058702531558</v>
      </c>
      <c r="CF14" s="19" t="n">
        <f aca="false">BX14*c_stroke_fatal+BY14*c_stroke_major+BZ14*c_stroke_minor+BS14*c_ich+BT14*c_major_bleed+CC14*c_mi_fatal+CD14*c_mi_nonfatal+BV14*c_tia+BW14*c_minor_bleed</f>
        <v>4.97987221201559</v>
      </c>
      <c r="CG14" s="57" t="n">
        <f aca="false">dt*(CD14*dec_mi+CB14*dec_major_bleed+BW14*dec_minor_bleed+BV14*dec_tia)</f>
        <v>3.20697333677561E-006</v>
      </c>
      <c r="CH14" s="57" t="n">
        <f aca="false">I14*BJ14+BX14+BS14-CA14+BT14-CB14+CC14</f>
        <v>0.000231643800782241</v>
      </c>
      <c r="CI14" s="57" t="n">
        <f aca="false">1-EXP(LN(1-E14)*dt)</f>
        <v>0.010329330711955</v>
      </c>
      <c r="CJ14" s="57" t="n">
        <f aca="false">J14*(1-CI14)</f>
        <v>0.0519472817238752</v>
      </c>
      <c r="CK14" s="57" t="n">
        <f aca="false">(1-EXP(-r_stroke*F14*rr_asa_stroke*dt))</f>
        <v>0.0070591692361941</v>
      </c>
      <c r="CL14" s="57" t="n">
        <f aca="false">(1-EXP(-r_ich*rr_asa_ich*dt))</f>
        <v>0.00102357767802375</v>
      </c>
      <c r="CM14" s="57" t="n">
        <f aca="false">(1-EXP(-r_mb*rr_asa_mb*dt))</f>
        <v>0.00951809672747972</v>
      </c>
      <c r="CN14" s="57" t="n">
        <f aca="false">(1-EXP(-r_mi*rr_asa_mi*dt))</f>
        <v>0.00213413516393479</v>
      </c>
      <c r="CO14" s="57" t="n">
        <f aca="false">(1-EXP(-r_tia*rr_asa_tia*dt))</f>
        <v>0.00312764565589152</v>
      </c>
      <c r="CP14" s="57" t="n">
        <f aca="false">(1-EXP(-r_minor*rr_asa_minor*dt))</f>
        <v>0.0278181950466747</v>
      </c>
      <c r="CQ14" s="57" t="n">
        <f aca="false">CJ14*CK14</f>
        <v>0.000366704653049088</v>
      </c>
      <c r="CR14" s="57" t="n">
        <f aca="false">CJ14*CL14</f>
        <v>5.31720780065696E-005</v>
      </c>
      <c r="CS14" s="57" t="n">
        <f aca="false">CJ14*CM14</f>
        <v>0.000494439252177484</v>
      </c>
      <c r="CT14" s="57" t="n">
        <f aca="false">CJ14*CN14</f>
        <v>0.000110862520597749</v>
      </c>
      <c r="CU14" s="57" t="n">
        <f aca="false">CJ14*CO14</f>
        <v>0.000162472690019051</v>
      </c>
      <c r="CV14" s="57" t="n">
        <f aca="false">CJ14*CP14</f>
        <v>0.00144507961513932</v>
      </c>
      <c r="CW14" s="57" t="n">
        <f aca="false">CQ14*f_stroke_fatal</f>
        <v>8.69090027726338E-005</v>
      </c>
      <c r="CX14" s="57" t="n">
        <f aca="false">CQ14*(1-f_stroke_fatal)*f_stroke_major</f>
        <v>9.31719515420592E-005</v>
      </c>
      <c r="CY14" s="57" t="n">
        <f aca="false">CQ14*(1-f_stroke_fatal)*(1-f_stroke_major)</f>
        <v>0.000186623698734395</v>
      </c>
      <c r="CZ14" s="57" t="n">
        <f aca="false">CR14*(1-f_bleed_fatal)</f>
        <v>4.87056234540177E-005</v>
      </c>
      <c r="DA14" s="57" t="n">
        <f aca="false">CS14*(1-f_bleed_fatal)</f>
        <v>0.000452906354994575</v>
      </c>
      <c r="DB14" s="57" t="n">
        <f aca="false">CT14*f_mi_fatal</f>
        <v>1.34143649923277E-005</v>
      </c>
      <c r="DC14" s="57" t="n">
        <f aca="false">CT14-DB14</f>
        <v>9.74481556054216E-005</v>
      </c>
      <c r="DD14" s="57" t="n">
        <f aca="false">CJ14-CQ14-CR14-CS14-DB14</f>
        <v>0.0510195513756498</v>
      </c>
      <c r="DE14" s="19" t="n">
        <f aca="false">CW14*c_stroke_fatal+CX14*c_stroke_major+CY14*c_stroke_minor+CR14*c_ich+CS14*c_major_bleed+DB14*c_mi_fatal+DC14*c_mi_nonfatal+CU14*c_tia+CV14*c_minor_bleed</f>
        <v>20.5439984976838</v>
      </c>
      <c r="DF14" s="57" t="n">
        <f aca="false">dt*(DC14*dec_mi+DA14*dec_major_bleed+CV14*dec_minor_bleed+CU14*dec_tia)</f>
        <v>2.2342281544738E-005</v>
      </c>
      <c r="DG14" s="57" t="n">
        <f aca="false">J14*CI14+CW14+CR14-CZ14+CS14-DA14+DB14</f>
        <v>0.000688503739070305</v>
      </c>
      <c r="DH14" s="57" t="n">
        <f aca="false">AG14</f>
        <v>0.806654833974143</v>
      </c>
      <c r="DI14" s="57" t="n">
        <f aca="false">AB14+AC14+BF14+BA14+BB14+BC14+CY14+CZ14</f>
        <v>0.0294442061584292</v>
      </c>
      <c r="DJ14" s="57" t="n">
        <f aca="false">AA14+AZ14+BY14+CX14+CE14+BZ14+CA14+CB14</f>
        <v>0.00849055408810711</v>
      </c>
      <c r="DK14" s="57" t="n">
        <f aca="false">AD14+DD14+DA14</f>
        <v>0.0577386716976951</v>
      </c>
      <c r="DL14" s="57" t="n">
        <f aca="false">K14+AJ14+BI14+CH14+DG14</f>
        <v>0.0976717340816255</v>
      </c>
      <c r="DM14" s="58" t="n">
        <f aca="false">SUM(DH14:DL14)</f>
        <v>1</v>
      </c>
      <c r="DN14" s="19" t="n">
        <f aca="false">dt*(G14*Warfarin!$H$2+(H14+I14+J14)*c_aspirin)</f>
        <v>80.3266258090687</v>
      </c>
      <c r="DO14" s="19" t="n">
        <f aca="false">dt*(H14*c_lt_minor_stroke+I14*c_lt_major_stroke)</f>
        <v>122.259784510142</v>
      </c>
      <c r="DP14" s="19" t="n">
        <f aca="false">AH14+BG14+CF14+DE14</f>
        <v>286.536023860298</v>
      </c>
      <c r="DQ14" s="19" t="n">
        <f aca="false">DN14+DO14+DP14</f>
        <v>489.122434179509</v>
      </c>
      <c r="DR14" s="57" t="n">
        <f aca="false">dt*(G14*(u_af-dec_per_year_over_70*MAX(B14-ref_age,0))+H14*(u_minor_stroke-dec_per_year_over_70*MAX(B14-ref_age,0))+I14*(u_major_stroke-dec_per_year_over_70*MAX(B14-ref_age,0))+J14*(u_af-dec_per_year_over_70*MAX(B14-ref_age,0)))-AI14-BH14-CG14-DF14</f>
        <v>0.183329609979923</v>
      </c>
      <c r="DS14" s="57" t="n">
        <f aca="false">dt*(G14+H14+I14+J14)</f>
        <v>0.228578940456036</v>
      </c>
      <c r="DT14" s="19" t="n">
        <f aca="false">DQ14*C14</f>
        <v>474.772437263228</v>
      </c>
      <c r="DU14" s="19" t="n">
        <f aca="false">DN14*C14</f>
        <v>77.9699830707551</v>
      </c>
      <c r="DV14" s="19" t="n">
        <f aca="false">DP14*C14</f>
        <v>278.129557970636</v>
      </c>
      <c r="DW14" s="19" t="n">
        <f aca="false">DO14*C14</f>
        <v>118.672896221837</v>
      </c>
      <c r="DX14" s="57" t="n">
        <f aca="false">DR14*C14</f>
        <v>0.177951039801911</v>
      </c>
      <c r="DY14" s="57" t="n">
        <f aca="false">DS14*C14</f>
        <v>0.221872834046966</v>
      </c>
      <c r="DZ14" s="57" t="n">
        <f aca="false">T14+AS14+BR14+CQ14</f>
        <v>0.00445944976623271</v>
      </c>
      <c r="EA14" s="57" t="n">
        <f aca="false">U14+AT14+BS14+CR14</f>
        <v>0.00173022850445423</v>
      </c>
      <c r="EB14" s="57" t="n">
        <f aca="false">V14+AU14+BT14+CS14</f>
        <v>0.00765516060818418</v>
      </c>
      <c r="EC14" s="57" t="n">
        <f aca="false">G14*dt*C14</f>
        <v>0.20078305301957</v>
      </c>
    </row>
    <row r="15" customFormat="false" ht="15" hidden="false" customHeight="false" outlineLevel="0" collapsed="false">
      <c r="A15" s="8" t="n">
        <v>9</v>
      </c>
      <c r="B15" s="54" t="n">
        <f aca="false">start_age+A15*dt</f>
        <v>72.25</v>
      </c>
      <c r="C15" s="16" t="n">
        <f aca="false">(1+disc_rate)^-(A15*dt)</f>
        <v>0.967055512632461</v>
      </c>
      <c r="D15" s="55" t="n">
        <f aca="false">IF(A15*dt&gt;=wane_start,(1-wane_decay)^(A15*dt-wane_start),1)</f>
        <v>1</v>
      </c>
      <c r="E15" s="25" t="n">
        <f aca="false">MIN(p_nonvasc_death*MIN(EXP(gomp_int+gomp_slope*INT(B15)),1)/qx_ref,0.999)</f>
        <v>0.0406815493810151</v>
      </c>
      <c r="F15" s="55" t="n">
        <f aca="false">rr_stroke_per_decade^((B15-ref_age)/10)</f>
        <v>1.09552056192929</v>
      </c>
      <c r="G15" s="57" t="n">
        <f aca="false">DH14</f>
        <v>0.806654833974143</v>
      </c>
      <c r="H15" s="57" t="n">
        <f aca="false">DI14</f>
        <v>0.0294442061584292</v>
      </c>
      <c r="I15" s="57" t="n">
        <f aca="false">DJ14</f>
        <v>0.00849055408810711</v>
      </c>
      <c r="J15" s="57" t="n">
        <f aca="false">DK14</f>
        <v>0.0577386716976951</v>
      </c>
      <c r="K15" s="57" t="n">
        <f aca="false">DL14</f>
        <v>0.0976717340816255</v>
      </c>
      <c r="L15" s="57" t="n">
        <f aca="false">1-EXP(LN(1-E15)*dt)</f>
        <v>0.010329330711955</v>
      </c>
      <c r="M15" s="57" t="n">
        <f aca="false">G15*(1-L15)</f>
        <v>0.798322629423627</v>
      </c>
      <c r="N15" s="57" t="n">
        <f aca="false">IF(Warfarin!$B$2=1,EXP(LN(or_apx_stroke)*D15)*(1-EXP(-r_stroke*F15*dt))/(1-(1-EXP(-r_stroke*F15*dt))+EXP(LN(or_apx_stroke)*D15)*(1-EXP(-r_stroke*F15*dt))),(1-EXP(-r_stroke*F15*dt)))</f>
        <v>0.00440777451063357</v>
      </c>
      <c r="O15" s="57" t="n">
        <f aca="false">IF(Warfarin!$B$2=1,EXP(LN(or_apx_ich)*D15)*(1-EXP(-r_ich*dt))/(1-(1-EXP(-r_ich*dt))+EXP(LN(or_apx_ich)*D15)*(1-EXP(-r_ich*dt))),(1-EXP(-r_ich*dt)))</f>
        <v>0.0020060281549299</v>
      </c>
      <c r="P15" s="57" t="n">
        <f aca="false">IF(Warfarin!$B$2=1,EXP(LN(or_apx_mb)*D15)*(1-EXP(-r_mb*dt))/(1-(1-EXP(-r_mb*dt))+EXP(LN(or_apx_mb)*D15)*(1-EXP(-r_mb*dt))),(1-EXP(-r_mb*dt)))</f>
        <v>0.00835410477572107</v>
      </c>
      <c r="Q15" s="57" t="n">
        <f aca="false">IF(Warfarin!$B$2=1,EXP(LN(or_apx_mi)*D15)*(1-EXP(-r_mi*dt))/(1-(1-EXP(-r_mi*dt))+EXP(LN(or_apx_mi)*D15)*(1-EXP(-r_mi*dt))),(1-EXP(-r_mi*dt)))</f>
        <v>0.00150338686144691</v>
      </c>
      <c r="R15" s="57" t="n">
        <f aca="false">(1-EXP(-r_tia*dt))</f>
        <v>0.0020060281549299</v>
      </c>
      <c r="S15" s="57" t="n">
        <f aca="false">(1-EXP(-r_minor*dt))</f>
        <v>0.0437937690785545</v>
      </c>
      <c r="T15" s="57" t="n">
        <f aca="false">M15*N15</f>
        <v>0.00351882613723543</v>
      </c>
      <c r="U15" s="57" t="n">
        <f aca="false">M15*O15</f>
        <v>0.00160145767134146</v>
      </c>
      <c r="V15" s="57" t="n">
        <f aca="false">M15*P15</f>
        <v>0.00666927089103413</v>
      </c>
      <c r="W15" s="57" t="n">
        <f aca="false">M15*Q15</f>
        <v>0.00120018775227123</v>
      </c>
      <c r="X15" s="57" t="n">
        <f aca="false">M15*R15</f>
        <v>0.00160145767134146</v>
      </c>
      <c r="Y15" s="57" t="n">
        <f aca="false">M15*S15</f>
        <v>0.0349615568831628</v>
      </c>
      <c r="Z15" s="57" t="n">
        <f aca="false">T15*f_stroke_fatal</f>
        <v>0.000833961794524797</v>
      </c>
      <c r="AA15" s="57" t="n">
        <f aca="false">T15*(1-f_stroke_fatal)*f_stroke_major</f>
        <v>0.000894059826122641</v>
      </c>
      <c r="AB15" s="57" t="n">
        <f aca="false">T15*(1-f_stroke_fatal)*(1-f_stroke_major)</f>
        <v>0.00179080451658799</v>
      </c>
      <c r="AC15" s="57" t="n">
        <f aca="false">U15*(1-f_bleed_fatal)</f>
        <v>0.00146693522694878</v>
      </c>
      <c r="AD15" s="57" t="n">
        <f aca="false">V15*(1-f_bleed_fatal)</f>
        <v>0.00610905213618726</v>
      </c>
      <c r="AE15" s="57" t="n">
        <f aca="false">W15*f_mi_fatal</f>
        <v>0.000145222718024819</v>
      </c>
      <c r="AF15" s="57" t="n">
        <f aca="false">W15-AE15</f>
        <v>0.00105496503424641</v>
      </c>
      <c r="AG15" s="57" t="n">
        <f aca="false">M15-T15-U15-V15-AE15</f>
        <v>0.786387852005991</v>
      </c>
      <c r="AH15" s="19" t="n">
        <f aca="false">Z15*c_stroke_fatal+AA15*c_stroke_major+AB15*c_stroke_minor+U15*c_ich+V15*c_major_bleed+AE15*c_mi_fatal+AF15*c_mi_nonfatal+X15*c_tia+Y15*c_minor_bleed</f>
        <v>238.747026886814</v>
      </c>
      <c r="AI15" s="57" t="n">
        <f aca="false">dt*(AF15*dec_mi+AD15*dec_major_bleed+Y15*dec_minor_bleed+X15*dec_tia)</f>
        <v>0.000328338451359829</v>
      </c>
      <c r="AJ15" s="57" t="n">
        <f aca="false">G15*L15+Z15+U15-AC15+V15-AD15+AE15</f>
        <v>0.0100061302623052</v>
      </c>
      <c r="AK15" s="57" t="n">
        <f aca="false">1-EXP(LN(1-E15)*hr_death_prior_stroke*dt)</f>
        <v>0.023598116564566</v>
      </c>
      <c r="AL15" s="57" t="n">
        <f aca="false">H15*(1-AK15)</f>
        <v>0.0287493783493514</v>
      </c>
      <c r="AM15" s="57" t="n">
        <f aca="false">(1-EXP(-r_stroke*F15*rr_stroke_prior*rr_asa_stroke*dt))</f>
        <v>0.0156207425745497</v>
      </c>
      <c r="AN15" s="57" t="n">
        <f aca="false">(1-EXP(-r_ich*rr_asa_ich*dt))</f>
        <v>0.00102357767802375</v>
      </c>
      <c r="AO15" s="57" t="n">
        <f aca="false">(1-EXP(-r_mb*rr_asa_mb*dt))</f>
        <v>0.00951809672747972</v>
      </c>
      <c r="AP15" s="57" t="n">
        <f aca="false">(1-EXP(-r_mi*rr_asa_mi*dt))</f>
        <v>0.00213413516393479</v>
      </c>
      <c r="AQ15" s="57" t="n">
        <f aca="false">(1-EXP(-r_tia*rr_asa_tia*dt))</f>
        <v>0.00312764565589152</v>
      </c>
      <c r="AR15" s="57" t="n">
        <f aca="false">(1-EXP(-r_minor*rr_asa_minor*dt))</f>
        <v>0.0278181950466747</v>
      </c>
      <c r="AS15" s="57" t="n">
        <f aca="false">AL15*AM15</f>
        <v>0.000449086638373552</v>
      </c>
      <c r="AT15" s="57" t="n">
        <f aca="false">AL15*AN15</f>
        <v>2.94272219354553E-005</v>
      </c>
      <c r="AU15" s="57" t="n">
        <f aca="false">AL15*AO15</f>
        <v>0.000273639363984038</v>
      </c>
      <c r="AV15" s="57" t="n">
        <f aca="false">AL15*AP15</f>
        <v>6.13550592766165E-005</v>
      </c>
      <c r="AW15" s="57" t="n">
        <f aca="false">AL15*AQ15</f>
        <v>8.99178683039307E-005</v>
      </c>
      <c r="AX15" s="57" t="n">
        <f aca="false">AL15*AR15</f>
        <v>0.000799755814392905</v>
      </c>
      <c r="AY15" s="57" t="n">
        <f aca="false">AS15*f_stroke_fatal_recur</f>
        <v>0.000167100647272415</v>
      </c>
      <c r="AZ15" s="57" t="n">
        <f aca="false">AS15*(1-f_stroke_fatal_recur)*f_stroke_major</f>
        <v>9.39013350366785E-005</v>
      </c>
      <c r="BA15" s="57" t="n">
        <f aca="false">AS15*(1-f_stroke_fatal_recur)*(1-f_stroke_major)</f>
        <v>0.000188084656064458</v>
      </c>
      <c r="BB15" s="57" t="n">
        <f aca="false">AT15*(1-f_bleed_fatal)</f>
        <v>2.69553352928771E-005</v>
      </c>
      <c r="BC15" s="57" t="n">
        <f aca="false">AU15*(1-f_bleed_fatal)</f>
        <v>0.000250653657409379</v>
      </c>
      <c r="BD15" s="57" t="n">
        <f aca="false">AV15*f_mi_fatal</f>
        <v>7.42396217247059E-006</v>
      </c>
      <c r="BE15" s="57" t="n">
        <f aca="false">AV15-BD15</f>
        <v>5.39310971041459E-005</v>
      </c>
      <c r="BF15" s="57" t="n">
        <f aca="false">AL15-AS15-AT15-AU15-BD15</f>
        <v>0.0279898011628859</v>
      </c>
      <c r="BG15" s="19" t="n">
        <f aca="false">AY15*c_stroke_fatal+AZ15*c_stroke_major+BA15*c_stroke_minor+AT15*c_ich+AU15*c_major_bleed+BD15*c_mi_fatal+BE15*c_mi_nonfatal+AW15*c_tia+AX15*c_minor_bleed</f>
        <v>19.3556046636483</v>
      </c>
      <c r="BH15" s="57" t="n">
        <f aca="false">dt*(BE15*dec_mi+BC15*dec_major_bleed+AX15*dec_minor_bleed+AW15*dec_tia)</f>
        <v>1.23649724105234E-005</v>
      </c>
      <c r="BI15" s="57" t="n">
        <f aca="false">H15*AK15+AY15+AT15-BB15+AU15-BC15+BD15</f>
        <v>0.000894810011739847</v>
      </c>
      <c r="BJ15" s="57" t="n">
        <f aca="false">1-EXP(LN(1-E15)*hr_death_prior_stroke*dt)</f>
        <v>0.023598116564566</v>
      </c>
      <c r="BK15" s="57" t="n">
        <f aca="false">I15*(1-BJ15)</f>
        <v>0.0082901930030382</v>
      </c>
      <c r="BL15" s="57" t="n">
        <f aca="false">(1-EXP(-r_stroke*F15*rr_stroke_prior*rr_asa_stroke*dt))</f>
        <v>0.0156207425745497</v>
      </c>
      <c r="BM15" s="57" t="n">
        <f aca="false">(1-EXP(-r_ich*rr_asa_ich*dt))</f>
        <v>0.00102357767802375</v>
      </c>
      <c r="BN15" s="57" t="n">
        <f aca="false">(1-EXP(-r_mb*rr_asa_mb*dt))</f>
        <v>0.00951809672747972</v>
      </c>
      <c r="BO15" s="57" t="n">
        <f aca="false">(1-EXP(-r_mi*rr_asa_mi*dt))</f>
        <v>0.00213413516393479</v>
      </c>
      <c r="BP15" s="57" t="n">
        <f aca="false">(1-EXP(-r_tia*rr_asa_tia*dt))</f>
        <v>0.00312764565589152</v>
      </c>
      <c r="BQ15" s="57" t="n">
        <f aca="false">(1-EXP(-r_minor*rr_asa_minor*dt))</f>
        <v>0.0278181950466747</v>
      </c>
      <c r="BR15" s="57" t="n">
        <f aca="false">BK15*BL15</f>
        <v>0.000129498970793793</v>
      </c>
      <c r="BS15" s="57" t="n">
        <f aca="false">BK15*BM15</f>
        <v>8.48565650441855E-006</v>
      </c>
      <c r="BT15" s="57" t="n">
        <f aca="false">BK15*BN15</f>
        <v>7.89068588923932E-005</v>
      </c>
      <c r="BU15" s="57" t="n">
        <f aca="false">BK15*BO15</f>
        <v>1.769239240359E-005</v>
      </c>
      <c r="BV15" s="57" t="n">
        <f aca="false">BK15*BP15</f>
        <v>2.59287861324547E-005</v>
      </c>
      <c r="BW15" s="57" t="n">
        <f aca="false">BK15*BQ15</f>
        <v>0.000230618205933095</v>
      </c>
      <c r="BX15" s="57" t="n">
        <f aca="false">BR15*f_stroke_fatal_recur</f>
        <v>4.81852720426624E-005</v>
      </c>
      <c r="BY15" s="57" t="n">
        <f aca="false">BR15*(1-f_stroke_fatal_recur)*f_stroke_major</f>
        <v>2.70774616841265E-005</v>
      </c>
      <c r="BZ15" s="57" t="n">
        <f aca="false">BR15*(1-f_stroke_fatal_recur)*(1-f_stroke_major)</f>
        <v>5.4236237067004E-005</v>
      </c>
      <c r="CA15" s="57" t="n">
        <f aca="false">BS15*(1-f_bleed_fatal)</f>
        <v>7.77286135804739E-006</v>
      </c>
      <c r="CB15" s="57" t="n">
        <f aca="false">BT15*(1-f_bleed_fatal)</f>
        <v>7.22786827454322E-005</v>
      </c>
      <c r="CC15" s="57" t="n">
        <f aca="false">BU15*f_mi_fatal</f>
        <v>2.14077948083439E-006</v>
      </c>
      <c r="CD15" s="57" t="n">
        <f aca="false">BU15-CC15</f>
        <v>1.55516129227556E-005</v>
      </c>
      <c r="CE15" s="57" t="n">
        <f aca="false">BK15-BR15-BS15-BT15-CC15</f>
        <v>0.00807116073736676</v>
      </c>
      <c r="CF15" s="19" t="n">
        <f aca="false">BX15*c_stroke_fatal+BY15*c_stroke_major+BZ15*c_stroke_minor+BS15*c_ich+BT15*c_major_bleed+CC15*c_mi_fatal+CD15*c_mi_nonfatal+BV15*c_tia+BW15*c_minor_bleed</f>
        <v>5.58139714891506</v>
      </c>
      <c r="CG15" s="57" t="n">
        <f aca="false">dt*(CD15*dec_mi+CB15*dec_major_bleed+BW15*dec_minor_bleed+BV15*dec_tia)</f>
        <v>3.56557301917432E-006</v>
      </c>
      <c r="CH15" s="57" t="n">
        <f aca="false">I15*BJ15+BX15+BS15-CA15+BT15-CB15+CC15</f>
        <v>0.000258028107885733</v>
      </c>
      <c r="CI15" s="57" t="n">
        <f aca="false">1-EXP(LN(1-E15)*dt)</f>
        <v>0.010329330711955</v>
      </c>
      <c r="CJ15" s="57" t="n">
        <f aca="false">J15*(1-CI15)</f>
        <v>0.0571422698628606</v>
      </c>
      <c r="CK15" s="57" t="n">
        <f aca="false">(1-EXP(-r_stroke*F15*rr_asa_stroke*dt))</f>
        <v>0.00713083227071032</v>
      </c>
      <c r="CL15" s="57" t="n">
        <f aca="false">(1-EXP(-r_ich*rr_asa_ich*dt))</f>
        <v>0.00102357767802375</v>
      </c>
      <c r="CM15" s="57" t="n">
        <f aca="false">(1-EXP(-r_mb*rr_asa_mb*dt))</f>
        <v>0.00951809672747972</v>
      </c>
      <c r="CN15" s="57" t="n">
        <f aca="false">(1-EXP(-r_mi*rr_asa_mi*dt))</f>
        <v>0.00213413516393479</v>
      </c>
      <c r="CO15" s="57" t="n">
        <f aca="false">(1-EXP(-r_tia*rr_asa_tia*dt))</f>
        <v>0.00312764565589152</v>
      </c>
      <c r="CP15" s="57" t="n">
        <f aca="false">(1-EXP(-r_minor*rr_asa_minor*dt))</f>
        <v>0.0278181950466747</v>
      </c>
      <c r="CQ15" s="57" t="n">
        <f aca="false">CJ15*CK15</f>
        <v>0.000407471941959724</v>
      </c>
      <c r="CR15" s="57" t="n">
        <f aca="false">CJ15*CL15</f>
        <v>5.84895519032332E-005</v>
      </c>
      <c r="CS15" s="57" t="n">
        <f aca="false">CJ15*CM15</f>
        <v>0.000543885651782457</v>
      </c>
      <c r="CT15" s="57" t="n">
        <f aca="false">CJ15*CN15</f>
        <v>0.000121949327461382</v>
      </c>
      <c r="CU15" s="57" t="n">
        <f aca="false">CJ15*CO15</f>
        <v>0.000178720772104357</v>
      </c>
      <c r="CV15" s="57" t="n">
        <f aca="false">CJ15*CP15</f>
        <v>0.00158959480845478</v>
      </c>
      <c r="CW15" s="57" t="n">
        <f aca="false">CQ15*f_stroke_fatal</f>
        <v>9.65708502444546E-005</v>
      </c>
      <c r="CX15" s="57" t="n">
        <f aca="false">CQ15*(1-f_stroke_fatal)*f_stroke_major</f>
        <v>0.000103530063541185</v>
      </c>
      <c r="CY15" s="57" t="n">
        <f aca="false">CQ15*(1-f_stroke_fatal)*(1-f_stroke_major)</f>
        <v>0.000207371028174085</v>
      </c>
      <c r="CZ15" s="57" t="n">
        <f aca="false">CR15*(1-f_bleed_fatal)</f>
        <v>5.35764295433616E-005</v>
      </c>
      <c r="DA15" s="57" t="n">
        <f aca="false">CS15*(1-f_bleed_fatal)</f>
        <v>0.00049819925703273</v>
      </c>
      <c r="DB15" s="57" t="n">
        <f aca="false">CT15*f_mi_fatal</f>
        <v>1.47558686228272E-005</v>
      </c>
      <c r="DC15" s="57" t="n">
        <f aca="false">CT15-DB15</f>
        <v>0.000107193458838555</v>
      </c>
      <c r="DD15" s="57" t="n">
        <f aca="false">CJ15-CQ15-CR15-CS15-DB15</f>
        <v>0.0561176668485924</v>
      </c>
      <c r="DE15" s="19" t="n">
        <f aca="false">CW15*c_stroke_fatal+CX15*c_stroke_major+CY15*c_stroke_minor+CR15*c_ich+CS15*c_major_bleed+DB15*c_mi_fatal+DC15*c_mi_nonfatal+CU15*c_tia+CV15*c_minor_bleed</f>
        <v>22.7498012802909</v>
      </c>
      <c r="DF15" s="57" t="n">
        <f aca="false">dt*(DC15*dec_mi+DA15*dec_major_bleed+CV15*dec_minor_bleed+CU15*dec_tia)</f>
        <v>2.45766215096229E-005</v>
      </c>
      <c r="DG15" s="57" t="n">
        <f aca="false">J15*CI15+CW15+CR15-CZ15+CS15-DA15+DB15</f>
        <v>0.000758328070811367</v>
      </c>
      <c r="DH15" s="57" t="n">
        <f aca="false">AG15</f>
        <v>0.786387852005991</v>
      </c>
      <c r="DI15" s="57" t="n">
        <f aca="false">AB15+AC15+BF15+BA15+BB15+BC15+CY15+CZ15</f>
        <v>0.0319741820129069</v>
      </c>
      <c r="DJ15" s="57" t="n">
        <f aca="false">AA15+AZ15+BY15+CX15+CE15+BZ15+CA15+CB15</f>
        <v>0.00932401720492187</v>
      </c>
      <c r="DK15" s="57" t="n">
        <f aca="false">AD15+DD15+DA15</f>
        <v>0.0627249182418124</v>
      </c>
      <c r="DL15" s="57" t="n">
        <f aca="false">K15+AJ15+BI15+CH15+DG15</f>
        <v>0.109589030534368</v>
      </c>
      <c r="DM15" s="58" t="n">
        <f aca="false">SUM(DH15:DL15)</f>
        <v>1</v>
      </c>
      <c r="DN15" s="19" t="n">
        <f aca="false">dt*(G15*Warfarin!$H$2+(H15+I15+J15)*c_aspirin)</f>
        <v>78.4187839396949</v>
      </c>
      <c r="DO15" s="19" t="n">
        <f aca="false">dt*(H15*c_lt_minor_stroke+I15*c_lt_major_stroke)</f>
        <v>135.029448110447</v>
      </c>
      <c r="DP15" s="19" t="n">
        <f aca="false">AH15+BG15+CF15+DE15</f>
        <v>286.433829979668</v>
      </c>
      <c r="DQ15" s="19" t="n">
        <f aca="false">DN15+DO15+DP15</f>
        <v>499.88206202981</v>
      </c>
      <c r="DR15" s="57" t="n">
        <f aca="false">dt*(G15*(u_af-dec_per_year_over_70*MAX(B15-ref_age,0))+H15*(u_minor_stroke-dec_per_year_over_70*MAX(B15-ref_age,0))+I15*(u_major_stroke-dec_per_year_over_70*MAX(B15-ref_age,0))+J15*(u_af-dec_per_year_over_70*MAX(B15-ref_age,0)))-AI15-BH15-CG15-DF15</f>
        <v>0.180750425209002</v>
      </c>
      <c r="DS15" s="57" t="n">
        <f aca="false">dt*(G15+H15+I15+J15)</f>
        <v>0.225582066479594</v>
      </c>
      <c r="DT15" s="19" t="n">
        <f aca="false">DQ15*C15</f>
        <v>483.413703752009</v>
      </c>
      <c r="DU15" s="19" t="n">
        <f aca="false">DN15*C15</f>
        <v>75.8353173028159</v>
      </c>
      <c r="DV15" s="19" t="n">
        <f aca="false">DP15*C15</f>
        <v>276.997414286267</v>
      </c>
      <c r="DW15" s="19" t="n">
        <f aca="false">DO15*C15</f>
        <v>130.580972162926</v>
      </c>
      <c r="DX15" s="57" t="n">
        <f aca="false">DR15*C15</f>
        <v>0.174795695109027</v>
      </c>
      <c r="DY15" s="57" t="n">
        <f aca="false">DS15*C15</f>
        <v>0.218150380940113</v>
      </c>
      <c r="DZ15" s="57" t="n">
        <f aca="false">T15+AS15+BR15+CQ15</f>
        <v>0.0045048836883625</v>
      </c>
      <c r="EA15" s="57" t="n">
        <f aca="false">U15+AT15+BS15+CR15</f>
        <v>0.00169786010168457</v>
      </c>
      <c r="EB15" s="57" t="n">
        <f aca="false">V15+AU15+BT15+CS15</f>
        <v>0.00756570276569302</v>
      </c>
      <c r="EC15" s="57" t="n">
        <f aca="false">G15*dt*C15</f>
        <v>0.195020000996579</v>
      </c>
    </row>
    <row r="16" customFormat="false" ht="15" hidden="false" customHeight="false" outlineLevel="0" collapsed="false">
      <c r="A16" s="8" t="n">
        <v>10</v>
      </c>
      <c r="B16" s="54" t="n">
        <f aca="false">start_age+A16*dt</f>
        <v>72.5</v>
      </c>
      <c r="C16" s="16" t="n">
        <f aca="false">(1+disc_rate)^-(A16*dt)</f>
        <v>0.963462674630232</v>
      </c>
      <c r="D16" s="55" t="n">
        <f aca="false">IF(A16*dt&gt;=wane_start,(1-wane_decay)^(A16*dt-wane_start),1)</f>
        <v>1</v>
      </c>
      <c r="E16" s="25" t="n">
        <f aca="false">MIN(p_nonvasc_death*MIN(EXP(gomp_int+gomp_slope*INT(B16)),1)/qx_ref,0.999)</f>
        <v>0.0406815493810151</v>
      </c>
      <c r="F16" s="55" t="n">
        <f aca="false">rr_stroke_per_decade^((B16-ref_age)/10)</f>
        <v>1.10668191970032</v>
      </c>
      <c r="G16" s="57" t="n">
        <f aca="false">DH15</f>
        <v>0.786387852005991</v>
      </c>
      <c r="H16" s="57" t="n">
        <f aca="false">DI15</f>
        <v>0.0319741820129069</v>
      </c>
      <c r="I16" s="57" t="n">
        <f aca="false">DJ15</f>
        <v>0.00932401720492187</v>
      </c>
      <c r="J16" s="57" t="n">
        <f aca="false">DK15</f>
        <v>0.0627249182418124</v>
      </c>
      <c r="K16" s="57" t="n">
        <f aca="false">DL15</f>
        <v>0.109589030534368</v>
      </c>
      <c r="L16" s="57" t="n">
        <f aca="false">1-EXP(LN(1-E16)*dt)</f>
        <v>0.010329330711955</v>
      </c>
      <c r="M16" s="57" t="n">
        <f aca="false">G16*(1-L16)</f>
        <v>0.778264991814758</v>
      </c>
      <c r="N16" s="57" t="n">
        <f aca="false">IF(Warfarin!$B$2=1,EXP(LN(or_apx_stroke)*D16)*(1-EXP(-r_stroke*F16*dt))/(1-(1-EXP(-r_stroke*F16*dt))+EXP(LN(or_apx_stroke)*D16)*(1-EXP(-r_stroke*F16*dt))),(1-EXP(-r_stroke*F16*dt)))</f>
        <v>0.00445258157462314</v>
      </c>
      <c r="O16" s="57" t="n">
        <f aca="false">IF(Warfarin!$B$2=1,EXP(LN(or_apx_ich)*D16)*(1-EXP(-r_ich*dt))/(1-(1-EXP(-r_ich*dt))+EXP(LN(or_apx_ich)*D16)*(1-EXP(-r_ich*dt))),(1-EXP(-r_ich*dt)))</f>
        <v>0.0020060281549299</v>
      </c>
      <c r="P16" s="57" t="n">
        <f aca="false">IF(Warfarin!$B$2=1,EXP(LN(or_apx_mb)*D16)*(1-EXP(-r_mb*dt))/(1-(1-EXP(-r_mb*dt))+EXP(LN(or_apx_mb)*D16)*(1-EXP(-r_mb*dt))),(1-EXP(-r_mb*dt)))</f>
        <v>0.00835410477572107</v>
      </c>
      <c r="Q16" s="57" t="n">
        <f aca="false">IF(Warfarin!$B$2=1,EXP(LN(or_apx_mi)*D16)*(1-EXP(-r_mi*dt))/(1-(1-EXP(-r_mi*dt))+EXP(LN(or_apx_mi)*D16)*(1-EXP(-r_mi*dt))),(1-EXP(-r_mi*dt)))</f>
        <v>0.00150338686144691</v>
      </c>
      <c r="R16" s="57" t="n">
        <f aca="false">(1-EXP(-r_tia*dt))</f>
        <v>0.0020060281549299</v>
      </c>
      <c r="S16" s="57" t="n">
        <f aca="false">(1-EXP(-r_minor*dt))</f>
        <v>0.0437937690785545</v>
      </c>
      <c r="T16" s="57" t="n">
        <f aca="false">M16*N16</f>
        <v>0.00346528836272862</v>
      </c>
      <c r="U16" s="57" t="n">
        <f aca="false">M16*O16</f>
        <v>0.00156122148557669</v>
      </c>
      <c r="V16" s="57" t="n">
        <f aca="false">M16*P16</f>
        <v>0.00650170728489619</v>
      </c>
      <c r="W16" s="57" t="n">
        <f aca="false">M16*Q16</f>
        <v>0.00117003336341839</v>
      </c>
      <c r="X16" s="57" t="n">
        <f aca="false">M16*R16</f>
        <v>0.00156122148557669</v>
      </c>
      <c r="Y16" s="57" t="n">
        <f aca="false">M16*S16</f>
        <v>0.0340831573334586</v>
      </c>
      <c r="Z16" s="57" t="n">
        <f aca="false">T16*f_stroke_fatal</f>
        <v>0.000821273341966682</v>
      </c>
      <c r="AA16" s="57" t="n">
        <f aca="false">T16*(1-f_stroke_fatal)*f_stroke_major</f>
        <v>0.000880457001913724</v>
      </c>
      <c r="AB16" s="57" t="n">
        <f aca="false">T16*(1-f_stroke_fatal)*(1-f_stroke_major)</f>
        <v>0.00176355801884821</v>
      </c>
      <c r="AC16" s="57" t="n">
        <f aca="false">U16*(1-f_bleed_fatal)</f>
        <v>0.00143007888078825</v>
      </c>
      <c r="AD16" s="57" t="n">
        <f aca="false">V16*(1-f_bleed_fatal)</f>
        <v>0.00595556387296491</v>
      </c>
      <c r="AE16" s="57" t="n">
        <f aca="false">W16*f_mi_fatal</f>
        <v>0.000141574036973626</v>
      </c>
      <c r="AF16" s="57" t="n">
        <f aca="false">W16-AE16</f>
        <v>0.00102845932644477</v>
      </c>
      <c r="AG16" s="57" t="n">
        <f aca="false">M16-T16-U16-V16-AE16</f>
        <v>0.766595200644582</v>
      </c>
      <c r="AH16" s="19" t="n">
        <f aca="false">Z16*c_stroke_fatal+AA16*c_stroke_major+AB16*c_stroke_minor+U16*c_ich+V16*c_major_bleed+AE16*c_mi_fatal+AF16*c_mi_nonfatal+X16*c_tia+Y16*c_minor_bleed</f>
        <v>234.037002426073</v>
      </c>
      <c r="AI16" s="57" t="n">
        <f aca="false">dt*(AF16*dec_mi+AD16*dec_major_bleed+Y16*dec_minor_bleed+X16*dec_tia)</f>
        <v>0.000320089037616932</v>
      </c>
      <c r="AJ16" s="57" t="n">
        <f aca="false">G16*L16+Z16+U16-AC16+V16-AD16+AE16</f>
        <v>0.00976299358689381</v>
      </c>
      <c r="AK16" s="57" t="n">
        <f aca="false">1-EXP(LN(1-E16)*hr_death_prior_stroke*dt)</f>
        <v>0.023598116564566</v>
      </c>
      <c r="AL16" s="57" t="n">
        <f aca="false">H16*(1-AK16)</f>
        <v>0.0312196515387096</v>
      </c>
      <c r="AM16" s="57" t="n">
        <f aca="false">(1-EXP(-r_stroke*F16*rr_stroke_prior*rr_asa_stroke*dt))</f>
        <v>0.0157786272876973</v>
      </c>
      <c r="AN16" s="57" t="n">
        <f aca="false">(1-EXP(-r_ich*rr_asa_ich*dt))</f>
        <v>0.00102357767802375</v>
      </c>
      <c r="AO16" s="57" t="n">
        <f aca="false">(1-EXP(-r_mb*rr_asa_mb*dt))</f>
        <v>0.00951809672747972</v>
      </c>
      <c r="AP16" s="57" t="n">
        <f aca="false">(1-EXP(-r_mi*rr_asa_mi*dt))</f>
        <v>0.00213413516393479</v>
      </c>
      <c r="AQ16" s="57" t="n">
        <f aca="false">(1-EXP(-r_tia*rr_asa_tia*dt))</f>
        <v>0.00312764565589152</v>
      </c>
      <c r="AR16" s="57" t="n">
        <f aca="false">(1-EXP(-r_minor*rr_asa_minor*dt))</f>
        <v>0.0278181950466747</v>
      </c>
      <c r="AS16" s="57" t="n">
        <f aca="false">AL16*AM16</f>
        <v>0.000492603245681085</v>
      </c>
      <c r="AT16" s="57" t="n">
        <f aca="false">AL16*AN16</f>
        <v>3.19557384307029E-005</v>
      </c>
      <c r="AU16" s="57" t="n">
        <f aca="false">AL16*AO16</f>
        <v>0.000297151663143649</v>
      </c>
      <c r="AV16" s="57" t="n">
        <f aca="false">AL16*AP16</f>
        <v>6.66269561545512E-005</v>
      </c>
      <c r="AW16" s="57" t="n">
        <f aca="false">AL16*AQ16</f>
        <v>9.76440075134922E-005</v>
      </c>
      <c r="AX16" s="57" t="n">
        <f aca="false">AL16*AR16</f>
        <v>0.000868474355793043</v>
      </c>
      <c r="AY16" s="57" t="n">
        <f aca="false">AS16*f_stroke_fatal_recur</f>
        <v>0.000183292741685475</v>
      </c>
      <c r="AZ16" s="57" t="n">
        <f aca="false">AS16*(1-f_stroke_fatal_recur)*f_stroke_major</f>
        <v>0.000103000397830538</v>
      </c>
      <c r="BA16" s="57" t="n">
        <f aca="false">AS16*(1-f_stroke_fatal_recur)*(1-f_stroke_major)</f>
        <v>0.000206310106165072</v>
      </c>
      <c r="BB16" s="57" t="n">
        <f aca="false">AT16*(1-f_bleed_fatal)</f>
        <v>2.92714564025238E-005</v>
      </c>
      <c r="BC16" s="57" t="n">
        <f aca="false">AU16*(1-f_bleed_fatal)</f>
        <v>0.000272190923439583</v>
      </c>
      <c r="BD16" s="57" t="n">
        <f aca="false">AV16*f_mi_fatal</f>
        <v>8.06186169470069E-006</v>
      </c>
      <c r="BE16" s="57" t="n">
        <f aca="false">AV16-BD16</f>
        <v>5.85650944598505E-005</v>
      </c>
      <c r="BF16" s="57" t="n">
        <f aca="false">AL16-AS16-AT16-AU16-BD16</f>
        <v>0.0303898790297595</v>
      </c>
      <c r="BG16" s="19" t="n">
        <f aca="false">AY16*c_stroke_fatal+AZ16*c_stroke_major+BA16*c_stroke_minor+AT16*c_ich+AU16*c_major_bleed+BD16*c_mi_fatal+BE16*c_mi_nonfatal+AW16*c_tia+AX16*c_minor_bleed</f>
        <v>21.1886763411378</v>
      </c>
      <c r="BH16" s="57" t="n">
        <f aca="false">dt*(BE16*dec_mi+BC16*dec_major_bleed+AX16*dec_minor_bleed+AW16*dec_tia)</f>
        <v>1.34274252907805E-005</v>
      </c>
      <c r="BI16" s="57" t="n">
        <f aca="false">H16*AK16+AY16+AT16-BB16+AU16-BC16+BD16</f>
        <v>0.000973530099309647</v>
      </c>
      <c r="BJ16" s="57" t="n">
        <f aca="false">1-EXP(LN(1-E16)*hr_death_prior_stroke*dt)</f>
        <v>0.023598116564566</v>
      </c>
      <c r="BK16" s="57" t="n">
        <f aca="false">I16*(1-BJ16)</f>
        <v>0.00910398796007011</v>
      </c>
      <c r="BL16" s="57" t="n">
        <f aca="false">(1-EXP(-r_stroke*F16*rr_stroke_prior*rr_asa_stroke*dt))</f>
        <v>0.0157786272876973</v>
      </c>
      <c r="BM16" s="57" t="n">
        <f aca="false">(1-EXP(-r_ich*rr_asa_ich*dt))</f>
        <v>0.00102357767802375</v>
      </c>
      <c r="BN16" s="57" t="n">
        <f aca="false">(1-EXP(-r_mb*rr_asa_mb*dt))</f>
        <v>0.00951809672747972</v>
      </c>
      <c r="BO16" s="57" t="n">
        <f aca="false">(1-EXP(-r_mi*rr_asa_mi*dt))</f>
        <v>0.00213413516393479</v>
      </c>
      <c r="BP16" s="57" t="n">
        <f aca="false">(1-EXP(-r_tia*rr_asa_tia*dt))</f>
        <v>0.00312764565589152</v>
      </c>
      <c r="BQ16" s="57" t="n">
        <f aca="false">(1-EXP(-r_minor*rr_asa_minor*dt))</f>
        <v>0.0278181950466747</v>
      </c>
      <c r="BR16" s="57" t="n">
        <f aca="false">BK16*BL16</f>
        <v>0.00014364843285363</v>
      </c>
      <c r="BS16" s="57" t="n">
        <f aca="false">BK16*BM16</f>
        <v>9.3186388569247E-006</v>
      </c>
      <c r="BT16" s="57" t="n">
        <f aca="false">BK16*BN16</f>
        <v>8.66526380097581E-005</v>
      </c>
      <c r="BU16" s="57" t="n">
        <f aca="false">BK16*BO16</f>
        <v>1.94291408376246E-005</v>
      </c>
      <c r="BV16" s="57" t="n">
        <f aca="false">BK16*BP16</f>
        <v>2.8474048394602E-005</v>
      </c>
      <c r="BW16" s="57" t="n">
        <f aca="false">BK16*BQ16</f>
        <v>0.000253256512775808</v>
      </c>
      <c r="BX16" s="57" t="n">
        <f aca="false">BR16*f_stroke_fatal_recur</f>
        <v>5.34501453805071E-005</v>
      </c>
      <c r="BY16" s="57" t="n">
        <f aca="false">BR16*(1-f_stroke_fatal_recur)*f_stroke_major</f>
        <v>3.00360297285499E-005</v>
      </c>
      <c r="BZ16" s="57" t="n">
        <f aca="false">BR16*(1-f_stroke_fatal_recur)*(1-f_stroke_major)</f>
        <v>6.01622577445729E-005</v>
      </c>
      <c r="CA16" s="57" t="n">
        <f aca="false">BS16*(1-f_bleed_fatal)</f>
        <v>8.53587319294303E-006</v>
      </c>
      <c r="CB16" s="57" t="n">
        <f aca="false">BT16*(1-f_bleed_fatal)</f>
        <v>7.93738164169384E-005</v>
      </c>
      <c r="CC16" s="57" t="n">
        <f aca="false">BU16*f_mi_fatal</f>
        <v>2.35092604135258E-006</v>
      </c>
      <c r="CD16" s="57" t="n">
        <f aca="false">BU16-CC16</f>
        <v>1.7078214796272E-005</v>
      </c>
      <c r="CE16" s="57" t="n">
        <f aca="false">BK16-BR16-BS16-BT16-CC16</f>
        <v>0.00886201732430844</v>
      </c>
      <c r="CF16" s="19" t="n">
        <f aca="false">BX16*c_stroke_fatal+BY16*c_stroke_major+BZ16*c_stroke_minor+BS16*c_ich+BT16*c_major_bleed+CC16*c_mi_fatal+CD16*c_mi_nonfatal+BV16*c_tia+BW16*c_minor_bleed</f>
        <v>6.1788471296792</v>
      </c>
      <c r="CG16" s="57" t="n">
        <f aca="false">dt*(CD16*dec_mi+CB16*dec_major_bleed+BW16*dec_minor_bleed+BV16*dec_tia)</f>
        <v>3.91558240265546E-006</v>
      </c>
      <c r="CH16" s="57" t="n">
        <f aca="false">I16*BJ16+BX16+BS16-CA16+BT16-CB16+CC16</f>
        <v>0.000283891903530426</v>
      </c>
      <c r="CI16" s="57" t="n">
        <f aca="false">1-EXP(LN(1-E16)*dt)</f>
        <v>0.010329330711955</v>
      </c>
      <c r="CJ16" s="57" t="n">
        <f aca="false">J16*(1-CI16)</f>
        <v>0.0620770118174124</v>
      </c>
      <c r="CK16" s="57" t="n">
        <f aca="false">(1-EXP(-r_stroke*F16*rr_asa_stroke*dt))</f>
        <v>0.00720322016952146</v>
      </c>
      <c r="CL16" s="57" t="n">
        <f aca="false">(1-EXP(-r_ich*rr_asa_ich*dt))</f>
        <v>0.00102357767802375</v>
      </c>
      <c r="CM16" s="57" t="n">
        <f aca="false">(1-EXP(-r_mb*rr_asa_mb*dt))</f>
        <v>0.00951809672747972</v>
      </c>
      <c r="CN16" s="57" t="n">
        <f aca="false">(1-EXP(-r_mi*rr_asa_mi*dt))</f>
        <v>0.00213413516393479</v>
      </c>
      <c r="CO16" s="57" t="n">
        <f aca="false">(1-EXP(-r_tia*rr_asa_tia*dt))</f>
        <v>0.00312764565589152</v>
      </c>
      <c r="CP16" s="57" t="n">
        <f aca="false">(1-EXP(-r_minor*rr_asa_minor*dt))</f>
        <v>0.0278181950466747</v>
      </c>
      <c r="CQ16" s="57" t="n">
        <f aca="false">CJ16*CK16</f>
        <v>0.000447154383586807</v>
      </c>
      <c r="CR16" s="57" t="n">
        <f aca="false">CJ16*CL16</f>
        <v>6.35406436147196E-005</v>
      </c>
      <c r="CS16" s="57" t="n">
        <f aca="false">CJ16*CM16</f>
        <v>0.000590855003031032</v>
      </c>
      <c r="CT16" s="57" t="n">
        <f aca="false">CJ16*CN16</f>
        <v>0.000132480733791535</v>
      </c>
      <c r="CU16" s="57" t="n">
        <f aca="false">CJ16*CO16</f>
        <v>0.000194154896341456</v>
      </c>
      <c r="CV16" s="57" t="n">
        <f aca="false">CJ16*CP16</f>
        <v>0.00172687042265151</v>
      </c>
      <c r="CW16" s="57" t="n">
        <f aca="false">CQ16*f_stroke_fatal</f>
        <v>0.000105975588910073</v>
      </c>
      <c r="CX16" s="57" t="n">
        <f aca="false">CQ16*(1-f_stroke_fatal)*f_stroke_major</f>
        <v>0.000113612538627352</v>
      </c>
      <c r="CY16" s="57" t="n">
        <f aca="false">CQ16*(1-f_stroke_fatal)*(1-f_stroke_major)</f>
        <v>0.000227566256049381</v>
      </c>
      <c r="CZ16" s="57" t="n">
        <f aca="false">CR16*(1-f_bleed_fatal)</f>
        <v>5.82032295510831E-005</v>
      </c>
      <c r="DA16" s="57" t="n">
        <f aca="false">CS16*(1-f_bleed_fatal)</f>
        <v>0.000541223182776426</v>
      </c>
      <c r="DB16" s="57" t="n">
        <f aca="false">CT16*f_mi_fatal</f>
        <v>1.60301687887758E-005</v>
      </c>
      <c r="DC16" s="57" t="n">
        <f aca="false">CT16-DB16</f>
        <v>0.00011645056500276</v>
      </c>
      <c r="DD16" s="57" t="n">
        <f aca="false">CJ16-CQ16-CR16-CS16-DB16</f>
        <v>0.060959431618391</v>
      </c>
      <c r="DE16" s="19" t="n">
        <f aca="false">CW16*c_stroke_fatal+CX16*c_stroke_major+CY16*c_stroke_minor+CR16*c_ich+CS16*c_major_bleed+DB16*c_mi_fatal+DC16*c_mi_nonfatal+CU16*c_tia+CV16*c_minor_bleed</f>
        <v>24.8804772286759</v>
      </c>
      <c r="DF16" s="57" t="n">
        <f aca="false">dt*(DC16*dec_mi+DA16*dec_major_bleed+CV16*dec_minor_bleed+CU16*dec_tia)</f>
        <v>2.66990308146039E-005</v>
      </c>
      <c r="DG16" s="57" t="n">
        <f aca="false">J16*CI16+CW16+CR16-CZ16+CS16-DA16+DB16</f>
        <v>0.000824881416417109</v>
      </c>
      <c r="DH16" s="57" t="n">
        <f aca="false">AG16</f>
        <v>0.766595200644582</v>
      </c>
      <c r="DI16" s="57" t="n">
        <f aca="false">AB16+AC16+BF16+BA16+BB16+BC16+CY16+CZ16</f>
        <v>0.0343770579010036</v>
      </c>
      <c r="DJ16" s="57" t="n">
        <f aca="false">AA16+AZ16+BY16+CX16+CE16+BZ16+CA16+CB16</f>
        <v>0.0101371952397631</v>
      </c>
      <c r="DK16" s="57" t="n">
        <f aca="false">AD16+DD16+DA16</f>
        <v>0.0674562186741324</v>
      </c>
      <c r="DL16" s="57" t="n">
        <f aca="false">K16+AJ16+BI16+CH16+DG16</f>
        <v>0.121434327540519</v>
      </c>
      <c r="DM16" s="58" t="n">
        <f aca="false">SUM(DH16:DL16)</f>
        <v>1</v>
      </c>
      <c r="DN16" s="19" t="n">
        <f aca="false">dt*(G16*Warfarin!$H$2+(H16+I16+J16)*c_aspirin)</f>
        <v>76.5534871660528</v>
      </c>
      <c r="DO16" s="19" t="n">
        <f aca="false">dt*(H16*c_lt_minor_stroke+I16*c_lt_major_stroke)</f>
        <v>147.310210397832</v>
      </c>
      <c r="DP16" s="19" t="n">
        <f aca="false">AH16+BG16+CF16+DE16</f>
        <v>286.285003125566</v>
      </c>
      <c r="DQ16" s="19" t="n">
        <f aca="false">DN16+DO16+DP16</f>
        <v>510.14870068945</v>
      </c>
      <c r="DR16" s="57" t="n">
        <f aca="false">dt*(G16*(u_af-dec_per_year_over_70*MAX(B16-ref_age,0))+H16*(u_minor_stroke-dec_per_year_over_70*MAX(B16-ref_age,0))+I16*(u_major_stroke-dec_per_year_over_70*MAX(B16-ref_age,0))+J16*(u_af-dec_per_year_over_70*MAX(B16-ref_age,0)))-AI16-BH16-CG16-DF16</f>
        <v>0.178190269068849</v>
      </c>
      <c r="DS16" s="57" t="n">
        <f aca="false">dt*(G16+H16+I16+J16)</f>
        <v>0.222602742366408</v>
      </c>
      <c r="DT16" s="19" t="n">
        <f aca="false">DQ16*C16</f>
        <v>491.509231625395</v>
      </c>
      <c r="DU16" s="19" t="n">
        <f aca="false">DN16*C16</f>
        <v>73.7564274972763</v>
      </c>
      <c r="DV16" s="19" t="n">
        <f aca="false">DP16*C16</f>
        <v>275.824914817882</v>
      </c>
      <c r="DW16" s="19" t="n">
        <f aca="false">DO16*C16</f>
        <v>141.927889310237</v>
      </c>
      <c r="DX16" s="57" t="n">
        <f aca="false">DR16*C16</f>
        <v>0.171679673230154</v>
      </c>
      <c r="DY16" s="57" t="n">
        <f aca="false">DS16*C16</f>
        <v>0.214469433540364</v>
      </c>
      <c r="DZ16" s="57" t="n">
        <f aca="false">T16+AS16+BR16+CQ16</f>
        <v>0.00454869442485014</v>
      </c>
      <c r="EA16" s="57" t="n">
        <f aca="false">U16+AT16+BS16+CR16</f>
        <v>0.00166603650647904</v>
      </c>
      <c r="EB16" s="57" t="n">
        <f aca="false">V16+AU16+BT16+CS16</f>
        <v>0.00747636658908063</v>
      </c>
      <c r="EC16" s="57" t="n">
        <f aca="false">G16*dt*C16</f>
        <v>0.189413835797604</v>
      </c>
    </row>
    <row r="17" customFormat="false" ht="15" hidden="false" customHeight="false" outlineLevel="0" collapsed="false">
      <c r="A17" s="8" t="n">
        <v>11</v>
      </c>
      <c r="B17" s="54" t="n">
        <f aca="false">start_age+A17*dt</f>
        <v>72.75</v>
      </c>
      <c r="C17" s="16" t="n">
        <f aca="false">(1+disc_rate)^-(A17*dt)</f>
        <v>0.959883184863695</v>
      </c>
      <c r="D17" s="55" t="n">
        <f aca="false">IF(A17*dt&gt;=wane_start,(1-wane_decay)^(A17*dt-wane_start),1)</f>
        <v>1</v>
      </c>
      <c r="E17" s="25" t="n">
        <f aca="false">MIN(p_nonvasc_death*MIN(EXP(gomp_int+gomp_slope*INT(B17)),1)/qx_ref,0.999)</f>
        <v>0.0406815493810151</v>
      </c>
      <c r="F17" s="55" t="n">
        <f aca="false">rr_stroke_per_decade^((B17-ref_age)/10)</f>
        <v>1.11795699136374</v>
      </c>
      <c r="G17" s="57" t="n">
        <f aca="false">DH16</f>
        <v>0.766595200644582</v>
      </c>
      <c r="H17" s="57" t="n">
        <f aca="false">DI16</f>
        <v>0.0343770579010036</v>
      </c>
      <c r="I17" s="57" t="n">
        <f aca="false">DJ16</f>
        <v>0.0101371952397631</v>
      </c>
      <c r="J17" s="57" t="n">
        <f aca="false">DK16</f>
        <v>0.0674562186741324</v>
      </c>
      <c r="K17" s="57" t="n">
        <f aca="false">DL16</f>
        <v>0.121434327540519</v>
      </c>
      <c r="L17" s="57" t="n">
        <f aca="false">1-EXP(LN(1-E17)*dt)</f>
        <v>0.010329330711955</v>
      </c>
      <c r="M17" s="57" t="n">
        <f aca="false">G17*(1-L17)</f>
        <v>0.758676785294927</v>
      </c>
      <c r="N17" s="57" t="n">
        <f aca="false">IF(Warfarin!$B$2=1,EXP(LN(or_apx_stroke)*D17)*(1-EXP(-r_stroke*F17*dt))/(1-(1-EXP(-r_stroke*F17*dt))+EXP(LN(or_apx_stroke)*D17)*(1-EXP(-r_stroke*F17*dt))),(1-EXP(-r_stroke*F17*dt)))</f>
        <v>0.00449784309344337</v>
      </c>
      <c r="O17" s="57" t="n">
        <f aca="false">IF(Warfarin!$B$2=1,EXP(LN(or_apx_ich)*D17)*(1-EXP(-r_ich*dt))/(1-(1-EXP(-r_ich*dt))+EXP(LN(or_apx_ich)*D17)*(1-EXP(-r_ich*dt))),(1-EXP(-r_ich*dt)))</f>
        <v>0.0020060281549299</v>
      </c>
      <c r="P17" s="57" t="n">
        <f aca="false">IF(Warfarin!$B$2=1,EXP(LN(or_apx_mb)*D17)*(1-EXP(-r_mb*dt))/(1-(1-EXP(-r_mb*dt))+EXP(LN(or_apx_mb)*D17)*(1-EXP(-r_mb*dt))),(1-EXP(-r_mb*dt)))</f>
        <v>0.00835410477572107</v>
      </c>
      <c r="Q17" s="57" t="n">
        <f aca="false">IF(Warfarin!$B$2=1,EXP(LN(or_apx_mi)*D17)*(1-EXP(-r_mi*dt))/(1-(1-EXP(-r_mi*dt))+EXP(LN(or_apx_mi)*D17)*(1-EXP(-r_mi*dt))),(1-EXP(-r_mi*dt)))</f>
        <v>0.00150338686144691</v>
      </c>
      <c r="R17" s="57" t="n">
        <f aca="false">(1-EXP(-r_tia*dt))</f>
        <v>0.0020060281549299</v>
      </c>
      <c r="S17" s="57" t="n">
        <f aca="false">(1-EXP(-r_minor*dt))</f>
        <v>0.0437937690785545</v>
      </c>
      <c r="T17" s="57" t="n">
        <f aca="false">M17*N17</f>
        <v>0.0034124091388946</v>
      </c>
      <c r="U17" s="57" t="n">
        <f aca="false">M17*O17</f>
        <v>0.00152192699179333</v>
      </c>
      <c r="V17" s="57" t="n">
        <f aca="false">M17*P17</f>
        <v>0.00633806535526106</v>
      </c>
      <c r="W17" s="57" t="n">
        <f aca="false">M17*Q17</f>
        <v>0.00114058471109717</v>
      </c>
      <c r="X17" s="57" t="n">
        <f aca="false">M17*R17</f>
        <v>0.00152192699179333</v>
      </c>
      <c r="Y17" s="57" t="n">
        <f aca="false">M17*S17</f>
        <v>0.0332253159404661</v>
      </c>
      <c r="Z17" s="57" t="n">
        <f aca="false">T17*f_stroke_fatal</f>
        <v>0.000808740965918021</v>
      </c>
      <c r="AA17" s="57" t="n">
        <f aca="false">T17*(1-f_stroke_fatal)*f_stroke_major</f>
        <v>0.000867021501601202</v>
      </c>
      <c r="AB17" s="57" t="n">
        <f aca="false">T17*(1-f_stroke_fatal)*(1-f_stroke_major)</f>
        <v>0.00173664667137538</v>
      </c>
      <c r="AC17" s="57" t="n">
        <f aca="false">U17*(1-f_bleed_fatal)</f>
        <v>0.00139408512448269</v>
      </c>
      <c r="AD17" s="57" t="n">
        <f aca="false">V17*(1-f_bleed_fatal)</f>
        <v>0.00580566786541913</v>
      </c>
      <c r="AE17" s="57" t="n">
        <f aca="false">W17*f_mi_fatal</f>
        <v>0.000138010750042758</v>
      </c>
      <c r="AF17" s="57" t="n">
        <f aca="false">W17-AE17</f>
        <v>0.00100257396105441</v>
      </c>
      <c r="AG17" s="57" t="n">
        <f aca="false">M17-T17-U17-V17-AE17</f>
        <v>0.747266373058935</v>
      </c>
      <c r="AH17" s="19" t="n">
        <f aca="false">Z17*c_stroke_fatal+AA17*c_stroke_major+AB17*c_stroke_minor+U17*c_ich+V17*c_major_bleed+AE17*c_mi_fatal+AF17*c_mi_nonfatal+X17*c_tia+Y17*c_minor_bleed</f>
        <v>229.415248245923</v>
      </c>
      <c r="AI17" s="57" t="n">
        <f aca="false">dt*(AF17*dec_mi+AD17*dec_major_bleed+Y17*dec_minor_bleed+X17*dec_tia)</f>
        <v>0.000312032694032783</v>
      </c>
      <c r="AJ17" s="57" t="n">
        <f aca="false">G17*L17+Z17+U17-AC17+V17-AD17+AE17</f>
        <v>0.00952540642276871</v>
      </c>
      <c r="AK17" s="57" t="n">
        <f aca="false">1-EXP(LN(1-E17)*hr_death_prior_stroke*dt)</f>
        <v>0.023598116564566</v>
      </c>
      <c r="AL17" s="57" t="n">
        <f aca="false">H17*(1-AK17)</f>
        <v>0.0335658240815089</v>
      </c>
      <c r="AM17" s="57" t="n">
        <f aca="false">(1-EXP(-r_stroke*F17*rr_stroke_prior*rr_asa_stroke*dt))</f>
        <v>0.0159380948468583</v>
      </c>
      <c r="AN17" s="57" t="n">
        <f aca="false">(1-EXP(-r_ich*rr_asa_ich*dt))</f>
        <v>0.00102357767802375</v>
      </c>
      <c r="AO17" s="57" t="n">
        <f aca="false">(1-EXP(-r_mb*rr_asa_mb*dt))</f>
        <v>0.00951809672747972</v>
      </c>
      <c r="AP17" s="57" t="n">
        <f aca="false">(1-EXP(-r_mi*rr_asa_mi*dt))</f>
        <v>0.00213413516393479</v>
      </c>
      <c r="AQ17" s="57" t="n">
        <f aca="false">(1-EXP(-r_tia*rr_asa_tia*dt))</f>
        <v>0.00312764565589152</v>
      </c>
      <c r="AR17" s="57" t="n">
        <f aca="false">(1-EXP(-r_minor*rr_asa_minor*dt))</f>
        <v>0.0278181950466747</v>
      </c>
      <c r="AS17" s="57" t="n">
        <f aca="false">AL17*AM17</f>
        <v>0.000534975287824048</v>
      </c>
      <c r="AT17" s="57" t="n">
        <f aca="false">AL17*AN17</f>
        <v>3.43572282743044E-005</v>
      </c>
      <c r="AU17" s="57" t="n">
        <f aca="false">AL17*AO17</f>
        <v>0.00031948276034537</v>
      </c>
      <c r="AV17" s="57" t="n">
        <f aca="false">AL17*AP17</f>
        <v>7.16340054787973E-005</v>
      </c>
      <c r="AW17" s="57" t="n">
        <f aca="false">AL17*AQ17</f>
        <v>0.00010498200387495</v>
      </c>
      <c r="AX17" s="57" t="n">
        <f aca="false">AL17*AR17</f>
        <v>0.000933740641201785</v>
      </c>
      <c r="AY17" s="57" t="n">
        <f aca="false">AS17*f_stroke_fatal_recur</f>
        <v>0.00019905895484645</v>
      </c>
      <c r="AZ17" s="57" t="n">
        <f aca="false">AS17*(1-f_stroke_fatal_recur)*f_stroke_major</f>
        <v>0.00011186013888154</v>
      </c>
      <c r="BA17" s="57" t="n">
        <f aca="false">AS17*(1-f_stroke_fatal_recur)*(1-f_stroke_major)</f>
        <v>0.000224056194096058</v>
      </c>
      <c r="BB17" s="57" t="n">
        <f aca="false">AT17*(1-f_bleed_fatal)</f>
        <v>3.14712210992628E-005</v>
      </c>
      <c r="BC17" s="57" t="n">
        <f aca="false">AU17*(1-f_bleed_fatal)</f>
        <v>0.000292646208476359</v>
      </c>
      <c r="BD17" s="57" t="n">
        <f aca="false">AV17*f_mi_fatal</f>
        <v>8.66771466293448E-006</v>
      </c>
      <c r="BE17" s="57" t="n">
        <f aca="false">AV17-BD17</f>
        <v>6.29662908158628E-005</v>
      </c>
      <c r="BF17" s="57" t="n">
        <f aca="false">AL17-AS17-AT17-AU17-BD17</f>
        <v>0.0326683410904022</v>
      </c>
      <c r="BG17" s="19" t="n">
        <f aca="false">AY17*c_stroke_fatal+AZ17*c_stroke_major+BA17*c_stroke_minor+AT17*c_ich+AU17*c_major_bleed+BD17*c_mi_fatal+BE17*c_mi_nonfatal+AW17*c_tia+AX17*c_minor_bleed</f>
        <v>22.9655728564317</v>
      </c>
      <c r="BH17" s="57" t="n">
        <f aca="false">dt*(BE17*dec_mi+BC17*dec_major_bleed+AX17*dec_minor_bleed+AW17*dec_tia)</f>
        <v>1.44365030666377E-005</v>
      </c>
      <c r="BI17" s="57" t="n">
        <f aca="false">H17*AK17+AY17+AT17-BB17+AU17-BC17+BD17</f>
        <v>0.00104868304804815</v>
      </c>
      <c r="BJ17" s="57" t="n">
        <f aca="false">1-EXP(LN(1-E17)*hr_death_prior_stroke*dt)</f>
        <v>0.023598116564566</v>
      </c>
      <c r="BK17" s="57" t="n">
        <f aca="false">I17*(1-BJ17)</f>
        <v>0.00989797652485737</v>
      </c>
      <c r="BL17" s="57" t="n">
        <f aca="false">(1-EXP(-r_stroke*F17*rr_stroke_prior*rr_asa_stroke*dt))</f>
        <v>0.0159380948468583</v>
      </c>
      <c r="BM17" s="57" t="n">
        <f aca="false">(1-EXP(-r_ich*rr_asa_ich*dt))</f>
        <v>0.00102357767802375</v>
      </c>
      <c r="BN17" s="57" t="n">
        <f aca="false">(1-EXP(-r_mb*rr_asa_mb*dt))</f>
        <v>0.00951809672747972</v>
      </c>
      <c r="BO17" s="57" t="n">
        <f aca="false">(1-EXP(-r_mi*rr_asa_mi*dt))</f>
        <v>0.00213413516393479</v>
      </c>
      <c r="BP17" s="57" t="n">
        <f aca="false">(1-EXP(-r_tia*rr_asa_tia*dt))</f>
        <v>0.00312764565589152</v>
      </c>
      <c r="BQ17" s="57" t="n">
        <f aca="false">(1-EXP(-r_minor*rr_asa_minor*dt))</f>
        <v>0.0278181950466747</v>
      </c>
      <c r="BR17" s="57" t="n">
        <f aca="false">BK17*BL17</f>
        <v>0.000157754888645153</v>
      </c>
      <c r="BS17" s="57" t="n">
        <f aca="false">BK17*BM17</f>
        <v>1.01313478284471E-005</v>
      </c>
      <c r="BT17" s="57" t="n">
        <f aca="false">BK17*BN17</f>
        <v>9.4209897969916E-005</v>
      </c>
      <c r="BU17" s="57" t="n">
        <f aca="false">BK17*BO17</f>
        <v>2.11236197534992E-005</v>
      </c>
      <c r="BV17" s="57" t="n">
        <f aca="false">BK17*BP17</f>
        <v>3.09573632800864E-005</v>
      </c>
      <c r="BW17" s="57" t="n">
        <f aca="false">BK17*BQ17</f>
        <v>0.00027534384153589</v>
      </c>
      <c r="BX17" s="57" t="n">
        <f aca="false">BR17*f_stroke_fatal_recur</f>
        <v>5.86990165159751E-005</v>
      </c>
      <c r="BY17" s="57" t="n">
        <f aca="false">BR17*(1-f_stroke_fatal_recur)*f_stroke_major</f>
        <v>3.29856054190163E-005</v>
      </c>
      <c r="BZ17" s="57" t="n">
        <f aca="false">BR17*(1-f_stroke_fatal_recur)*(1-f_stroke_major)</f>
        <v>6.60702667101619E-005</v>
      </c>
      <c r="CA17" s="57" t="n">
        <f aca="false">BS17*(1-f_bleed_fatal)</f>
        <v>9.2803146108575E-006</v>
      </c>
      <c r="CB17" s="57" t="n">
        <f aca="false">BT17*(1-f_bleed_fatal)</f>
        <v>8.62962665404431E-005</v>
      </c>
      <c r="CC17" s="57" t="n">
        <f aca="false">BU17*f_mi_fatal</f>
        <v>2.5559579901734E-006</v>
      </c>
      <c r="CD17" s="57" t="n">
        <f aca="false">BU17-CC17</f>
        <v>1.85676617633258E-005</v>
      </c>
      <c r="CE17" s="57" t="n">
        <f aca="false">BK17-BR17-BS17-BT17-CC17</f>
        <v>0.00963332443242368</v>
      </c>
      <c r="CF17" s="19" t="n">
        <f aca="false">BX17*c_stroke_fatal+BY17*c_stroke_major+BZ17*c_stroke_minor+BS17*c_ich+BT17*c_major_bleed+CC17*c_mi_fatal+CD17*c_mi_nonfatal+BV17*c_tia+BW17*c_minor_bleed</f>
        <v>6.772147183423</v>
      </c>
      <c r="CG17" s="57" t="n">
        <f aca="false">dt*(CD17*dec_mi+CB17*dec_major_bleed+BW17*dec_minor_bleed+BV17*dec_tia)</f>
        <v>4.25707314998799E-006</v>
      </c>
      <c r="CH17" s="57" t="n">
        <f aca="false">I17*BJ17+BX17+BS17-CA17+BT17-CB17+CC17</f>
        <v>0.000309238354058903</v>
      </c>
      <c r="CI17" s="57" t="n">
        <f aca="false">1-EXP(LN(1-E17)*dt)</f>
        <v>0.010329330711955</v>
      </c>
      <c r="CJ17" s="57" t="n">
        <f aca="false">J17*(1-CI17)</f>
        <v>0.0667594410828693</v>
      </c>
      <c r="CK17" s="57" t="n">
        <f aca="false">(1-EXP(-r_stroke*F17*rr_asa_stroke*dt))</f>
        <v>0.0072763402105146</v>
      </c>
      <c r="CL17" s="57" t="n">
        <f aca="false">(1-EXP(-r_ich*rr_asa_ich*dt))</f>
        <v>0.00102357767802375</v>
      </c>
      <c r="CM17" s="57" t="n">
        <f aca="false">(1-EXP(-r_mb*rr_asa_mb*dt))</f>
        <v>0.00951809672747972</v>
      </c>
      <c r="CN17" s="57" t="n">
        <f aca="false">(1-EXP(-r_mi*rr_asa_mi*dt))</f>
        <v>0.00213413516393479</v>
      </c>
      <c r="CO17" s="57" t="n">
        <f aca="false">(1-EXP(-r_tia*rr_asa_tia*dt))</f>
        <v>0.00312764565589152</v>
      </c>
      <c r="CP17" s="57" t="n">
        <f aca="false">(1-EXP(-r_minor*rr_asa_minor*dt))</f>
        <v>0.0278181950466747</v>
      </c>
      <c r="CQ17" s="57" t="n">
        <f aca="false">CJ17*CK17</f>
        <v>0.000485764405582762</v>
      </c>
      <c r="CR17" s="57" t="n">
        <f aca="false">CJ17*CL17</f>
        <v>6.83334736897664E-005</v>
      </c>
      <c r="CS17" s="57" t="n">
        <f aca="false">CJ17*CM17</f>
        <v>0.000635422817699233</v>
      </c>
      <c r="CT17" s="57" t="n">
        <f aca="false">CJ17*CN17</f>
        <v>0.000142473670739584</v>
      </c>
      <c r="CU17" s="57" t="n">
        <f aca="false">CJ17*CO17</f>
        <v>0.000208799875892582</v>
      </c>
      <c r="CV17" s="57" t="n">
        <f aca="false">CJ17*CP17</f>
        <v>0.00185712715325025</v>
      </c>
      <c r="CW17" s="57" t="n">
        <f aca="false">CQ17*f_stroke_fatal</f>
        <v>0.000115126164123115</v>
      </c>
      <c r="CX17" s="57" t="n">
        <f aca="false">CQ17*(1-f_stroke_fatal)*f_stroke_major</f>
        <v>0.000123422534406063</v>
      </c>
      <c r="CY17" s="57" t="n">
        <f aca="false">CQ17*(1-f_stroke_fatal)*(1-f_stroke_major)</f>
        <v>0.000247215707053585</v>
      </c>
      <c r="CZ17" s="57" t="n">
        <f aca="false">CR17*(1-f_bleed_fatal)</f>
        <v>6.25934618998261E-005</v>
      </c>
      <c r="DA17" s="57" t="n">
        <f aca="false">CS17*(1-f_bleed_fatal)</f>
        <v>0.000582047301012498</v>
      </c>
      <c r="DB17" s="57" t="n">
        <f aca="false">CT17*f_mi_fatal</f>
        <v>1.72393141594897E-005</v>
      </c>
      <c r="DC17" s="57" t="n">
        <f aca="false">CT17-DB17</f>
        <v>0.000125234356580095</v>
      </c>
      <c r="DD17" s="57" t="n">
        <f aca="false">CJ17-CQ17-CR17-CS17-DB17</f>
        <v>0.065552681071738</v>
      </c>
      <c r="DE17" s="19" t="n">
        <f aca="false">CW17*c_stroke_fatal+CX17*c_stroke_major+CY17*c_stroke_minor+CR17*c_ich+CS17*c_major_bleed+DB17*c_mi_fatal+DC17*c_mi_nonfatal+CU17*c_tia+CV17*c_minor_bleed</f>
        <v>26.9375538257975</v>
      </c>
      <c r="DF17" s="57" t="n">
        <f aca="false">dt*(DC17*dec_mi+DA17*dec_major_bleed+CV17*dec_minor_bleed+CU17*dec_tia)</f>
        <v>2.87129216187127E-005</v>
      </c>
      <c r="DG17" s="57" t="n">
        <f aca="false">J17*CI17+CW17+CR17-CZ17+CS17-DA17+DB17</f>
        <v>0.000888258598022346</v>
      </c>
      <c r="DH17" s="57" t="n">
        <f aca="false">AG17</f>
        <v>0.747266373058935</v>
      </c>
      <c r="DI17" s="57" t="n">
        <f aca="false">AB17+AC17+BF17+BA17+BB17+BC17+CY17+CZ17</f>
        <v>0.0366570556788854</v>
      </c>
      <c r="DJ17" s="57" t="n">
        <f aca="false">AA17+AZ17+BY17+CX17+CE17+BZ17+CA17+CB17</f>
        <v>0.010930261060593</v>
      </c>
      <c r="DK17" s="57" t="n">
        <f aca="false">AD17+DD17+DA17</f>
        <v>0.0719403962381697</v>
      </c>
      <c r="DL17" s="57" t="n">
        <f aca="false">K17+AJ17+BI17+CH17+DG17</f>
        <v>0.133205913963417</v>
      </c>
      <c r="DM17" s="58" t="n">
        <f aca="false">SUM(DH17:DL17)</f>
        <v>1</v>
      </c>
      <c r="DN17" s="19" t="n">
        <f aca="false">dt*(G17*Warfarin!$H$2+(H17+I17+J17)*c_aspirin)</f>
        <v>74.7298265140829</v>
      </c>
      <c r="DO17" s="19" t="n">
        <f aca="false">dt*(H17*c_lt_minor_stroke+I17*c_lt_major_stroke)</f>
        <v>159.114944161874</v>
      </c>
      <c r="DP17" s="19" t="n">
        <f aca="false">AH17+BG17+CF17+DE17</f>
        <v>286.090522111575</v>
      </c>
      <c r="DQ17" s="19" t="n">
        <f aca="false">DN17+DO17+DP17</f>
        <v>519.935292787532</v>
      </c>
      <c r="DR17" s="57" t="n">
        <f aca="false">dt*(G17*(u_af-dec_per_year_over_70*MAX(B17-ref_age,0))+H17*(u_minor_stroke-dec_per_year_over_70*MAX(B17-ref_age,0))+I17*(u_major_stroke-dec_per_year_over_70*MAX(B17-ref_age,0))+J17*(u_af-dec_per_year_over_70*MAX(B17-ref_age,0)))-AI17-BH17-CG17-DF17</f>
        <v>0.175649415329849</v>
      </c>
      <c r="DS17" s="57" t="n">
        <f aca="false">dt*(G17+H17+I17+J17)</f>
        <v>0.21964141811487</v>
      </c>
      <c r="DT17" s="19" t="n">
        <f aca="false">DQ17*C17</f>
        <v>499.077144763934</v>
      </c>
      <c r="DU17" s="19" t="n">
        <f aca="false">DN17*C17</f>
        <v>71.7319038786493</v>
      </c>
      <c r="DV17" s="19" t="n">
        <f aca="false">DP17*C17</f>
        <v>274.613481523776</v>
      </c>
      <c r="DW17" s="19" t="n">
        <f aca="false">DO17*C17</f>
        <v>152.731759361509</v>
      </c>
      <c r="DX17" s="57" t="n">
        <f aca="false">DR17*C17</f>
        <v>0.168602920206262</v>
      </c>
      <c r="DY17" s="57" t="n">
        <f aca="false">DS17*C17</f>
        <v>0.21083010394808</v>
      </c>
      <c r="DZ17" s="57" t="n">
        <f aca="false">T17+AS17+BR17+CQ17</f>
        <v>0.00459090372094657</v>
      </c>
      <c r="EA17" s="57" t="n">
        <f aca="false">U17+AT17+BS17+CR17</f>
        <v>0.00163474904158585</v>
      </c>
      <c r="EB17" s="57" t="n">
        <f aca="false">V17+AU17+BT17+CS17</f>
        <v>0.00738718083127558</v>
      </c>
      <c r="EC17" s="57" t="n">
        <f aca="false">G17*dt*C17</f>
        <v>0.183960460673986</v>
      </c>
    </row>
    <row r="18" customFormat="false" ht="15" hidden="false" customHeight="false" outlineLevel="0" collapsed="false">
      <c r="A18" s="8" t="n">
        <v>12</v>
      </c>
      <c r="B18" s="54" t="n">
        <f aca="false">start_age+A18*dt</f>
        <v>73</v>
      </c>
      <c r="C18" s="16" t="n">
        <f aca="false">(1+disc_rate)^-(A18*dt)</f>
        <v>0.956316993741025</v>
      </c>
      <c r="D18" s="55" t="n">
        <f aca="false">IF(A18*dt&gt;=wane_start,(1-wane_decay)^(A18*dt-wane_start),1)</f>
        <v>1</v>
      </c>
      <c r="E18" s="25" t="n">
        <f aca="false">MIN(p_nonvasc_death*MIN(EXP(gomp_int+gomp_slope*INT(B18)),1)/qx_ref,0.999)</f>
        <v>0.0451688732868535</v>
      </c>
      <c r="F18" s="55" t="n">
        <f aca="false">rr_stroke_per_decade^((B18-ref_age)/10)</f>
        <v>1.12934693545686</v>
      </c>
      <c r="G18" s="57" t="n">
        <f aca="false">DH17</f>
        <v>0.747266373058935</v>
      </c>
      <c r="H18" s="57" t="n">
        <f aca="false">DI17</f>
        <v>0.0366570556788854</v>
      </c>
      <c r="I18" s="57" t="n">
        <f aca="false">DJ17</f>
        <v>0.010930261060593</v>
      </c>
      <c r="J18" s="57" t="n">
        <f aca="false">DK17</f>
        <v>0.0719403962381697</v>
      </c>
      <c r="K18" s="57" t="n">
        <f aca="false">DL17</f>
        <v>0.133205913963417</v>
      </c>
      <c r="L18" s="57" t="n">
        <f aca="false">1-EXP(LN(1-E18)*dt)</f>
        <v>0.0114886913269703</v>
      </c>
      <c r="M18" s="57" t="n">
        <f aca="false">G18*(1-L18)</f>
        <v>0.738681260359837</v>
      </c>
      <c r="N18" s="57" t="n">
        <f aca="false">IF(Warfarin!$B$2=1,EXP(LN(or_apx_stroke)*D18)*(1-EXP(-r_stroke*F18*dt))/(1-(1-EXP(-r_stroke*F18*dt))+EXP(LN(or_apx_stroke)*D18)*(1-EXP(-r_stroke*F18*dt))),(1-EXP(-r_stroke*F18*dt)))</f>
        <v>0.00454356365532305</v>
      </c>
      <c r="O18" s="57" t="n">
        <f aca="false">IF(Warfarin!$B$2=1,EXP(LN(or_apx_ich)*D18)*(1-EXP(-r_ich*dt))/(1-(1-EXP(-r_ich*dt))+EXP(LN(or_apx_ich)*D18)*(1-EXP(-r_ich*dt))),(1-EXP(-r_ich*dt)))</f>
        <v>0.0020060281549299</v>
      </c>
      <c r="P18" s="57" t="n">
        <f aca="false">IF(Warfarin!$B$2=1,EXP(LN(or_apx_mb)*D18)*(1-EXP(-r_mb*dt))/(1-(1-EXP(-r_mb*dt))+EXP(LN(or_apx_mb)*D18)*(1-EXP(-r_mb*dt))),(1-EXP(-r_mb*dt)))</f>
        <v>0.00835410477572107</v>
      </c>
      <c r="Q18" s="57" t="n">
        <f aca="false">IF(Warfarin!$B$2=1,EXP(LN(or_apx_mi)*D18)*(1-EXP(-r_mi*dt))/(1-(1-EXP(-r_mi*dt))+EXP(LN(or_apx_mi)*D18)*(1-EXP(-r_mi*dt))),(1-EXP(-r_mi*dt)))</f>
        <v>0.00150338686144691</v>
      </c>
      <c r="R18" s="57" t="n">
        <f aca="false">(1-EXP(-r_tia*dt))</f>
        <v>0.0020060281549299</v>
      </c>
      <c r="S18" s="57" t="n">
        <f aca="false">(1-EXP(-r_minor*dt))</f>
        <v>0.0437937690785545</v>
      </c>
      <c r="T18" s="57" t="n">
        <f aca="false">M18*N18</f>
        <v>0.00335624532743917</v>
      </c>
      <c r="U18" s="57" t="n">
        <f aca="false">M18*O18</f>
        <v>0.00148181540580093</v>
      </c>
      <c r="V18" s="57" t="n">
        <f aca="false">M18*P18</f>
        <v>0.00617102064490777</v>
      </c>
      <c r="W18" s="57" t="n">
        <f aca="false">M18*Q18</f>
        <v>0.00111052370162202</v>
      </c>
      <c r="X18" s="57" t="n">
        <f aca="false">M18*R18</f>
        <v>0.00148181540580093</v>
      </c>
      <c r="Y18" s="57" t="n">
        <f aca="false">M18*S18</f>
        <v>0.0323496365388543</v>
      </c>
      <c r="Z18" s="57" t="n">
        <f aca="false">T18*f_stroke_fatal</f>
        <v>0.000795430142603084</v>
      </c>
      <c r="AA18" s="57" t="n">
        <f aca="false">T18*(1-f_stroke_fatal)*f_stroke_major</f>
        <v>0.000852751456550418</v>
      </c>
      <c r="AB18" s="57" t="n">
        <f aca="false">T18*(1-f_stroke_fatal)*(1-f_stroke_major)</f>
        <v>0.00170806372828567</v>
      </c>
      <c r="AC18" s="57" t="n">
        <f aca="false">U18*(1-f_bleed_fatal)</f>
        <v>0.00135734291171365</v>
      </c>
      <c r="AD18" s="57" t="n">
        <f aca="false">V18*(1-f_bleed_fatal)</f>
        <v>0.00565265491073552</v>
      </c>
      <c r="AE18" s="57" t="n">
        <f aca="false">W18*f_mi_fatal</f>
        <v>0.000134373367896265</v>
      </c>
      <c r="AF18" s="57" t="n">
        <f aca="false">W18-AE18</f>
        <v>0.000976150333725758</v>
      </c>
      <c r="AG18" s="57" t="n">
        <f aca="false">M18-T18-U18-V18-AE18</f>
        <v>0.727537805613793</v>
      </c>
      <c r="AH18" s="19" t="n">
        <f aca="false">Z18*c_stroke_fatal+AA18*c_stroke_major+AB18*c_stroke_minor+U18*c_ich+V18*c_major_bleed+AE18*c_mi_fatal+AF18*c_mi_nonfatal+X18*c_tia+Y18*c_minor_bleed</f>
        <v>224.616657936243</v>
      </c>
      <c r="AI18" s="57" t="n">
        <f aca="false">dt*(AF18*dec_mi+AD18*dec_major_bleed+Y18*dec_minor_bleed+X18*dec_tia)</f>
        <v>0.000303808826326497</v>
      </c>
      <c r="AJ18" s="57" t="n">
        <f aca="false">G18*L18+Z18+U18-AC18+V18-AD18+AE18</f>
        <v>0.0101577544378576</v>
      </c>
      <c r="AK18" s="57" t="n">
        <f aca="false">1-EXP(LN(1-E18)*hr_death_prior_stroke*dt)</f>
        <v>0.026226892117848</v>
      </c>
      <c r="AL18" s="57" t="n">
        <f aca="false">H18*(1-AK18)</f>
        <v>0.0356956550342373</v>
      </c>
      <c r="AM18" s="57" t="n">
        <f aca="false">(1-EXP(-r_stroke*F18*rr_stroke_prior*rr_asa_stroke*dt))</f>
        <v>0.0160991608560255</v>
      </c>
      <c r="AN18" s="57" t="n">
        <f aca="false">(1-EXP(-r_ich*rr_asa_ich*dt))</f>
        <v>0.00102357767802375</v>
      </c>
      <c r="AO18" s="57" t="n">
        <f aca="false">(1-EXP(-r_mb*rr_asa_mb*dt))</f>
        <v>0.00951809672747972</v>
      </c>
      <c r="AP18" s="57" t="n">
        <f aca="false">(1-EXP(-r_mi*rr_asa_mi*dt))</f>
        <v>0.00213413516393479</v>
      </c>
      <c r="AQ18" s="57" t="n">
        <f aca="false">(1-EXP(-r_tia*rr_asa_tia*dt))</f>
        <v>0.00312764565589152</v>
      </c>
      <c r="AR18" s="57" t="n">
        <f aca="false">(1-EXP(-r_minor*rr_asa_minor*dt))</f>
        <v>0.0278181950466747</v>
      </c>
      <c r="AS18" s="57" t="n">
        <f aca="false">AL18*AM18</f>
        <v>0.000574670092257382</v>
      </c>
      <c r="AT18" s="57" t="n">
        <f aca="false">AL18*AN18</f>
        <v>3.65372756954813E-005</v>
      </c>
      <c r="AU18" s="57" t="n">
        <f aca="false">AL18*AO18</f>
        <v>0.000339754697366619</v>
      </c>
      <c r="AV18" s="57" t="n">
        <f aca="false">AL18*AP18</f>
        <v>7.61793526082518E-005</v>
      </c>
      <c r="AW18" s="57" t="n">
        <f aca="false">AL18*AQ18</f>
        <v>0.000111643360402035</v>
      </c>
      <c r="AX18" s="57" t="n">
        <f aca="false">AL18*AR18</f>
        <v>0.000992988694061229</v>
      </c>
      <c r="AY18" s="57" t="n">
        <f aca="false">AS18*f_stroke_fatal_recur</f>
        <v>0.000213828994628049</v>
      </c>
      <c r="AZ18" s="57" t="n">
        <f aca="false">AS18*(1-f_stroke_fatal_recur)*f_stroke_major</f>
        <v>0.000120160085510568</v>
      </c>
      <c r="BA18" s="57" t="n">
        <f aca="false">AS18*(1-f_stroke_fatal_recur)*(1-f_stroke_major)</f>
        <v>0.000240681012118765</v>
      </c>
      <c r="BB18" s="57" t="n">
        <f aca="false">AT18*(1-f_bleed_fatal)</f>
        <v>3.34681445370608E-005</v>
      </c>
      <c r="BC18" s="57" t="n">
        <f aca="false">AU18*(1-f_bleed_fatal)</f>
        <v>0.000311215302787823</v>
      </c>
      <c r="BD18" s="57" t="n">
        <f aca="false">AV18*f_mi_fatal</f>
        <v>9.21770166559847E-006</v>
      </c>
      <c r="BE18" s="57" t="n">
        <f aca="false">AV18-BD18</f>
        <v>6.69616509426533E-005</v>
      </c>
      <c r="BF18" s="57" t="n">
        <f aca="false">AL18-AS18-AT18-AU18-BD18</f>
        <v>0.0347354752672522</v>
      </c>
      <c r="BG18" s="19" t="n">
        <f aca="false">AY18*c_stroke_fatal+AZ18*c_stroke_major+BA18*c_stroke_minor+AT18*c_ich+AU18*c_major_bleed+BD18*c_mi_fatal+BE18*c_mi_nonfatal+AW18*c_tia+AX18*c_minor_bleed</f>
        <v>24.6210274875686</v>
      </c>
      <c r="BH18" s="57" t="n">
        <f aca="false">dt*(BE18*dec_mi+BC18*dec_major_bleed+AX18*dec_minor_bleed+AW18*dec_tia)</f>
        <v>1.53525333421292E-005</v>
      </c>
      <c r="BI18" s="57" t="n">
        <f aca="false">H18*AK18+AY18+AT18-BB18+AU18-BC18+BD18</f>
        <v>0.00121605586667894</v>
      </c>
      <c r="BJ18" s="57" t="n">
        <f aca="false">1-EXP(LN(1-E18)*hr_death_prior_stroke*dt)</f>
        <v>0.026226892117848</v>
      </c>
      <c r="BK18" s="57" t="n">
        <f aca="false">I18*(1-BJ18)</f>
        <v>0.0106435942829369</v>
      </c>
      <c r="BL18" s="57" t="n">
        <f aca="false">(1-EXP(-r_stroke*F18*rr_stroke_prior*rr_asa_stroke*dt))</f>
        <v>0.0160991608560255</v>
      </c>
      <c r="BM18" s="57" t="n">
        <f aca="false">(1-EXP(-r_ich*rr_asa_ich*dt))</f>
        <v>0.00102357767802375</v>
      </c>
      <c r="BN18" s="57" t="n">
        <f aca="false">(1-EXP(-r_mb*rr_asa_mb*dt))</f>
        <v>0.00951809672747972</v>
      </c>
      <c r="BO18" s="57" t="n">
        <f aca="false">(1-EXP(-r_mi*rr_asa_mi*dt))</f>
        <v>0.00213413516393479</v>
      </c>
      <c r="BP18" s="57" t="n">
        <f aca="false">(1-EXP(-r_tia*rr_asa_tia*dt))</f>
        <v>0.00312764565589152</v>
      </c>
      <c r="BQ18" s="57" t="n">
        <f aca="false">(1-EXP(-r_minor*rr_asa_minor*dt))</f>
        <v>0.0278181950466747</v>
      </c>
      <c r="BR18" s="57" t="n">
        <f aca="false">BK18*BL18</f>
        <v>0.000171352936447274</v>
      </c>
      <c r="BS18" s="57" t="n">
        <f aca="false">BK18*BM18</f>
        <v>1.08945455219553E-005</v>
      </c>
      <c r="BT18" s="57" t="n">
        <f aca="false">BK18*BN18</f>
        <v>0.000101306759913043</v>
      </c>
      <c r="BU18" s="57" t="n">
        <f aca="false">BK18*BO18</f>
        <v>2.27148688298709E-005</v>
      </c>
      <c r="BV18" s="57" t="n">
        <f aca="false">BK18*BP18</f>
        <v>3.32893914220993E-005</v>
      </c>
      <c r="BW18" s="57" t="n">
        <f aca="false">BK18*BQ18</f>
        <v>0.00029608558176041</v>
      </c>
      <c r="BX18" s="57" t="n">
        <f aca="false">BR18*f_stroke_fatal_recur</f>
        <v>6.37587141226661E-005</v>
      </c>
      <c r="BY18" s="57" t="n">
        <f aca="false">BR18*(1-f_stroke_fatal_recur)*f_stroke_major</f>
        <v>3.58288760340944E-005</v>
      </c>
      <c r="BZ18" s="57" t="n">
        <f aca="false">BR18*(1-f_stroke_fatal_recur)*(1-f_stroke_major)</f>
        <v>7.17653462905134E-005</v>
      </c>
      <c r="CA18" s="57" t="n">
        <f aca="false">BS18*(1-f_bleed_fatal)</f>
        <v>9.9794036981111E-006</v>
      </c>
      <c r="CB18" s="57" t="n">
        <f aca="false">BT18*(1-f_bleed_fatal)</f>
        <v>9.27969920803477E-005</v>
      </c>
      <c r="CC18" s="57" t="n">
        <f aca="false">BU18*f_mi_fatal</f>
        <v>2.74849912841438E-006</v>
      </c>
      <c r="CD18" s="57" t="n">
        <f aca="false">BU18-CC18</f>
        <v>1.99663697014565E-005</v>
      </c>
      <c r="CE18" s="57" t="n">
        <f aca="false">BK18-BR18-BS18-BT18-CC18</f>
        <v>0.0103572915419262</v>
      </c>
      <c r="CF18" s="19" t="n">
        <f aca="false">BX18*c_stroke_fatal+BY18*c_stroke_major+BZ18*c_stroke_minor+BS18*c_ich+BT18*c_major_bleed+CC18*c_mi_fatal+CD18*c_mi_nonfatal+BV18*c_tia+BW18*c_minor_bleed</f>
        <v>7.34140407720119</v>
      </c>
      <c r="CG18" s="57" t="n">
        <f aca="false">dt*(CD18*dec_mi+CB18*dec_major_bleed+BW18*dec_minor_bleed+BV18*dec_tia)</f>
        <v>4.5777598408589E-006</v>
      </c>
      <c r="CH18" s="57" t="n">
        <f aca="false">I18*BJ18+BX18+BS18-CA18+BT18-CB18+CC18</f>
        <v>0.000362598900563707</v>
      </c>
      <c r="CI18" s="57" t="n">
        <f aca="false">1-EXP(LN(1-E18)*dt)</f>
        <v>0.0114886913269703</v>
      </c>
      <c r="CJ18" s="57" t="n">
        <f aca="false">J18*(1-CI18)</f>
        <v>0.0711138952318494</v>
      </c>
      <c r="CK18" s="57" t="n">
        <f aca="false">(1-EXP(-r_stroke*F18*rr_asa_stroke*dt))</f>
        <v>0.00735019974354256</v>
      </c>
      <c r="CL18" s="57" t="n">
        <f aca="false">(1-EXP(-r_ich*rr_asa_ich*dt))</f>
        <v>0.00102357767802375</v>
      </c>
      <c r="CM18" s="57" t="n">
        <f aca="false">(1-EXP(-r_mb*rr_asa_mb*dt))</f>
        <v>0.00951809672747972</v>
      </c>
      <c r="CN18" s="57" t="n">
        <f aca="false">(1-EXP(-r_mi*rr_asa_mi*dt))</f>
        <v>0.00213413516393479</v>
      </c>
      <c r="CO18" s="57" t="n">
        <f aca="false">(1-EXP(-r_tia*rr_asa_tia*dt))</f>
        <v>0.00312764565589152</v>
      </c>
      <c r="CP18" s="57" t="n">
        <f aca="false">(1-EXP(-r_minor*rr_asa_minor*dt))</f>
        <v>0.0278181950466747</v>
      </c>
      <c r="CQ18" s="57" t="n">
        <f aca="false">CJ18*CK18</f>
        <v>0.000522701334495452</v>
      </c>
      <c r="CR18" s="57" t="n">
        <f aca="false">CJ18*CL18</f>
        <v>7.27905957566403E-005</v>
      </c>
      <c r="CS18" s="57" t="n">
        <f aca="false">CJ18*CM18</f>
        <v>0.000676868933484601</v>
      </c>
      <c r="CT18" s="57" t="n">
        <f aca="false">CJ18*CN18</f>
        <v>0.000151766664458664</v>
      </c>
      <c r="CU18" s="57" t="n">
        <f aca="false">CJ18*CO18</f>
        <v>0.000222419065495418</v>
      </c>
      <c r="CV18" s="57" t="n">
        <f aca="false">CJ18*CP18</f>
        <v>0.00197826020808838</v>
      </c>
      <c r="CW18" s="57" t="n">
        <f aca="false">CQ18*f_stroke_fatal</f>
        <v>0.000123880216275422</v>
      </c>
      <c r="CX18" s="57" t="n">
        <f aca="false">CQ18*(1-f_stroke_fatal)*f_stroke_major</f>
        <v>0.00013280743236727</v>
      </c>
      <c r="CY18" s="57" t="n">
        <f aca="false">CQ18*(1-f_stroke_fatal)*(1-f_stroke_major)</f>
        <v>0.00026601368585276</v>
      </c>
      <c r="CZ18" s="57" t="n">
        <f aca="false">CR18*(1-f_bleed_fatal)</f>
        <v>6.66761857130826E-005</v>
      </c>
      <c r="DA18" s="57" t="n">
        <f aca="false">CS18*(1-f_bleed_fatal)</f>
        <v>0.000620011943071895</v>
      </c>
      <c r="DB18" s="57" t="n">
        <f aca="false">CT18*f_mi_fatal</f>
        <v>1.83637663994984E-005</v>
      </c>
      <c r="DC18" s="57" t="n">
        <f aca="false">CT18-DB18</f>
        <v>0.000133402898059166</v>
      </c>
      <c r="DD18" s="57" t="n">
        <f aca="false">CJ18-CQ18-CR18-CS18-DB18</f>
        <v>0.0698231706017132</v>
      </c>
      <c r="DE18" s="19" t="n">
        <f aca="false">CW18*c_stroke_fatal+CX18*c_stroke_major+CY18*c_stroke_minor+CR18*c_ich+CS18*c_major_bleed+DB18*c_mi_fatal+DC18*c_mi_nonfatal+CU18*c_tia+CV18*c_minor_bleed</f>
        <v>28.8886490401915</v>
      </c>
      <c r="DF18" s="57" t="n">
        <f aca="false">dt*(DC18*dec_mi+DA18*dec_major_bleed+CV18*dec_minor_bleed+CU18*dec_tia)</f>
        <v>3.05857518677968E-005</v>
      </c>
      <c r="DG18" s="57" t="n">
        <f aca="false">J18*CI18+CW18+CR18-CZ18+CS18-DA18+DB18</f>
        <v>0.00103171638945145</v>
      </c>
      <c r="DH18" s="57" t="n">
        <f aca="false">AG18</f>
        <v>0.727537805613793</v>
      </c>
      <c r="DI18" s="57" t="n">
        <f aca="false">AB18+AC18+BF18+BA18+BB18+BC18+CY18+CZ18</f>
        <v>0.038718936238261</v>
      </c>
      <c r="DJ18" s="57" t="n">
        <f aca="false">AA18+AZ18+BY18+CX18+CE18+BZ18+CA18+CB18</f>
        <v>0.0116733811344575</v>
      </c>
      <c r="DK18" s="57" t="n">
        <f aca="false">AD18+DD18+DA18</f>
        <v>0.0760958374555206</v>
      </c>
      <c r="DL18" s="57" t="n">
        <f aca="false">K18+AJ18+BI18+CH18+DG18</f>
        <v>0.145974039557968</v>
      </c>
      <c r="DM18" s="58" t="n">
        <f aca="false">SUM(DH18:DL18)</f>
        <v>1</v>
      </c>
      <c r="DN18" s="19" t="n">
        <f aca="false">dt*(G18*Warfarin!$H$2+(H18+I18+J18)*c_aspirin)</f>
        <v>72.9469119742997</v>
      </c>
      <c r="DO18" s="19" t="n">
        <f aca="false">dt*(H18*c_lt_minor_stroke+I18*c_lt_major_stroke)</f>
        <v>170.456191117533</v>
      </c>
      <c r="DP18" s="19" t="n">
        <f aca="false">AH18+BG18+CF18+DE18</f>
        <v>285.467738541204</v>
      </c>
      <c r="DQ18" s="19" t="n">
        <f aca="false">DN18+DO18+DP18</f>
        <v>528.870841633037</v>
      </c>
      <c r="DR18" s="57" t="n">
        <f aca="false">dt*(G18*(u_af-dec_per_year_over_70*MAX(B18-ref_age,0))+H18*(u_minor_stroke-dec_per_year_over_70*MAX(B18-ref_age,0))+I18*(u_major_stroke-dec_per_year_over_70*MAX(B18-ref_age,0))+J18*(u_af-dec_per_year_over_70*MAX(B18-ref_age,0)))-AI18-BH18-CG18-DF18</f>
        <v>0.173128567344553</v>
      </c>
      <c r="DS18" s="57" t="n">
        <f aca="false">dt*(G18+H18+I18+J18)</f>
        <v>0.216698521509146</v>
      </c>
      <c r="DT18" s="19" t="n">
        <f aca="false">DQ18*C18</f>
        <v>505.768173347792</v>
      </c>
      <c r="DU18" s="19" t="n">
        <f aca="false">DN18*C18</f>
        <v>69.7603715619535</v>
      </c>
      <c r="DV18" s="19" t="n">
        <f aca="false">DP18*C18</f>
        <v>272.997649531773</v>
      </c>
      <c r="DW18" s="19" t="n">
        <f aca="false">DO18*C18</f>
        <v>163.010152254065</v>
      </c>
      <c r="DX18" s="57" t="n">
        <f aca="false">DR18*C18</f>
        <v>0.165565791053633</v>
      </c>
      <c r="DY18" s="57" t="n">
        <f aca="false">DS18*C18</f>
        <v>0.207232478637751</v>
      </c>
      <c r="DZ18" s="57" t="n">
        <f aca="false">T18+AS18+BR18+CQ18</f>
        <v>0.00462496969063928</v>
      </c>
      <c r="EA18" s="57" t="n">
        <f aca="false">U18+AT18+BS18+CR18</f>
        <v>0.00160203782277501</v>
      </c>
      <c r="EB18" s="57" t="n">
        <f aca="false">V18+AU18+BT18+CS18</f>
        <v>0.00728895103567204</v>
      </c>
      <c r="EC18" s="57" t="n">
        <f aca="false">G18*dt*C18</f>
        <v>0.17865588285187</v>
      </c>
    </row>
    <row r="19" customFormat="false" ht="15" hidden="false" customHeight="false" outlineLevel="0" collapsed="false">
      <c r="A19" s="8" t="n">
        <v>13</v>
      </c>
      <c r="B19" s="54" t="n">
        <f aca="false">start_age+A19*dt</f>
        <v>73.25</v>
      </c>
      <c r="C19" s="16" t="n">
        <f aca="false">(1+disc_rate)^-(A19*dt)</f>
        <v>0.952764051854641</v>
      </c>
      <c r="D19" s="55" t="n">
        <f aca="false">IF(A19*dt&gt;=wane_start,(1-wane_decay)^(A19*dt-wane_start),1)</f>
        <v>1</v>
      </c>
      <c r="E19" s="25" t="n">
        <f aca="false">MIN(p_nonvasc_death*MIN(EXP(gomp_int+gomp_slope*INT(B19)),1)/qx_ref,0.999)</f>
        <v>0.0451688732868535</v>
      </c>
      <c r="F19" s="55" t="n">
        <f aca="false">rr_stroke_per_decade^((B19-ref_age)/10)</f>
        <v>1.14085292232035</v>
      </c>
      <c r="G19" s="57" t="n">
        <f aca="false">DH18</f>
        <v>0.727537805613793</v>
      </c>
      <c r="H19" s="57" t="n">
        <f aca="false">DI18</f>
        <v>0.038718936238261</v>
      </c>
      <c r="I19" s="57" t="n">
        <f aca="false">DJ18</f>
        <v>0.0116733811344575</v>
      </c>
      <c r="J19" s="57" t="n">
        <f aca="false">DK18</f>
        <v>0.0760958374555206</v>
      </c>
      <c r="K19" s="57" t="n">
        <f aca="false">DL18</f>
        <v>0.145974039557968</v>
      </c>
      <c r="L19" s="57" t="n">
        <f aca="false">1-EXP(LN(1-E19)*dt)</f>
        <v>0.0114886913269703</v>
      </c>
      <c r="M19" s="57" t="n">
        <f aca="false">G19*(1-L19)</f>
        <v>0.719179348336394</v>
      </c>
      <c r="N19" s="57" t="n">
        <f aca="false">IF(Warfarin!$B$2=1,EXP(LN(or_apx_stroke)*D19)*(1-EXP(-r_stroke*F19*dt))/(1-(1-EXP(-r_stroke*F19*dt))+EXP(LN(or_apx_stroke)*D19)*(1-EXP(-r_stroke*F19*dt))),(1-EXP(-r_stroke*F19*dt)))</f>
        <v>0.0045897478943826</v>
      </c>
      <c r="O19" s="57" t="n">
        <f aca="false">IF(Warfarin!$B$2=1,EXP(LN(or_apx_ich)*D19)*(1-EXP(-r_ich*dt))/(1-(1-EXP(-r_ich*dt))+EXP(LN(or_apx_ich)*D19)*(1-EXP(-r_ich*dt))),(1-EXP(-r_ich*dt)))</f>
        <v>0.0020060281549299</v>
      </c>
      <c r="P19" s="57" t="n">
        <f aca="false">IF(Warfarin!$B$2=1,EXP(LN(or_apx_mb)*D19)*(1-EXP(-r_mb*dt))/(1-(1-EXP(-r_mb*dt))+EXP(LN(or_apx_mb)*D19)*(1-EXP(-r_mb*dt))),(1-EXP(-r_mb*dt)))</f>
        <v>0.00835410477572107</v>
      </c>
      <c r="Q19" s="57" t="n">
        <f aca="false">IF(Warfarin!$B$2=1,EXP(LN(or_apx_mi)*D19)*(1-EXP(-r_mi*dt))/(1-(1-EXP(-r_mi*dt))+EXP(LN(or_apx_mi)*D19)*(1-EXP(-r_mi*dt))),(1-EXP(-r_mi*dt)))</f>
        <v>0.00150338686144691</v>
      </c>
      <c r="R19" s="57" t="n">
        <f aca="false">(1-EXP(-r_tia*dt))</f>
        <v>0.0020060281549299</v>
      </c>
      <c r="S19" s="57" t="n">
        <f aca="false">(1-EXP(-r_minor*dt))</f>
        <v>0.0437937690785545</v>
      </c>
      <c r="T19" s="57" t="n">
        <f aca="false">M19*N19</f>
        <v>0.00330085189971042</v>
      </c>
      <c r="U19" s="57" t="n">
        <f aca="false">M19*O19</f>
        <v>0.00144269402120694</v>
      </c>
      <c r="V19" s="57" t="n">
        <f aca="false">M19*P19</f>
        <v>0.00600809962853704</v>
      </c>
      <c r="W19" s="57" t="n">
        <f aca="false">M19*Q19</f>
        <v>0.00108120478331289</v>
      </c>
      <c r="X19" s="57" t="n">
        <f aca="false">M19*R19</f>
        <v>0.00144269402120694</v>
      </c>
      <c r="Y19" s="57" t="n">
        <f aca="false">M19*S19</f>
        <v>0.0314955743071094</v>
      </c>
      <c r="Z19" s="57" t="n">
        <f aca="false">T19*f_stroke_fatal</f>
        <v>0.000782301900231369</v>
      </c>
      <c r="AA19" s="57" t="n">
        <f aca="false">T19*(1-f_stroke_fatal)*f_stroke_major</f>
        <v>0.000838677149826523</v>
      </c>
      <c r="AB19" s="57" t="n">
        <f aca="false">T19*(1-f_stroke_fatal)*(1-f_stroke_major)</f>
        <v>0.00167987284965253</v>
      </c>
      <c r="AC19" s="57" t="n">
        <f aca="false">U19*(1-f_bleed_fatal)</f>
        <v>0.00132150772342556</v>
      </c>
      <c r="AD19" s="57" t="n">
        <f aca="false">V19*(1-f_bleed_fatal)</f>
        <v>0.00550341925973993</v>
      </c>
      <c r="AE19" s="57" t="n">
        <f aca="false">W19*f_mi_fatal</f>
        <v>0.000130825778780859</v>
      </c>
      <c r="AF19" s="57" t="n">
        <f aca="false">W19-AE19</f>
        <v>0.000950379004532026</v>
      </c>
      <c r="AG19" s="57" t="n">
        <f aca="false">M19-T19-U19-V19-AE19</f>
        <v>0.708296877008159</v>
      </c>
      <c r="AH19" s="19" t="n">
        <f aca="false">Z19*c_stroke_fatal+AA19*c_stroke_major+AB19*c_stroke_minor+U19*c_ich+V19*c_major_bleed+AE19*c_mi_fatal+AF19*c_mi_nonfatal+X19*c_tia+Y19*c_minor_bleed</f>
        <v>219.913763534582</v>
      </c>
      <c r="AI19" s="57" t="n">
        <f aca="false">dt*(AF19*dec_mi+AD19*dec_major_bleed+Y19*dec_minor_bleed+X19*dec_tia)</f>
        <v>0.000295787974409828</v>
      </c>
      <c r="AJ19" s="57" t="n">
        <f aca="false">G19*L19+Z19+U19-AC19+V19-AD19+AE19</f>
        <v>0.00989745162298889</v>
      </c>
      <c r="AK19" s="57" t="n">
        <f aca="false">1-EXP(LN(1-E19)*hr_death_prior_stroke*dt)</f>
        <v>0.026226892117848</v>
      </c>
      <c r="AL19" s="57" t="n">
        <f aca="false">H19*(1-AK19)</f>
        <v>0.0377034588746223</v>
      </c>
      <c r="AM19" s="57" t="n">
        <f aca="false">(1-EXP(-r_stroke*F19*rr_stroke_prior*rr_asa_stroke*dt))</f>
        <v>0.0162618410676013</v>
      </c>
      <c r="AN19" s="57" t="n">
        <f aca="false">(1-EXP(-r_ich*rr_asa_ich*dt))</f>
        <v>0.00102357767802375</v>
      </c>
      <c r="AO19" s="57" t="n">
        <f aca="false">(1-EXP(-r_mb*rr_asa_mb*dt))</f>
        <v>0.00951809672747972</v>
      </c>
      <c r="AP19" s="57" t="n">
        <f aca="false">(1-EXP(-r_mi*rr_asa_mi*dt))</f>
        <v>0.00213413516393479</v>
      </c>
      <c r="AQ19" s="57" t="n">
        <f aca="false">(1-EXP(-r_tia*rr_asa_tia*dt))</f>
        <v>0.00312764565589152</v>
      </c>
      <c r="AR19" s="57" t="n">
        <f aca="false">(1-EXP(-r_minor*rr_asa_minor*dt))</f>
        <v>0.0278181950466747</v>
      </c>
      <c r="AS19" s="57" t="n">
        <f aca="false">AL19*AM19</f>
        <v>0.000613127655917951</v>
      </c>
      <c r="AT19" s="57" t="n">
        <f aca="false">AL19*AN19</f>
        <v>3.85924188883497E-005</v>
      </c>
      <c r="AU19" s="57" t="n">
        <f aca="false">AL19*AO19</f>
        <v>0.000358865168529209</v>
      </c>
      <c r="AV19" s="57" t="n">
        <f aca="false">AL19*AP19</f>
        <v>8.04642773863008E-005</v>
      </c>
      <c r="AW19" s="57" t="n">
        <f aca="false">AL19*AQ19</f>
        <v>0.000117923059361297</v>
      </c>
      <c r="AX19" s="57" t="n">
        <f aca="false">AL19*AR19</f>
        <v>0.00104884217290852</v>
      </c>
      <c r="AY19" s="57" t="n">
        <f aca="false">AS19*f_stroke_fatal_recur</f>
        <v>0.00022813866949051</v>
      </c>
      <c r="AZ19" s="57" t="n">
        <f aca="false">AS19*(1-f_stroke_fatal_recur)*f_stroke_major</f>
        <v>0.000128201332480338</v>
      </c>
      <c r="BA19" s="57" t="n">
        <f aca="false">AS19*(1-f_stroke_fatal_recur)*(1-f_stroke_major)</f>
        <v>0.000256787653947103</v>
      </c>
      <c r="BB19" s="57" t="n">
        <f aca="false">AT19*(1-f_bleed_fatal)</f>
        <v>3.53506557017283E-005</v>
      </c>
      <c r="BC19" s="57" t="n">
        <f aca="false">AU19*(1-f_bleed_fatal)</f>
        <v>0.000328720494372755</v>
      </c>
      <c r="BD19" s="57" t="n">
        <f aca="false">AV19*f_mi_fatal</f>
        <v>9.73617756374239E-006</v>
      </c>
      <c r="BE19" s="57" t="n">
        <f aca="false">AV19-BD19</f>
        <v>7.07280998225584E-005</v>
      </c>
      <c r="BF19" s="57" t="n">
        <f aca="false">AL19-AS19-AT19-AU19-BD19</f>
        <v>0.0366831374537231</v>
      </c>
      <c r="BG19" s="19" t="n">
        <f aca="false">AY19*c_stroke_fatal+AZ19*c_stroke_major+BA19*c_stroke_minor+AT19*c_ich+AU19*c_major_bleed+BD19*c_mi_fatal+BE19*c_mi_nonfatal+AW19*c_tia+AX19*c_minor_bleed</f>
        <v>26.217390770346</v>
      </c>
      <c r="BH19" s="57" t="n">
        <f aca="false">dt*(BE19*dec_mi+BC19*dec_major_bleed+AX19*dec_minor_bleed+AW19*dec_tia)</f>
        <v>1.62160803305344E-005</v>
      </c>
      <c r="BI19" s="57" t="n">
        <f aca="false">H19*AK19+AY19+AT19-BB19+AU19-BC19+BD19</f>
        <v>0.00128673864803604</v>
      </c>
      <c r="BJ19" s="57" t="n">
        <f aca="false">1-EXP(LN(1-E19)*hr_death_prior_stroke*dt)</f>
        <v>0.026226892117848</v>
      </c>
      <c r="BK19" s="57" t="n">
        <f aca="false">I19*(1-BJ19)</f>
        <v>0.0113672246267936</v>
      </c>
      <c r="BL19" s="57" t="n">
        <f aca="false">(1-EXP(-r_stroke*F19*rr_stroke_prior*rr_asa_stroke*dt))</f>
        <v>0.0162618410676013</v>
      </c>
      <c r="BM19" s="57" t="n">
        <f aca="false">(1-EXP(-r_ich*rr_asa_ich*dt))</f>
        <v>0.00102357767802375</v>
      </c>
      <c r="BN19" s="57" t="n">
        <f aca="false">(1-EXP(-r_mb*rr_asa_mb*dt))</f>
        <v>0.00951809672747972</v>
      </c>
      <c r="BO19" s="57" t="n">
        <f aca="false">(1-EXP(-r_mi*rr_asa_mi*dt))</f>
        <v>0.00213413516393479</v>
      </c>
      <c r="BP19" s="57" t="n">
        <f aca="false">(1-EXP(-r_tia*rr_asa_tia*dt))</f>
        <v>0.00312764565589152</v>
      </c>
      <c r="BQ19" s="57" t="n">
        <f aca="false">(1-EXP(-r_minor*rr_asa_minor*dt))</f>
        <v>0.0278181950466747</v>
      </c>
      <c r="BR19" s="57" t="n">
        <f aca="false">BK19*BL19</f>
        <v>0.000184852000260641</v>
      </c>
      <c r="BS19" s="57" t="n">
        <f aca="false">BK19*BM19</f>
        <v>1.16352373890677E-005</v>
      </c>
      <c r="BT19" s="57" t="n">
        <f aca="false">BK19*BN19</f>
        <v>0.000108194343520811</v>
      </c>
      <c r="BU19" s="57" t="n">
        <f aca="false">BK19*BO19</f>
        <v>2.42591937923857E-005</v>
      </c>
      <c r="BV19" s="57" t="n">
        <f aca="false">BK19*BP19</f>
        <v>3.5552650723534E-005</v>
      </c>
      <c r="BW19" s="57" t="n">
        <f aca="false">BK19*BQ19</f>
        <v>0.000316215671807508</v>
      </c>
      <c r="BX19" s="57" t="n">
        <f aca="false">BR19*f_stroke_fatal_recur</f>
        <v>6.87815807769818E-005</v>
      </c>
      <c r="BY19" s="57" t="n">
        <f aca="false">BR19*(1-f_stroke_fatal_recur)*f_stroke_major</f>
        <v>3.86514496880584E-005</v>
      </c>
      <c r="BZ19" s="57" t="n">
        <f aca="false">BR19*(1-f_stroke_fatal_recur)*(1-f_stroke_major)</f>
        <v>7.74189697956005E-005</v>
      </c>
      <c r="CA19" s="57" t="n">
        <f aca="false">BS19*(1-f_bleed_fatal)</f>
        <v>1.0657877448386E-005</v>
      </c>
      <c r="CB19" s="57" t="n">
        <f aca="false">BT19*(1-f_bleed_fatal)</f>
        <v>9.91060186650627E-005</v>
      </c>
      <c r="CC19" s="57" t="n">
        <f aca="false">BU19*f_mi_fatal</f>
        <v>2.93536244887867E-006</v>
      </c>
      <c r="CD19" s="57" t="n">
        <f aca="false">BU19-CC19</f>
        <v>2.1323831343507E-005</v>
      </c>
      <c r="CE19" s="57" t="n">
        <f aca="false">BK19-BR19-BS19-BT19-CC19</f>
        <v>0.0110596076831742</v>
      </c>
      <c r="CF19" s="19" t="n">
        <f aca="false">BX19*c_stroke_fatal+BY19*c_stroke_major+BZ19*c_stroke_minor+BS19*c_ich+BT19*c_major_bleed+CC19*c_mi_fatal+CD19*c_mi_nonfatal+BV19*c_tia+BW19*c_minor_bleed</f>
        <v>7.90428726992842</v>
      </c>
      <c r="CG19" s="57" t="n">
        <f aca="false">dt*(CD19*dec_mi+CB19*dec_major_bleed+BW19*dec_minor_bleed+BV19*dec_tia)</f>
        <v>4.88898984828644E-006</v>
      </c>
      <c r="CH19" s="57" t="n">
        <f aca="false">I19*BJ19+BX19+BS19-CA19+BT19-CB19+CC19</f>
        <v>0.00038793913568623</v>
      </c>
      <c r="CI19" s="57" t="n">
        <f aca="false">1-EXP(LN(1-E19)*dt)</f>
        <v>0.0114886913269703</v>
      </c>
      <c r="CJ19" s="57" t="n">
        <f aca="false">J19*(1-CI19)</f>
        <v>0.0752215958677268</v>
      </c>
      <c r="CK19" s="57" t="n">
        <f aca="false">(1-EXP(-r_stroke*F19*rr_asa_stroke*dt))</f>
        <v>0.00742480619111285</v>
      </c>
      <c r="CL19" s="57" t="n">
        <f aca="false">(1-EXP(-r_ich*rr_asa_ich*dt))</f>
        <v>0.00102357767802375</v>
      </c>
      <c r="CM19" s="57" t="n">
        <f aca="false">(1-EXP(-r_mb*rr_asa_mb*dt))</f>
        <v>0.00951809672747972</v>
      </c>
      <c r="CN19" s="57" t="n">
        <f aca="false">(1-EXP(-r_mi*rr_asa_mi*dt))</f>
        <v>0.00213413516393479</v>
      </c>
      <c r="CO19" s="57" t="n">
        <f aca="false">(1-EXP(-r_tia*rr_asa_tia*dt))</f>
        <v>0.00312764565589152</v>
      </c>
      <c r="CP19" s="57" t="n">
        <f aca="false">(1-EXP(-r_minor*rr_asa_minor*dt))</f>
        <v>0.0278181950466747</v>
      </c>
      <c r="CQ19" s="57" t="n">
        <f aca="false">CJ19*CK19</f>
        <v>0.000558505770704087</v>
      </c>
      <c r="CR19" s="57" t="n">
        <f aca="false">CJ19*CL19</f>
        <v>7.69951464355284E-005</v>
      </c>
      <c r="CS19" s="57" t="n">
        <f aca="false">CJ19*CM19</f>
        <v>0.000715966425464413</v>
      </c>
      <c r="CT19" s="57" t="n">
        <f aca="false">CJ19*CN19</f>
        <v>0.000160533052828608</v>
      </c>
      <c r="CU19" s="57" t="n">
        <f aca="false">CJ19*CO19</f>
        <v>0.000235266497544923</v>
      </c>
      <c r="CV19" s="57" t="n">
        <f aca="false">CJ19*CP19</f>
        <v>0.00209252902557057</v>
      </c>
      <c r="CW19" s="57" t="n">
        <f aca="false">CQ19*f_stroke_fatal</f>
        <v>0.000132365867656869</v>
      </c>
      <c r="CX19" s="57" t="n">
        <f aca="false">CQ19*(1-f_stroke_fatal)*f_stroke_major</f>
        <v>0.000141904587714724</v>
      </c>
      <c r="CY19" s="57" t="n">
        <f aca="false">CQ19*(1-f_stroke_fatal)*(1-f_stroke_major)</f>
        <v>0.000284235315332495</v>
      </c>
      <c r="CZ19" s="57" t="n">
        <f aca="false">CR19*(1-f_bleed_fatal)</f>
        <v>7.05275541349441E-005</v>
      </c>
      <c r="DA19" s="57" t="n">
        <f aca="false">CS19*(1-f_bleed_fatal)</f>
        <v>0.000655825245725402</v>
      </c>
      <c r="DB19" s="57" t="n">
        <f aca="false">CT19*f_mi_fatal</f>
        <v>1.94244993922615E-005</v>
      </c>
      <c r="DC19" s="57" t="n">
        <f aca="false">CT19-DB19</f>
        <v>0.000141108553436346</v>
      </c>
      <c r="DD19" s="57" t="n">
        <f aca="false">CJ19-CQ19-CR19-CS19-DB19</f>
        <v>0.0738507040257305</v>
      </c>
      <c r="DE19" s="19" t="n">
        <f aca="false">CW19*c_stroke_fatal+CX19*c_stroke_major+CY19*c_stroke_minor+CR19*c_ich+CS19*c_major_bleed+DB19*c_mi_fatal+DC19*c_mi_nonfatal+CU19*c_tia+CV19*c_minor_bleed</f>
        <v>30.7646739345432</v>
      </c>
      <c r="DF19" s="57" t="n">
        <f aca="false">dt*(DC19*dec_mi+DA19*dec_major_bleed+CV19*dec_minor_bleed+CU19*dec_tia)</f>
        <v>3.23524545914562E-005</v>
      </c>
      <c r="DG19" s="57" t="n">
        <f aca="false">J19*CI19+CW19+CR19-CZ19+CS19-DA19+DB19</f>
        <v>0.00109264072688251</v>
      </c>
      <c r="DH19" s="57" t="n">
        <f aca="false">AG19</f>
        <v>0.708296877008159</v>
      </c>
      <c r="DI19" s="57" t="n">
        <f aca="false">AB19+AC19+BF19+BA19+BB19+BC19+CY19+CZ19</f>
        <v>0.0406601397002902</v>
      </c>
      <c r="DJ19" s="57" t="n">
        <f aca="false">AA19+AZ19+BY19+CX19+CE19+BZ19+CA19+CB19</f>
        <v>0.0123942250687929</v>
      </c>
      <c r="DK19" s="57" t="n">
        <f aca="false">AD19+DD19+DA19</f>
        <v>0.0800099485311959</v>
      </c>
      <c r="DL19" s="57" t="n">
        <f aca="false">K19+AJ19+BI19+CH19+DG19</f>
        <v>0.158638809691562</v>
      </c>
      <c r="DM19" s="58" t="n">
        <f aca="false">SUM(DH19:DL19)</f>
        <v>1</v>
      </c>
      <c r="DN19" s="19" t="n">
        <f aca="false">dt*(G19*Warfarin!$H$2+(H19+I19+J19)*c_aspirin)</f>
        <v>71.1197747783643</v>
      </c>
      <c r="DO19" s="19" t="n">
        <f aca="false">dt*(H19*c_lt_minor_stroke+I19*c_lt_major_stroke)</f>
        <v>180.881715281659</v>
      </c>
      <c r="DP19" s="19" t="n">
        <f aca="false">AH19+BG19+CF19+DE19</f>
        <v>284.8001155094</v>
      </c>
      <c r="DQ19" s="19" t="n">
        <f aca="false">DN19+DO19+DP19</f>
        <v>536.801605569424</v>
      </c>
      <c r="DR19" s="57" t="n">
        <f aca="false">dt*(G19*(u_af-dec_per_year_over_70*MAX(B19-ref_age,0))+H19*(u_minor_stroke-dec_per_year_over_70*MAX(B19-ref_age,0))+I19*(u_major_stroke-dec_per_year_over_70*MAX(B19-ref_age,0))+J19*(u_af-dec_per_year_over_70*MAX(B19-ref_age,0)))-AI19-BH19-CG19-DF19</f>
        <v>0.170415779541431</v>
      </c>
      <c r="DS19" s="57" t="n">
        <f aca="false">dt*(G19+H19+I19+J19)</f>
        <v>0.213506490110508</v>
      </c>
      <c r="DT19" s="19" t="n">
        <f aca="false">DQ19*C19</f>
        <v>511.445272764401</v>
      </c>
      <c r="DU19" s="19" t="n">
        <f aca="false">DN19*C19</f>
        <v>67.7603647848239</v>
      </c>
      <c r="DV19" s="19" t="n">
        <f aca="false">DP19*C19</f>
        <v>271.347312021406</v>
      </c>
      <c r="DW19" s="19" t="n">
        <f aca="false">DO19*C19</f>
        <v>172.337595958171</v>
      </c>
      <c r="DX19" s="57" t="n">
        <f aca="false">DR19*C19</f>
        <v>0.162366028615861</v>
      </c>
      <c r="DY19" s="57" t="n">
        <f aca="false">DS19*C19</f>
        <v>0.20342130861495</v>
      </c>
      <c r="DZ19" s="57" t="n">
        <f aca="false">T19+AS19+BR19+CQ19</f>
        <v>0.0046573373265931</v>
      </c>
      <c r="EA19" s="57" t="n">
        <f aca="false">U19+AT19+BS19+CR19</f>
        <v>0.00156991682391989</v>
      </c>
      <c r="EB19" s="57" t="n">
        <f aca="false">V19+AU19+BT19+CS19</f>
        <v>0.00719112556605147</v>
      </c>
      <c r="EC19" s="57" t="n">
        <f aca="false">G19*dt*C19</f>
        <v>0.173292966888508</v>
      </c>
    </row>
    <row r="20" customFormat="false" ht="15" hidden="false" customHeight="false" outlineLevel="0" collapsed="false">
      <c r="A20" s="8" t="n">
        <v>14</v>
      </c>
      <c r="B20" s="54" t="n">
        <f aca="false">start_age+A20*dt</f>
        <v>73.5</v>
      </c>
      <c r="C20" s="16" t="n">
        <f aca="false">(1+disc_rate)^-(A20*dt)</f>
        <v>0.949224309980524</v>
      </c>
      <c r="D20" s="55" t="n">
        <f aca="false">IF(A20*dt&gt;=wane_start,(1-wane_decay)^(A20*dt-wane_start),1)</f>
        <v>1</v>
      </c>
      <c r="E20" s="25" t="n">
        <f aca="false">MIN(p_nonvasc_death*MIN(EXP(gomp_int+gomp_slope*INT(B20)),1)/qx_ref,0.999)</f>
        <v>0.0451688732868535</v>
      </c>
      <c r="F20" s="55" t="n">
        <f aca="false">rr_stroke_per_decade^((B20-ref_age)/10)</f>
        <v>1.15247613421855</v>
      </c>
      <c r="G20" s="57" t="n">
        <f aca="false">DH19</f>
        <v>0.708296877008159</v>
      </c>
      <c r="H20" s="57" t="n">
        <f aca="false">DI19</f>
        <v>0.0406601397002902</v>
      </c>
      <c r="I20" s="57" t="n">
        <f aca="false">DJ19</f>
        <v>0.0123942250687929</v>
      </c>
      <c r="J20" s="57" t="n">
        <f aca="false">DK19</f>
        <v>0.0800099485311959</v>
      </c>
      <c r="K20" s="57" t="n">
        <f aca="false">DL19</f>
        <v>0.158638809691562</v>
      </c>
      <c r="L20" s="57" t="n">
        <f aca="false">1-EXP(LN(1-E20)*dt)</f>
        <v>0.0114886913269703</v>
      </c>
      <c r="M20" s="57" t="n">
        <f aca="false">G20*(1-L20)</f>
        <v>0.700159472820356</v>
      </c>
      <c r="N20" s="57" t="n">
        <f aca="false">IF(Warfarin!$B$2=1,EXP(LN(or_apx_stroke)*D20)*(1-EXP(-r_stroke*F20*dt))/(1-(1-EXP(-r_stroke*F20*dt))+EXP(LN(or_apx_stroke)*D20)*(1-EXP(-r_stroke*F20*dt))),(1-EXP(-r_stroke*F20*dt)))</f>
        <v>0.00463640049108416</v>
      </c>
      <c r="O20" s="57" t="n">
        <f aca="false">IF(Warfarin!$B$2=1,EXP(LN(or_apx_ich)*D20)*(1-EXP(-r_ich*dt))/(1-(1-EXP(-r_ich*dt))+EXP(LN(or_apx_ich)*D20)*(1-EXP(-r_ich*dt))),(1-EXP(-r_ich*dt)))</f>
        <v>0.0020060281549299</v>
      </c>
      <c r="P20" s="57" t="n">
        <f aca="false">IF(Warfarin!$B$2=1,EXP(LN(or_apx_mb)*D20)*(1-EXP(-r_mb*dt))/(1-(1-EXP(-r_mb*dt))+EXP(LN(or_apx_mb)*D20)*(1-EXP(-r_mb*dt))),(1-EXP(-r_mb*dt)))</f>
        <v>0.00835410477572107</v>
      </c>
      <c r="Q20" s="57" t="n">
        <f aca="false">IF(Warfarin!$B$2=1,EXP(LN(or_apx_mi)*D20)*(1-EXP(-r_mi*dt))/(1-(1-EXP(-r_mi*dt))+EXP(LN(or_apx_mi)*D20)*(1-EXP(-r_mi*dt))),(1-EXP(-r_mi*dt)))</f>
        <v>0.00150338686144691</v>
      </c>
      <c r="R20" s="57" t="n">
        <f aca="false">(1-EXP(-r_tia*dt))</f>
        <v>0.0020060281549299</v>
      </c>
      <c r="S20" s="57" t="n">
        <f aca="false">(1-EXP(-r_minor*dt))</f>
        <v>0.0437937690785545</v>
      </c>
      <c r="T20" s="57" t="n">
        <f aca="false">M20*N20</f>
        <v>0.00324621972362152</v>
      </c>
      <c r="U20" s="57" t="n">
        <f aca="false">M20*O20</f>
        <v>0.00140453961541851</v>
      </c>
      <c r="V20" s="57" t="n">
        <f aca="false">M20*P20</f>
        <v>0.00584920559565488</v>
      </c>
      <c r="W20" s="57" t="n">
        <f aca="false">M20*Q20</f>
        <v>0.00105261055235572</v>
      </c>
      <c r="X20" s="57" t="n">
        <f aca="false">M20*R20</f>
        <v>0.00140453961541851</v>
      </c>
      <c r="Y20" s="57" t="n">
        <f aca="false">M20*S20</f>
        <v>0.0306626222708571</v>
      </c>
      <c r="Z20" s="57" t="n">
        <f aca="false">T20*f_stroke_fatal</f>
        <v>0.000769354074498301</v>
      </c>
      <c r="AA20" s="57" t="n">
        <f aca="false">T20*(1-f_stroke_fatal)*f_stroke_major</f>
        <v>0.000824796261158033</v>
      </c>
      <c r="AB20" s="57" t="n">
        <f aca="false">T20*(1-f_stroke_fatal)*(1-f_stroke_major)</f>
        <v>0.00165206938796519</v>
      </c>
      <c r="AC20" s="57" t="n">
        <f aca="false">U20*(1-f_bleed_fatal)</f>
        <v>0.00128655828772335</v>
      </c>
      <c r="AD20" s="57" t="n">
        <f aca="false">V20*(1-f_bleed_fatal)</f>
        <v>0.00535787232561987</v>
      </c>
      <c r="AE20" s="57" t="n">
        <f aca="false">W20*f_mi_fatal</f>
        <v>0.000127365876835042</v>
      </c>
      <c r="AF20" s="57" t="n">
        <f aca="false">W20-AE20</f>
        <v>0.000925244675520675</v>
      </c>
      <c r="AG20" s="57" t="n">
        <f aca="false">M20-T20-U20-V20-AE20</f>
        <v>0.689532142008826</v>
      </c>
      <c r="AH20" s="19" t="n">
        <f aca="false">Z20*c_stroke_fatal+AA20*c_stroke_major+AB20*c_stroke_minor+U20*c_ich+V20*c_major_bleed+AE20*c_mi_fatal+AF20*c_mi_nonfatal+X20*c_tia+Y20*c_minor_bleed</f>
        <v>215.304650879371</v>
      </c>
      <c r="AI20" s="57" t="n">
        <f aca="false">dt*(AF20*dec_mi+AD20*dec_major_bleed+Y20*dec_minor_bleed+X20*dec_tia)</f>
        <v>0.00028796537707659</v>
      </c>
      <c r="AJ20" s="57" t="n">
        <f aca="false">G20*L20+Z20+U20-AC20+V20-AD20+AE20</f>
        <v>0.00964343873686728</v>
      </c>
      <c r="AK20" s="57" t="n">
        <f aca="false">1-EXP(LN(1-E20)*hr_death_prior_stroke*dt)</f>
        <v>0.026226892117848</v>
      </c>
      <c r="AL20" s="57" t="n">
        <f aca="false">H20*(1-AK20)</f>
        <v>0.039593750602874</v>
      </c>
      <c r="AM20" s="57" t="n">
        <f aca="false">(1-EXP(-r_stroke*F20*rr_stroke_prior*rr_asa_stroke*dt))</f>
        <v>0.0164261513836976</v>
      </c>
      <c r="AN20" s="57" t="n">
        <f aca="false">(1-EXP(-r_ich*rr_asa_ich*dt))</f>
        <v>0.00102357767802375</v>
      </c>
      <c r="AO20" s="57" t="n">
        <f aca="false">(1-EXP(-r_mb*rr_asa_mb*dt))</f>
        <v>0.00951809672747972</v>
      </c>
      <c r="AP20" s="57" t="n">
        <f aca="false">(1-EXP(-r_mi*rr_asa_mi*dt))</f>
        <v>0.00213413516393479</v>
      </c>
      <c r="AQ20" s="57" t="n">
        <f aca="false">(1-EXP(-r_tia*rr_asa_tia*dt))</f>
        <v>0.00312764565589152</v>
      </c>
      <c r="AR20" s="57" t="n">
        <f aca="false">(1-EXP(-r_minor*rr_asa_minor*dt))</f>
        <v>0.0278181950466747</v>
      </c>
      <c r="AS20" s="57" t="n">
        <f aca="false">AL20*AM20</f>
        <v>0.000650372941251178</v>
      </c>
      <c r="AT20" s="57" t="n">
        <f aca="false">AL20*AN20</f>
        <v>4.05272793063411E-005</v>
      </c>
      <c r="AU20" s="57" t="n">
        <f aca="false">AL20*AO20</f>
        <v>0.000376857148041863</v>
      </c>
      <c r="AV20" s="57" t="n">
        <f aca="false">AL20*AP20</f>
        <v>8.44984154336578E-005</v>
      </c>
      <c r="AW20" s="57" t="n">
        <f aca="false">AL20*AQ20</f>
        <v>0.000123835222073531</v>
      </c>
      <c r="AX20" s="57" t="n">
        <f aca="false">AL20*AR20</f>
        <v>0.00110142667690014</v>
      </c>
      <c r="AY20" s="57" t="n">
        <f aca="false">AS20*f_stroke_fatal_recur</f>
        <v>0.000241997267710151</v>
      </c>
      <c r="AZ20" s="57" t="n">
        <f aca="false">AS20*(1-f_stroke_fatal_recur)*f_stroke_major</f>
        <v>0.000135989099289162</v>
      </c>
      <c r="BA20" s="57" t="n">
        <f aca="false">AS20*(1-f_stroke_fatal_recur)*(1-f_stroke_major)</f>
        <v>0.000272386574251865</v>
      </c>
      <c r="BB20" s="57" t="n">
        <f aca="false">AT20*(1-f_bleed_fatal)</f>
        <v>3.71229878446085E-005</v>
      </c>
      <c r="BC20" s="57" t="n">
        <f aca="false">AU20*(1-f_bleed_fatal)</f>
        <v>0.000345201147606347</v>
      </c>
      <c r="BD20" s="57" t="n">
        <f aca="false">AV20*f_mi_fatal</f>
        <v>1.02243082674726E-005</v>
      </c>
      <c r="BE20" s="57" t="n">
        <f aca="false">AV20-BD20</f>
        <v>7.42741071661852E-005</v>
      </c>
      <c r="BF20" s="57" t="n">
        <f aca="false">AL20-AS20-AT20-AU20-BD20</f>
        <v>0.0385157689260072</v>
      </c>
      <c r="BG20" s="19" t="n">
        <f aca="false">AY20*c_stroke_fatal+AZ20*c_stroke_major+BA20*c_stroke_minor+AT20*c_ich+AU20*c_major_bleed+BD20*c_mi_fatal+BE20*c_mi_nonfatal+AW20*c_tia+AX20*c_minor_bleed</f>
        <v>27.7561313783852</v>
      </c>
      <c r="BH20" s="57" t="n">
        <f aca="false">dt*(BE20*dec_mi+BC20*dec_major_bleed+AX20*dec_minor_bleed+AW20*dec_tia)</f>
        <v>1.70290859122082E-005</v>
      </c>
      <c r="BI20" s="57" t="n">
        <f aca="false">H20*AK20+AY20+AT20-BB20+AU20-BC20+BD20</f>
        <v>0.00135367096529101</v>
      </c>
      <c r="BJ20" s="57" t="n">
        <f aca="false">1-EXP(LN(1-E20)*hr_death_prior_stroke*dt)</f>
        <v>0.026226892117848</v>
      </c>
      <c r="BK20" s="57" t="n">
        <f aca="false">I20*(1-BJ20)</f>
        <v>0.0120691630650293</v>
      </c>
      <c r="BL20" s="57" t="n">
        <f aca="false">(1-EXP(-r_stroke*F20*rr_stroke_prior*rr_asa_stroke*dt))</f>
        <v>0.0164261513836976</v>
      </c>
      <c r="BM20" s="57" t="n">
        <f aca="false">(1-EXP(-r_ich*rr_asa_ich*dt))</f>
        <v>0.00102357767802375</v>
      </c>
      <c r="BN20" s="57" t="n">
        <f aca="false">(1-EXP(-r_mb*rr_asa_mb*dt))</f>
        <v>0.00951809672747972</v>
      </c>
      <c r="BO20" s="57" t="n">
        <f aca="false">(1-EXP(-r_mi*rr_asa_mi*dt))</f>
        <v>0.00213413516393479</v>
      </c>
      <c r="BP20" s="57" t="n">
        <f aca="false">(1-EXP(-r_tia*rr_asa_tia*dt))</f>
        <v>0.00312764565589152</v>
      </c>
      <c r="BQ20" s="57" t="n">
        <f aca="false">(1-EXP(-r_minor*rr_asa_minor*dt))</f>
        <v>0.0278181950466747</v>
      </c>
      <c r="BR20" s="57" t="n">
        <f aca="false">BK20*BL20</f>
        <v>0.000198249899580703</v>
      </c>
      <c r="BS20" s="57" t="n">
        <f aca="false">BK20*BM20</f>
        <v>1.23537259057927E-005</v>
      </c>
      <c r="BT20" s="57" t="n">
        <f aca="false">BK20*BN20</f>
        <v>0.000114875461472675</v>
      </c>
      <c r="BU20" s="57" t="n">
        <f aca="false">BK20*BO20</f>
        <v>2.57572252963421E-005</v>
      </c>
      <c r="BV20" s="57" t="n">
        <f aca="false">BK20*BP20</f>
        <v>3.77480654305853E-005</v>
      </c>
      <c r="BW20" s="57" t="n">
        <f aca="false">BK20*BQ20</f>
        <v>0.000335742332193108</v>
      </c>
      <c r="BX20" s="57" t="n">
        <f aca="false">BR20*f_stroke_fatal_recur</f>
        <v>7.3766805134984E-005</v>
      </c>
      <c r="BY20" s="57" t="n">
        <f aca="false">BR20*(1-f_stroke_fatal_recur)*f_stroke_major</f>
        <v>4.14528704504246E-005</v>
      </c>
      <c r="BZ20" s="57" t="n">
        <f aca="false">BR20*(1-f_stroke_fatal_recur)*(1-f_stroke_major)</f>
        <v>8.30302239952949E-005</v>
      </c>
      <c r="CA20" s="57" t="n">
        <f aca="false">BS20*(1-f_bleed_fatal)</f>
        <v>1.13160129297061E-005</v>
      </c>
      <c r="CB20" s="57" t="n">
        <f aca="false">BT20*(1-f_bleed_fatal)</f>
        <v>0.00010522592270897</v>
      </c>
      <c r="CC20" s="57" t="n">
        <f aca="false">BU20*f_mi_fatal</f>
        <v>3.11662426085739E-006</v>
      </c>
      <c r="CD20" s="57" t="n">
        <f aca="false">BU20-CC20</f>
        <v>2.26406010354847E-005</v>
      </c>
      <c r="CE20" s="57" t="n">
        <f aca="false">BK20-BR20-BS20-BT20-CC20</f>
        <v>0.0117405673538093</v>
      </c>
      <c r="CF20" s="19" t="n">
        <f aca="false">BX20*c_stroke_fatal+BY20*c_stroke_major+BZ20*c_stroke_minor+BS20*c_ich+BT20*c_major_bleed+CC20*c_mi_fatal+CD20*c_mi_nonfatal+BV20*c_tia+BW20*c_minor_bleed</f>
        <v>8.46076137166432</v>
      </c>
      <c r="CG20" s="57" t="n">
        <f aca="false">dt*(CD20*dec_mi+CB20*dec_major_bleed+BW20*dec_minor_bleed+BV20*dec_tia)</f>
        <v>5.19089026913037E-006</v>
      </c>
      <c r="CH20" s="57" t="n">
        <f aca="false">I20*BJ20+BX20+BS20-CA20+BT20-CB20+CC20</f>
        <v>0.00041263268489919</v>
      </c>
      <c r="CI20" s="57" t="n">
        <f aca="false">1-EXP(LN(1-E20)*dt)</f>
        <v>0.0114886913269703</v>
      </c>
      <c r="CJ20" s="57" t="n">
        <f aca="false">J20*(1-CI20)</f>
        <v>0.0790907389294342</v>
      </c>
      <c r="CK20" s="57" t="n">
        <f aca="false">(1-EXP(-r_stroke*F20*rr_asa_stroke*dt))</f>
        <v>0.00750016704908274</v>
      </c>
      <c r="CL20" s="57" t="n">
        <f aca="false">(1-EXP(-r_ich*rr_asa_ich*dt))</f>
        <v>0.00102357767802375</v>
      </c>
      <c r="CM20" s="57" t="n">
        <f aca="false">(1-EXP(-r_mb*rr_asa_mb*dt))</f>
        <v>0.00951809672747972</v>
      </c>
      <c r="CN20" s="57" t="n">
        <f aca="false">(1-EXP(-r_mi*rr_asa_mi*dt))</f>
        <v>0.00213413516393479</v>
      </c>
      <c r="CO20" s="57" t="n">
        <f aca="false">(1-EXP(-r_tia*rr_asa_tia*dt))</f>
        <v>0.00312764565589152</v>
      </c>
      <c r="CP20" s="57" t="n">
        <f aca="false">(1-EXP(-r_minor*rr_asa_minor*dt))</f>
        <v>0.0278181950466747</v>
      </c>
      <c r="CQ20" s="57" t="n">
        <f aca="false">CJ20*CK20</f>
        <v>0.000593193754006148</v>
      </c>
      <c r="CR20" s="57" t="n">
        <f aca="false">CJ20*CL20</f>
        <v>8.09555149065725E-005</v>
      </c>
      <c r="CS20" s="57" t="n">
        <f aca="false">CJ20*CM20</f>
        <v>0.0007527933033782</v>
      </c>
      <c r="CT20" s="57" t="n">
        <f aca="false">CJ20*CN20</f>
        <v>0.000168790327090892</v>
      </c>
      <c r="CU20" s="57" t="n">
        <f aca="false">CJ20*CO20</f>
        <v>0.000247367806033895</v>
      </c>
      <c r="CV20" s="57" t="n">
        <f aca="false">CJ20*CP20</f>
        <v>0.00220016160192463</v>
      </c>
      <c r="CW20" s="57" t="n">
        <f aca="false">CQ20*f_stroke_fatal</f>
        <v>0.000140586919699457</v>
      </c>
      <c r="CX20" s="57" t="n">
        <f aca="false">CQ20*(1-f_stroke_fatal)*f_stroke_major</f>
        <v>0.000150718075824128</v>
      </c>
      <c r="CY20" s="57" t="n">
        <f aca="false">CQ20*(1-f_stroke_fatal)*(1-f_stroke_major)</f>
        <v>0.000301888758482563</v>
      </c>
      <c r="CZ20" s="57" t="n">
        <f aca="false">CR20*(1-f_bleed_fatal)</f>
        <v>7.41552516544204E-005</v>
      </c>
      <c r="DA20" s="57" t="n">
        <f aca="false">CS20*(1-f_bleed_fatal)</f>
        <v>0.000689558665894431</v>
      </c>
      <c r="DB20" s="57" t="n">
        <f aca="false">CT20*f_mi_fatal</f>
        <v>2.04236295779979E-005</v>
      </c>
      <c r="DC20" s="57" t="n">
        <f aca="false">CT20-DB20</f>
        <v>0.000148366697512894</v>
      </c>
      <c r="DD20" s="57" t="n">
        <f aca="false">CJ20-CQ20-CR20-CS20-DB20</f>
        <v>0.0776433727275653</v>
      </c>
      <c r="DE20" s="19" t="n">
        <f aca="false">CW20*c_stroke_fatal+CX20*c_stroke_major+CY20*c_stroke_minor+CR20*c_ich+CS20*c_major_bleed+DB20*c_mi_fatal+DC20*c_mi_nonfatal+CU20*c_tia+CV20*c_minor_bleed</f>
        <v>32.5673247922098</v>
      </c>
      <c r="DF20" s="57" t="n">
        <f aca="false">dt*(DC20*dec_mi+DA20*dec_major_bleed+CV20*dec_minor_bleed+CU20*dec_tia)</f>
        <v>3.40165548244777E-005</v>
      </c>
      <c r="DG20" s="57" t="n">
        <f aca="false">J20*CI20+CW20+CR20-CZ20+CS20-DA20+DB20</f>
        <v>0.00115025505177506</v>
      </c>
      <c r="DH20" s="57" t="n">
        <f aca="false">AG20</f>
        <v>0.689532142008826</v>
      </c>
      <c r="DI20" s="57" t="n">
        <f aca="false">AB20+AC20+BF20+BA20+BB20+BC20+CY20+CZ20</f>
        <v>0.0424851513215355</v>
      </c>
      <c r="DJ20" s="57" t="n">
        <f aca="false">AA20+AZ20+BY20+CX20+CE20+BZ20+CA20+CB20</f>
        <v>0.013093095820165</v>
      </c>
      <c r="DK20" s="57" t="n">
        <f aca="false">AD20+DD20+DA20</f>
        <v>0.0836908037190796</v>
      </c>
      <c r="DL20" s="57" t="n">
        <f aca="false">K20+AJ20+BI20+CH20+DG20</f>
        <v>0.171198807130395</v>
      </c>
      <c r="DM20" s="58" t="n">
        <f aca="false">SUM(DH20:DL20)</f>
        <v>1</v>
      </c>
      <c r="DN20" s="19" t="n">
        <f aca="false">dt*(G20*Warfarin!$H$2+(H20+I20+J20)*c_aspirin)</f>
        <v>69.3357282021338</v>
      </c>
      <c r="DO20" s="19" t="n">
        <f aca="false">dt*(H20*c_lt_minor_stroke+I20*c_lt_major_stroke)</f>
        <v>190.835575265787</v>
      </c>
      <c r="DP20" s="19" t="n">
        <f aca="false">AH20+BG20+CF20+DE20</f>
        <v>284.08886842163</v>
      </c>
      <c r="DQ20" s="19" t="n">
        <f aca="false">DN20+DO20+DP20</f>
        <v>544.260171889551</v>
      </c>
      <c r="DR20" s="57" t="n">
        <f aca="false">dt*(G20*(u_af-dec_per_year_over_70*MAX(B20-ref_age,0))+H20*(u_minor_stroke-dec_per_year_over_70*MAX(B20-ref_age,0))+I20*(u_major_stroke-dec_per_year_over_70*MAX(B20-ref_age,0))+J20*(u_af-dec_per_year_over_70*MAX(B20-ref_age,0)))-AI20-BH20-CG20-DF20</f>
        <v>0.167728790869871</v>
      </c>
      <c r="DS20" s="57" t="n">
        <f aca="false">dt*(G20+H20+I20+J20)</f>
        <v>0.21034029757711</v>
      </c>
      <c r="DT20" s="19" t="n">
        <f aca="false">DQ20*C20</f>
        <v>516.624986111741</v>
      </c>
      <c r="DU20" s="19" t="n">
        <f aca="false">DN20*C20</f>
        <v>65.8151587596676</v>
      </c>
      <c r="DV20" s="19" t="n">
        <f aca="false">DP20*C20</f>
        <v>269.66406010067</v>
      </c>
      <c r="DW20" s="19" t="n">
        <f aca="false">DO20*C20</f>
        <v>181.145767251403</v>
      </c>
      <c r="DX20" s="57" t="n">
        <f aca="false">DR20*C20</f>
        <v>0.159212245777321</v>
      </c>
      <c r="DY20" s="57" t="n">
        <f aca="false">DS20*C20</f>
        <v>0.19966012382873</v>
      </c>
      <c r="DZ20" s="57" t="n">
        <f aca="false">T20+AS20+BR20+CQ20</f>
        <v>0.00468803631845955</v>
      </c>
      <c r="EA20" s="57" t="n">
        <f aca="false">U20+AT20+BS20+CR20</f>
        <v>0.00153837613553721</v>
      </c>
      <c r="EB20" s="57" t="n">
        <f aca="false">V20+AU20+BT20+CS20</f>
        <v>0.00709373150854762</v>
      </c>
      <c r="EC20" s="57" t="n">
        <f aca="false">G20*dt*C20</f>
        <v>0.168083153584858</v>
      </c>
    </row>
    <row r="21" customFormat="false" ht="15" hidden="false" customHeight="false" outlineLevel="0" collapsed="false">
      <c r="A21" s="8" t="n">
        <v>15</v>
      </c>
      <c r="B21" s="54" t="n">
        <f aca="false">start_age+A21*dt</f>
        <v>73.75</v>
      </c>
      <c r="C21" s="16" t="n">
        <f aca="false">(1+disc_rate)^-(A21*dt)</f>
        <v>0.945697719077532</v>
      </c>
      <c r="D21" s="55" t="n">
        <f aca="false">IF(A21*dt&gt;=wane_start,(1-wane_decay)^(A21*dt-wane_start),1)</f>
        <v>1</v>
      </c>
      <c r="E21" s="25" t="n">
        <f aca="false">MIN(p_nonvasc_death*MIN(EXP(gomp_int+gomp_slope*INT(B21)),1)/qx_ref,0.999)</f>
        <v>0.0451688732868535</v>
      </c>
      <c r="F21" s="55" t="n">
        <f aca="false">rr_stroke_per_decade^((B21-ref_age)/10)</f>
        <v>1.1642177654609</v>
      </c>
      <c r="G21" s="57" t="n">
        <f aca="false">DH20</f>
        <v>0.689532142008826</v>
      </c>
      <c r="H21" s="57" t="n">
        <f aca="false">DI20</f>
        <v>0.0424851513215355</v>
      </c>
      <c r="I21" s="57" t="n">
        <f aca="false">DJ20</f>
        <v>0.013093095820165</v>
      </c>
      <c r="J21" s="57" t="n">
        <f aca="false">DK20</f>
        <v>0.0836908037190796</v>
      </c>
      <c r="K21" s="57" t="n">
        <f aca="false">DL20</f>
        <v>0.171198807130395</v>
      </c>
      <c r="L21" s="57" t="n">
        <f aca="false">1-EXP(LN(1-E21)*dt)</f>
        <v>0.0114886913269703</v>
      </c>
      <c r="M21" s="57" t="n">
        <f aca="false">G21*(1-L21)</f>
        <v>0.681610320069262</v>
      </c>
      <c r="N21" s="57" t="n">
        <f aca="false">IF(Warfarin!$B$2=1,EXP(LN(or_apx_stroke)*D21)*(1-EXP(-r_stroke*F21*dt))/(1-(1-EXP(-r_stroke*F21*dt))+EXP(LN(or_apx_stroke)*D21)*(1-EXP(-r_stroke*F21*dt))),(1-EXP(-r_stroke*F21*dt)))</f>
        <v>0.00468352617268653</v>
      </c>
      <c r="O21" s="57" t="n">
        <f aca="false">IF(Warfarin!$B$2=1,EXP(LN(or_apx_ich)*D21)*(1-EXP(-r_ich*dt))/(1-(1-EXP(-r_ich*dt))+EXP(LN(or_apx_ich)*D21)*(1-EXP(-r_ich*dt))),(1-EXP(-r_ich*dt)))</f>
        <v>0.0020060281549299</v>
      </c>
      <c r="P21" s="57" t="n">
        <f aca="false">IF(Warfarin!$B$2=1,EXP(LN(or_apx_mb)*D21)*(1-EXP(-r_mb*dt))/(1-(1-EXP(-r_mb*dt))+EXP(LN(or_apx_mb)*D21)*(1-EXP(-r_mb*dt))),(1-EXP(-r_mb*dt)))</f>
        <v>0.00835410477572107</v>
      </c>
      <c r="Q21" s="57" t="n">
        <f aca="false">IF(Warfarin!$B$2=1,EXP(LN(or_apx_mi)*D21)*(1-EXP(-r_mi*dt))/(1-(1-EXP(-r_mi*dt))+EXP(LN(or_apx_mi)*D21)*(1-EXP(-r_mi*dt))),(1-EXP(-r_mi*dt)))</f>
        <v>0.00150338686144691</v>
      </c>
      <c r="R21" s="57" t="n">
        <f aca="false">(1-EXP(-r_tia*dt))</f>
        <v>0.0020060281549299</v>
      </c>
      <c r="S21" s="57" t="n">
        <f aca="false">(1-EXP(-r_minor*dt))</f>
        <v>0.0437937690785545</v>
      </c>
      <c r="T21" s="57" t="n">
        <f aca="false">M21*N21</f>
        <v>0.00319233977361763</v>
      </c>
      <c r="U21" s="57" t="n">
        <f aca="false">M21*O21</f>
        <v>0.00136732949274972</v>
      </c>
      <c r="V21" s="57" t="n">
        <f aca="false">M21*P21</f>
        <v>0.00569424403007139</v>
      </c>
      <c r="W21" s="57" t="n">
        <f aca="false">M21*Q21</f>
        <v>0.00102472399981875</v>
      </c>
      <c r="X21" s="57" t="n">
        <f aca="false">M21*R21</f>
        <v>0.00136732949274972</v>
      </c>
      <c r="Y21" s="57" t="n">
        <f aca="false">M21*S21</f>
        <v>0.0298502849586729</v>
      </c>
      <c r="Z21" s="57" t="n">
        <f aca="false">T21*f_stroke_fatal</f>
        <v>0.000756584526347377</v>
      </c>
      <c r="AA21" s="57" t="n">
        <f aca="false">T21*(1-f_stroke_fatal)*f_stroke_major</f>
        <v>0.000811106497340993</v>
      </c>
      <c r="AB21" s="57" t="n">
        <f aca="false">T21*(1-f_stroke_fatal)*(1-f_stroke_major)</f>
        <v>0.00162464874992926</v>
      </c>
      <c r="AC21" s="57" t="n">
        <f aca="false">U21*(1-f_bleed_fatal)</f>
        <v>0.00125247381535874</v>
      </c>
      <c r="AD21" s="57" t="n">
        <f aca="false">V21*(1-f_bleed_fatal)</f>
        <v>0.00521592753154539</v>
      </c>
      <c r="AE21" s="57" t="n">
        <f aca="false">W21*f_mi_fatal</f>
        <v>0.000123991603978069</v>
      </c>
      <c r="AF21" s="57" t="n">
        <f aca="false">W21-AE21</f>
        <v>0.000900732395840682</v>
      </c>
      <c r="AG21" s="57" t="n">
        <f aca="false">M21-T21-U21-V21-AE21</f>
        <v>0.671232415168845</v>
      </c>
      <c r="AH21" s="19" t="n">
        <f aca="false">Z21*c_stroke_fatal+AA21*c_stroke_major+AB21*c_stroke_minor+U21*c_ich+V21*c_major_bleed+AE21*c_mi_fatal+AF21*c_mi_nonfatal+X21*c_tia+Y21*c_minor_bleed</f>
        <v>210.787445520728</v>
      </c>
      <c r="AI21" s="57" t="n">
        <f aca="false">dt*(AF21*dec_mi+AD21*dec_major_bleed+Y21*dec_minor_bleed+X21*dec_tia)</f>
        <v>0.000280336381149557</v>
      </c>
      <c r="AJ21" s="57" t="n">
        <f aca="false">G21*L21+Z21+U21-AC21+V21-AD21+AE21</f>
        <v>0.00939557024580645</v>
      </c>
      <c r="AK21" s="57" t="n">
        <f aca="false">1-EXP(LN(1-E21)*hr_death_prior_stroke*dt)</f>
        <v>0.026226892117848</v>
      </c>
      <c r="AL21" s="57" t="n">
        <f aca="false">H21*(1-AK21)</f>
        <v>0.0413708978412152</v>
      </c>
      <c r="AM21" s="57" t="n">
        <f aca="false">(1-EXP(-r_stroke*F21*rr_stroke_prior*rr_asa_stroke*dt))</f>
        <v>0.0165921078574436</v>
      </c>
      <c r="AN21" s="57" t="n">
        <f aca="false">(1-EXP(-r_ich*rr_asa_ich*dt))</f>
        <v>0.00102357767802375</v>
      </c>
      <c r="AO21" s="57" t="n">
        <f aca="false">(1-EXP(-r_mb*rr_asa_mb*dt))</f>
        <v>0.00951809672747972</v>
      </c>
      <c r="AP21" s="57" t="n">
        <f aca="false">(1-EXP(-r_mi*rr_asa_mi*dt))</f>
        <v>0.00213413516393479</v>
      </c>
      <c r="AQ21" s="57" t="n">
        <f aca="false">(1-EXP(-r_tia*rr_asa_tia*dt))</f>
        <v>0.00312764565589152</v>
      </c>
      <c r="AR21" s="57" t="n">
        <f aca="false">(1-EXP(-r_minor*rr_asa_minor*dt))</f>
        <v>0.0278181950466747</v>
      </c>
      <c r="AS21" s="57" t="n">
        <f aca="false">AL21*AM21</f>
        <v>0.000686430399140722</v>
      </c>
      <c r="AT21" s="57" t="n">
        <f aca="false">AL21*AN21</f>
        <v>4.23463275500686E-005</v>
      </c>
      <c r="AU21" s="57" t="n">
        <f aca="false">AL21*AO21</f>
        <v>0.000393772207355368</v>
      </c>
      <c r="AV21" s="57" t="n">
        <f aca="false">AL21*AP21</f>
        <v>8.82910878464912E-005</v>
      </c>
      <c r="AW21" s="57" t="n">
        <f aca="false">AL21*AQ21</f>
        <v>0.000129393508913408</v>
      </c>
      <c r="AX21" s="57" t="n">
        <f aca="false">AL21*AR21</f>
        <v>0.00115086370540298</v>
      </c>
      <c r="AY21" s="57" t="n">
        <f aca="false">AS21*f_stroke_fatal_recur</f>
        <v>0.000255413887216271</v>
      </c>
      <c r="AZ21" s="57" t="n">
        <f aca="false">AS21*(1-f_stroke_fatal_recur)*f_stroke_major</f>
        <v>0.000143528498470842</v>
      </c>
      <c r="BA21" s="57" t="n">
        <f aca="false">AS21*(1-f_stroke_fatal_recur)*(1-f_stroke_major)</f>
        <v>0.000287488013453609</v>
      </c>
      <c r="BB21" s="57" t="n">
        <f aca="false">AT21*(1-f_bleed_fatal)</f>
        <v>3.87892360358629E-005</v>
      </c>
      <c r="BC21" s="57" t="n">
        <f aca="false">AU21*(1-f_bleed_fatal)</f>
        <v>0.000360695341937517</v>
      </c>
      <c r="BD21" s="57" t="n">
        <f aca="false">AV21*f_mi_fatal</f>
        <v>1.06832216294254E-005</v>
      </c>
      <c r="BE21" s="57" t="n">
        <f aca="false">AV21-BD21</f>
        <v>7.76078662170658E-005</v>
      </c>
      <c r="BF21" s="57" t="n">
        <f aca="false">AL21-AS21-AT21-AU21-BD21</f>
        <v>0.0402376656855396</v>
      </c>
      <c r="BG21" s="19" t="n">
        <f aca="false">AY21*c_stroke_fatal+AZ21*c_stroke_major+BA21*c_stroke_minor+AT21*c_ich+AU21*c_major_bleed+BD21*c_mi_fatal+BE21*c_mi_nonfatal+AW21*c_tia+AX21*c_minor_bleed</f>
        <v>29.238680501273</v>
      </c>
      <c r="BH21" s="57" t="n">
        <f aca="false">dt*(BE21*dec_mi+BC21*dec_major_bleed+AX21*dec_minor_bleed+AW21*dec_tia)</f>
        <v>1.77934285809261E-005</v>
      </c>
      <c r="BI21" s="57" t="n">
        <f aca="false">H21*AK21+AY21+AT21-BB21+AU21-BC21+BD21</f>
        <v>0.00141698454609811</v>
      </c>
      <c r="BJ21" s="57" t="n">
        <f aca="false">1-EXP(LN(1-E21)*hr_death_prior_stroke*dt)</f>
        <v>0.026226892117848</v>
      </c>
      <c r="BK21" s="57" t="n">
        <f aca="false">I21*(1-BJ21)</f>
        <v>0.0127497046086009</v>
      </c>
      <c r="BL21" s="57" t="n">
        <f aca="false">(1-EXP(-r_stroke*F21*rr_stroke_prior*rr_asa_stroke*dt))</f>
        <v>0.0165921078574436</v>
      </c>
      <c r="BM21" s="57" t="n">
        <f aca="false">(1-EXP(-r_ich*rr_asa_ich*dt))</f>
        <v>0.00102357767802375</v>
      </c>
      <c r="BN21" s="57" t="n">
        <f aca="false">(1-EXP(-r_mb*rr_asa_mb*dt))</f>
        <v>0.00951809672747972</v>
      </c>
      <c r="BO21" s="57" t="n">
        <f aca="false">(1-EXP(-r_mi*rr_asa_mi*dt))</f>
        <v>0.00213413516393479</v>
      </c>
      <c r="BP21" s="57" t="n">
        <f aca="false">(1-EXP(-r_tia*rr_asa_tia*dt))</f>
        <v>0.00312764565589152</v>
      </c>
      <c r="BQ21" s="57" t="n">
        <f aca="false">(1-EXP(-r_minor*rr_asa_minor*dt))</f>
        <v>0.0278181950466747</v>
      </c>
      <c r="BR21" s="57" t="n">
        <f aca="false">BK21*BL21</f>
        <v>0.000211544474016451</v>
      </c>
      <c r="BS21" s="57" t="n">
        <f aca="false">BK21*BM21</f>
        <v>1.30503130387603E-005</v>
      </c>
      <c r="BT21" s="57" t="n">
        <f aca="false">BK21*BN21</f>
        <v>0.000121352921711457</v>
      </c>
      <c r="BU21" s="57" t="n">
        <f aca="false">BK21*BO21</f>
        <v>2.72095929349966E-005</v>
      </c>
      <c r="BV21" s="57" t="n">
        <f aca="false">BK21*BP21</f>
        <v>3.98765582329906E-005</v>
      </c>
      <c r="BW21" s="57" t="n">
        <f aca="false">BK21*BQ21</f>
        <v>0.000354673769589547</v>
      </c>
      <c r="BX21" s="57" t="n">
        <f aca="false">BR21*f_stroke_fatal_recur</f>
        <v>7.87135833367814E-005</v>
      </c>
      <c r="BY21" s="57" t="n">
        <f aca="false">BR21*(1-f_stroke_fatal_recur)*f_stroke_major</f>
        <v>4.42326865963301E-005</v>
      </c>
      <c r="BZ21" s="57" t="n">
        <f aca="false">BR21*(1-f_stroke_fatal_recur)*(1-f_stroke_major)</f>
        <v>8.85982040833399E-005</v>
      </c>
      <c r="CA21" s="57" t="n">
        <f aca="false">BS21*(1-f_bleed_fatal)</f>
        <v>1.19540867435045E-005</v>
      </c>
      <c r="CB21" s="57" t="n">
        <f aca="false">BT21*(1-f_bleed_fatal)</f>
        <v>0.000111159276287695</v>
      </c>
      <c r="CC21" s="57" t="n">
        <f aca="false">BU21*f_mi_fatal</f>
        <v>3.29236074513459E-006</v>
      </c>
      <c r="CD21" s="57" t="n">
        <f aca="false">BU21-CC21</f>
        <v>2.3917232189862E-005</v>
      </c>
      <c r="CE21" s="57" t="n">
        <f aca="false">BK21-BR21-BS21-BT21-CC21</f>
        <v>0.0124004645390891</v>
      </c>
      <c r="CF21" s="19" t="n">
        <f aca="false">BX21*c_stroke_fatal+BY21*c_stroke_major+BZ21*c_stroke_minor+BS21*c_ich+BT21*c_major_bleed+CC21*c_mi_fatal+CD21*c_mi_nonfatal+BV21*c_tia+BW21*c_minor_bleed</f>
        <v>9.01079161896041</v>
      </c>
      <c r="CG21" s="57" t="n">
        <f aca="false">dt*(CD21*dec_mi+CB21*dec_major_bleed+BW21*dec_minor_bleed+BV21*dec_tia)</f>
        <v>5.4835879862157E-006</v>
      </c>
      <c r="CH21" s="57" t="n">
        <f aca="false">I21*BJ21+BX21+BS21-CA21+BT21-CB21+CC21</f>
        <v>0.000436687027365048</v>
      </c>
      <c r="CI21" s="57" t="n">
        <f aca="false">1-EXP(LN(1-E21)*dt)</f>
        <v>0.0114886913269703</v>
      </c>
      <c r="CJ21" s="57" t="n">
        <f aca="false">J21*(1-CI21)</f>
        <v>0.082729305908245</v>
      </c>
      <c r="CK21" s="57" t="n">
        <f aca="false">(1-EXP(-r_stroke*F21*rr_asa_stroke*dt))</f>
        <v>0.00757628988736026</v>
      </c>
      <c r="CL21" s="57" t="n">
        <f aca="false">(1-EXP(-r_ich*rr_asa_ich*dt))</f>
        <v>0.00102357767802375</v>
      </c>
      <c r="CM21" s="57" t="n">
        <f aca="false">(1-EXP(-r_mb*rr_asa_mb*dt))</f>
        <v>0.00951809672747972</v>
      </c>
      <c r="CN21" s="57" t="n">
        <f aca="false">(1-EXP(-r_mi*rr_asa_mi*dt))</f>
        <v>0.00213413516393479</v>
      </c>
      <c r="CO21" s="57" t="n">
        <f aca="false">(1-EXP(-r_tia*rr_asa_tia*dt))</f>
        <v>0.00312764565589152</v>
      </c>
      <c r="CP21" s="57" t="n">
        <f aca="false">(1-EXP(-r_minor*rr_asa_minor*dt))</f>
        <v>0.0278181950466747</v>
      </c>
      <c r="CQ21" s="57" t="n">
        <f aca="false">CJ21*CK21</f>
        <v>0.00062678120374097</v>
      </c>
      <c r="CR21" s="57" t="n">
        <f aca="false">CJ21*CL21</f>
        <v>8.46798708460776E-005</v>
      </c>
      <c r="CS21" s="57" t="n">
        <f aca="false">CJ21*CM21</f>
        <v>0.000787425535831935</v>
      </c>
      <c r="CT21" s="57" t="n">
        <f aca="false">CJ21*CN21</f>
        <v>0.000176555520826704</v>
      </c>
      <c r="CU21" s="57" t="n">
        <f aca="false">CJ21*CO21</f>
        <v>0.000258747954238843</v>
      </c>
      <c r="CV21" s="57" t="n">
        <f aca="false">CJ21*CP21</f>
        <v>0.00230137996783158</v>
      </c>
      <c r="CW21" s="57" t="n">
        <f aca="false">CQ21*f_stroke_fatal</f>
        <v>0.00014854714528661</v>
      </c>
      <c r="CX21" s="57" t="n">
        <f aca="false">CQ21*(1-f_stroke_fatal)*f_stroke_major</f>
        <v>0.000159251941465302</v>
      </c>
      <c r="CY21" s="57" t="n">
        <f aca="false">CQ21*(1-f_stroke_fatal)*(1-f_stroke_major)</f>
        <v>0.000318982116989058</v>
      </c>
      <c r="CZ21" s="57" t="n">
        <f aca="false">CR21*(1-f_bleed_fatal)</f>
        <v>7.75667616950071E-005</v>
      </c>
      <c r="DA21" s="57" t="n">
        <f aca="false">CS21*(1-f_bleed_fatal)</f>
        <v>0.000721281790822053</v>
      </c>
      <c r="DB21" s="57" t="n">
        <f aca="false">CT21*f_mi_fatal</f>
        <v>2.13632180200312E-005</v>
      </c>
      <c r="DC21" s="57" t="n">
        <f aca="false">CT21-DB21</f>
        <v>0.000155192302806673</v>
      </c>
      <c r="DD21" s="57" t="n">
        <f aca="false">CJ21-CQ21-CR21-CS21-DB21</f>
        <v>0.081209056079806</v>
      </c>
      <c r="DE21" s="19" t="n">
        <f aca="false">CW21*c_stroke_fatal+CX21*c_stroke_major+CY21*c_stroke_minor+CR21*c_ich+CS21*c_major_bleed+DB21*c_mi_fatal+DC21*c_mi_nonfatal+CU21*c_tia+CV21*c_minor_bleed</f>
        <v>34.298264568758</v>
      </c>
      <c r="DF21" s="57" t="n">
        <f aca="false">dt*(DC21*dec_mi+DA21*dec_major_bleed+CV21*dec_minor_bleed+CU21*dec_tia)</f>
        <v>3.55814853687186E-005</v>
      </c>
      <c r="DG21" s="57" t="n">
        <f aca="false">J21*CI21+CW21+CR21-CZ21+CS21-DA21+DB21</f>
        <v>0.00120466502830216</v>
      </c>
      <c r="DH21" s="57" t="n">
        <f aca="false">AG21</f>
        <v>0.671232415168845</v>
      </c>
      <c r="DI21" s="57" t="n">
        <f aca="false">AB21+AC21+BF21+BA21+BB21+BC21+CY21+CZ21</f>
        <v>0.0441983097209386</v>
      </c>
      <c r="DJ21" s="57" t="n">
        <f aca="false">AA21+AZ21+BY21+CX21+CE21+BZ21+CA21+CB21</f>
        <v>0.0137702957300771</v>
      </c>
      <c r="DK21" s="57" t="n">
        <f aca="false">AD21+DD21+DA21</f>
        <v>0.0871462654021734</v>
      </c>
      <c r="DL21" s="57" t="n">
        <f aca="false">K21+AJ21+BI21+CH21+DG21</f>
        <v>0.183652713977966</v>
      </c>
      <c r="DM21" s="58" t="n">
        <f aca="false">SUM(DH21:DL21)</f>
        <v>1</v>
      </c>
      <c r="DN21" s="19" t="n">
        <f aca="false">dt*(G21*Warfarin!$H$2+(H21+I21+J21)*c_aspirin)</f>
        <v>67.5937983861382</v>
      </c>
      <c r="DO21" s="19" t="n">
        <f aca="false">dt*(H21*c_lt_minor_stroke+I21*c_lt_major_stroke)</f>
        <v>200.331874146488</v>
      </c>
      <c r="DP21" s="19" t="n">
        <f aca="false">AH21+BG21+CF21+DE21</f>
        <v>283.335182209719</v>
      </c>
      <c r="DQ21" s="19" t="n">
        <f aca="false">DN21+DO21+DP21</f>
        <v>551.260854742345</v>
      </c>
      <c r="DR21" s="57" t="n">
        <f aca="false">dt*(G21*(u_af-dec_per_year_over_70*MAX(B21-ref_age,0))+H21*(u_minor_stroke-dec_per_year_over_70*MAX(B21-ref_age,0))+I21*(u_major_stroke-dec_per_year_over_70*MAX(B21-ref_age,0))+J21*(u_af-dec_per_year_over_70*MAX(B21-ref_age,0)))-AI21-BH21-CG21-DF21</f>
        <v>0.165067778092739</v>
      </c>
      <c r="DS21" s="57" t="n">
        <f aca="false">dt*(G21+H21+I21+J21)</f>
        <v>0.207200298217401</v>
      </c>
      <c r="DT21" s="19" t="n">
        <f aca="false">DQ21*C21</f>
        <v>521.326132946567</v>
      </c>
      <c r="DU21" s="19" t="n">
        <f aca="false">DN21*C21</f>
        <v>63.9233009575574</v>
      </c>
      <c r="DV21" s="19" t="n">
        <f aca="false">DP21*C21</f>
        <v>267.949435550148</v>
      </c>
      <c r="DW21" s="19" t="n">
        <f aca="false">DO21*C21</f>
        <v>189.453396438861</v>
      </c>
      <c r="DX21" s="57" t="n">
        <f aca="false">DR21*C21</f>
        <v>0.156104221235499</v>
      </c>
      <c r="DY21" s="57" t="n">
        <f aca="false">DS21*C21</f>
        <v>0.195948849416381</v>
      </c>
      <c r="DZ21" s="57" t="n">
        <f aca="false">T21+AS21+BR21+CQ21</f>
        <v>0.00471709585051577</v>
      </c>
      <c r="EA21" s="57" t="n">
        <f aca="false">U21+AT21+BS21+CR21</f>
        <v>0.00150740600418462</v>
      </c>
      <c r="EB21" s="57" t="n">
        <f aca="false">V21+AU21+BT21+CS21</f>
        <v>0.00699679469497015</v>
      </c>
      <c r="EC21" s="57" t="n">
        <f aca="false">G21*dt*C21</f>
        <v>0.163022243482098</v>
      </c>
    </row>
    <row r="22" customFormat="false" ht="15" hidden="false" customHeight="false" outlineLevel="0" collapsed="false">
      <c r="A22" s="8" t="n">
        <v>16</v>
      </c>
      <c r="B22" s="54" t="n">
        <f aca="false">start_age+A22*dt</f>
        <v>74</v>
      </c>
      <c r="C22" s="16" t="n">
        <f aca="false">(1+disc_rate)^-(A22*dt)</f>
        <v>0.942184230286724</v>
      </c>
      <c r="D22" s="55" t="n">
        <f aca="false">IF(A22*dt&gt;=wane_start,(1-wane_decay)^(A22*dt-wane_start),1)</f>
        <v>1</v>
      </c>
      <c r="E22" s="25" t="n">
        <f aca="false">MIN(p_nonvasc_death*MIN(EXP(gomp_int+gomp_slope*INT(B22)),1)/qx_ref,0.999)</f>
        <v>0.0501511654557567</v>
      </c>
      <c r="F22" s="55" t="n">
        <f aca="false">rr_stroke_per_decade^((B22-ref_age)/10)</f>
        <v>1.17607902252467</v>
      </c>
      <c r="G22" s="57" t="n">
        <f aca="false">DH21</f>
        <v>0.671232415168845</v>
      </c>
      <c r="H22" s="57" t="n">
        <f aca="false">DI21</f>
        <v>0.0441983097209386</v>
      </c>
      <c r="I22" s="57" t="n">
        <f aca="false">DJ21</f>
        <v>0.0137702957300771</v>
      </c>
      <c r="J22" s="57" t="n">
        <f aca="false">DK21</f>
        <v>0.0871462654021734</v>
      </c>
      <c r="K22" s="57" t="n">
        <f aca="false">DL21</f>
        <v>0.183652713977966</v>
      </c>
      <c r="L22" s="57" t="n">
        <f aca="false">1-EXP(LN(1-E22)*dt)</f>
        <v>0.0127807309653863</v>
      </c>
      <c r="M22" s="57" t="n">
        <f aca="false">G22*(1-L22)</f>
        <v>0.662653574255325</v>
      </c>
      <c r="N22" s="57" t="n">
        <f aca="false">IF(Warfarin!$B$2=1,EXP(LN(or_apx_stroke)*D22)*(1-EXP(-r_stroke*F22*dt))/(1-(1-EXP(-r_stroke*F22*dt))+EXP(LN(or_apx_stroke)*D22)*(1-EXP(-r_stroke*F22*dt))),(1-EXP(-r_stroke*F22*dt)))</f>
        <v>0.00473112971370338</v>
      </c>
      <c r="O22" s="57" t="n">
        <f aca="false">IF(Warfarin!$B$2=1,EXP(LN(or_apx_ich)*D22)*(1-EXP(-r_ich*dt))/(1-(1-EXP(-r_ich*dt))+EXP(LN(or_apx_ich)*D22)*(1-EXP(-r_ich*dt))),(1-EXP(-r_ich*dt)))</f>
        <v>0.0020060281549299</v>
      </c>
      <c r="P22" s="57" t="n">
        <f aca="false">IF(Warfarin!$B$2=1,EXP(LN(or_apx_mb)*D22)*(1-EXP(-r_mb*dt))/(1-(1-EXP(-r_mb*dt))+EXP(LN(or_apx_mb)*D22)*(1-EXP(-r_mb*dt))),(1-EXP(-r_mb*dt)))</f>
        <v>0.00835410477572107</v>
      </c>
      <c r="Q22" s="57" t="n">
        <f aca="false">IF(Warfarin!$B$2=1,EXP(LN(or_apx_mi)*D22)*(1-EXP(-r_mi*dt))/(1-(1-EXP(-r_mi*dt))+EXP(LN(or_apx_mi)*D22)*(1-EXP(-r_mi*dt))),(1-EXP(-r_mi*dt)))</f>
        <v>0.00150338686144691</v>
      </c>
      <c r="R22" s="57" t="n">
        <f aca="false">(1-EXP(-r_tia*dt))</f>
        <v>0.0020060281549299</v>
      </c>
      <c r="S22" s="57" t="n">
        <f aca="false">(1-EXP(-r_minor*dt))</f>
        <v>0.0437937690785545</v>
      </c>
      <c r="T22" s="57" t="n">
        <f aca="false">M22*N22</f>
        <v>0.00313510001505112</v>
      </c>
      <c r="U22" s="57" t="n">
        <f aca="false">M22*O22</f>
        <v>0.00132930172692111</v>
      </c>
      <c r="V22" s="57" t="n">
        <f aca="false">M22*P22</f>
        <v>0.00553587738933505</v>
      </c>
      <c r="W22" s="57" t="n">
        <f aca="false">M22*Q22</f>
        <v>0.00099622467722629</v>
      </c>
      <c r="X22" s="57" t="n">
        <f aca="false">M22*R22</f>
        <v>0.00132930172692111</v>
      </c>
      <c r="Y22" s="57" t="n">
        <f aca="false">M22*S22</f>
        <v>0.0290200976100165</v>
      </c>
      <c r="Z22" s="57" t="n">
        <f aca="false">T22*f_stroke_fatal</f>
        <v>0.000743018703567114</v>
      </c>
      <c r="AA22" s="57" t="n">
        <f aca="false">T22*(1-f_stroke_fatal)*f_stroke_major</f>
        <v>0.000796563076724172</v>
      </c>
      <c r="AB22" s="57" t="n">
        <f aca="false">T22*(1-f_stroke_fatal)*(1-f_stroke_major)</f>
        <v>0.00159551823475983</v>
      </c>
      <c r="AC22" s="57" t="n">
        <f aca="false">U22*(1-f_bleed_fatal)</f>
        <v>0.00121764038185974</v>
      </c>
      <c r="AD22" s="57" t="n">
        <f aca="false">V22*(1-f_bleed_fatal)</f>
        <v>0.00507086368863091</v>
      </c>
      <c r="AE22" s="57" t="n">
        <f aca="false">W22*f_mi_fatal</f>
        <v>0.000120543185944381</v>
      </c>
      <c r="AF22" s="57" t="n">
        <f aca="false">W22-AE22</f>
        <v>0.000875681491281909</v>
      </c>
      <c r="AG22" s="57" t="n">
        <f aca="false">M22-T22-U22-V22-AE22</f>
        <v>0.652532751938074</v>
      </c>
      <c r="AH22" s="19" t="n">
        <f aca="false">Z22*c_stroke_fatal+AA22*c_stroke_major+AB22*c_stroke_minor+U22*c_ich+V22*c_major_bleed+AE22*c_mi_fatal+AF22*c_mi_nonfatal+X22*c_tia+Y22*c_minor_bleed</f>
        <v>206.090587388888</v>
      </c>
      <c r="AI22" s="57" t="n">
        <f aca="false">dt*(AF22*dec_mi+AD22*dec_major_bleed+Y22*dec_minor_bleed+X22*dec_tia)</f>
        <v>0.000272539748141843</v>
      </c>
      <c r="AJ22" s="57" t="n">
        <f aca="false">G22*L22+Z22+U22-AC22+V22-AD22+AE22</f>
        <v>0.0100190778487965</v>
      </c>
      <c r="AK22" s="57" t="n">
        <f aca="false">1-EXP(LN(1-E22)*hr_death_prior_stroke*dt)</f>
        <v>0.0291517901413427</v>
      </c>
      <c r="AL22" s="57" t="n">
        <f aca="false">H22*(1-AK22)</f>
        <v>0.0429098498713518</v>
      </c>
      <c r="AM22" s="57" t="n">
        <f aca="false">(1-EXP(-r_stroke*F22*rr_stroke_prior*rr_asa_stroke*dt))</f>
        <v>0.016759726694304</v>
      </c>
      <c r="AN22" s="57" t="n">
        <f aca="false">(1-EXP(-r_ich*rr_asa_ich*dt))</f>
        <v>0.00102357767802375</v>
      </c>
      <c r="AO22" s="57" t="n">
        <f aca="false">(1-EXP(-r_mb*rr_asa_mb*dt))</f>
        <v>0.00951809672747972</v>
      </c>
      <c r="AP22" s="57" t="n">
        <f aca="false">(1-EXP(-r_mi*rr_asa_mi*dt))</f>
        <v>0.00213413516393479</v>
      </c>
      <c r="AQ22" s="57" t="n">
        <f aca="false">(1-EXP(-r_tia*rr_asa_tia*dt))</f>
        <v>0.00312764565589152</v>
      </c>
      <c r="AR22" s="57" t="n">
        <f aca="false">(1-EXP(-r_minor*rr_asa_minor*dt))</f>
        <v>0.0278181950466747</v>
      </c>
      <c r="AS22" s="57" t="n">
        <f aca="false">AL22*AM22</f>
        <v>0.000719157356337472</v>
      </c>
      <c r="AT22" s="57" t="n">
        <f aca="false">AL22*AN22</f>
        <v>4.39215644956658E-005</v>
      </c>
      <c r="AU22" s="57" t="n">
        <f aca="false">AL22*AO22</f>
        <v>0.000408420101637159</v>
      </c>
      <c r="AV22" s="57" t="n">
        <f aca="false">AL22*AP22</f>
        <v>9.15754194896146E-005</v>
      </c>
      <c r="AW22" s="57" t="n">
        <f aca="false">AL22*AQ22</f>
        <v>0.000134206805545091</v>
      </c>
      <c r="AX22" s="57" t="n">
        <f aca="false">AL22*AR22</f>
        <v>0.00119367457314479</v>
      </c>
      <c r="AY22" s="57" t="n">
        <f aca="false">AS22*f_stroke_fatal_recur</f>
        <v>0.00026759126071961</v>
      </c>
      <c r="AZ22" s="57" t="n">
        <f aca="false">AS22*(1-f_stroke_fatal_recur)*f_stroke_major</f>
        <v>0.000150371509840748</v>
      </c>
      <c r="BA22" s="57" t="n">
        <f aca="false">AS22*(1-f_stroke_fatal_recur)*(1-f_stroke_major)</f>
        <v>0.000301194585777114</v>
      </c>
      <c r="BB22" s="57" t="n">
        <f aca="false">AT22*(1-f_bleed_fatal)</f>
        <v>4.02321530780298E-005</v>
      </c>
      <c r="BC22" s="57" t="n">
        <f aca="false">AU22*(1-f_bleed_fatal)</f>
        <v>0.000374112813099638</v>
      </c>
      <c r="BD22" s="57" t="n">
        <f aca="false">AV22*f_mi_fatal</f>
        <v>1.10806257582434E-005</v>
      </c>
      <c r="BE22" s="57" t="n">
        <f aca="false">AV22-BD22</f>
        <v>8.04947937313712E-005</v>
      </c>
      <c r="BF22" s="57" t="n">
        <f aca="false">AL22-AS22-AT22-AU22-BD22</f>
        <v>0.0417272702231232</v>
      </c>
      <c r="BG22" s="19" t="n">
        <f aca="false">AY22*c_stroke_fatal+AZ22*c_stroke_major+BA22*c_stroke_minor+AT22*c_ich+AU22*c_major_bleed+BD22*c_mi_fatal+BE22*c_mi_nonfatal+AW22*c_tia+AX22*c_minor_bleed</f>
        <v>30.5743208168449</v>
      </c>
      <c r="BH22" s="57" t="n">
        <f aca="false">dt*(BE22*dec_mi+BC22*dec_major_bleed+AX22*dec_minor_bleed+AW22*dec_tia)</f>
        <v>1.84553246109037E-005</v>
      </c>
      <c r="BI22" s="57" t="n">
        <f aca="false">H22*AK22+AY22+AT22-BB22+AU22-BC22+BD22</f>
        <v>0.00160512843601988</v>
      </c>
      <c r="BJ22" s="57" t="n">
        <f aca="false">1-EXP(LN(1-E22)*hr_death_prior_stroke*dt)</f>
        <v>0.0291517901413427</v>
      </c>
      <c r="BK22" s="57" t="n">
        <f aca="false">I22*(1-BJ22)</f>
        <v>0.0133688669587697</v>
      </c>
      <c r="BL22" s="57" t="n">
        <f aca="false">(1-EXP(-r_stroke*F22*rr_stroke_prior*rr_asa_stroke*dt))</f>
        <v>0.016759726694304</v>
      </c>
      <c r="BM22" s="57" t="n">
        <f aca="false">(1-EXP(-r_ich*rr_asa_ich*dt))</f>
        <v>0.00102357767802375</v>
      </c>
      <c r="BN22" s="57" t="n">
        <f aca="false">(1-EXP(-r_mb*rr_asa_mb*dt))</f>
        <v>0.00951809672747972</v>
      </c>
      <c r="BO22" s="57" t="n">
        <f aca="false">(1-EXP(-r_mi*rr_asa_mi*dt))</f>
        <v>0.00213413516393479</v>
      </c>
      <c r="BP22" s="57" t="n">
        <f aca="false">(1-EXP(-r_tia*rr_asa_tia*dt))</f>
        <v>0.00312764565589152</v>
      </c>
      <c r="BQ22" s="57" t="n">
        <f aca="false">(1-EXP(-r_minor*rr_asa_minor*dt))</f>
        <v>0.0278181950466747</v>
      </c>
      <c r="BR22" s="57" t="n">
        <f aca="false">BK22*BL22</f>
        <v>0.000224058556441491</v>
      </c>
      <c r="BS22" s="57" t="n">
        <f aca="false">BK22*BM22</f>
        <v>1.36840737994658E-005</v>
      </c>
      <c r="BT22" s="57" t="n">
        <f aca="false">BK22*BN22</f>
        <v>0.000127246168850377</v>
      </c>
      <c r="BU22" s="57" t="n">
        <f aca="false">BK22*BO22</f>
        <v>2.85309690786763E-005</v>
      </c>
      <c r="BV22" s="57" t="n">
        <f aca="false">BK22*BP22</f>
        <v>4.18130786677876E-005</v>
      </c>
      <c r="BW22" s="57" t="n">
        <f aca="false">BK22*BQ22</f>
        <v>0.000371897748612099</v>
      </c>
      <c r="BX22" s="57" t="n">
        <f aca="false">BR22*f_stroke_fatal_recur</f>
        <v>8.33699482663143E-005</v>
      </c>
      <c r="BY22" s="57" t="n">
        <f aca="false">BR22*(1-f_stroke_fatal_recur)*f_stroke_major</f>
        <v>4.68493065223338E-005</v>
      </c>
      <c r="BZ22" s="57" t="n">
        <f aca="false">BR22*(1-f_stroke_fatal_recur)*(1-f_stroke_major)</f>
        <v>9.38393016528428E-005</v>
      </c>
      <c r="CA22" s="57" t="n">
        <f aca="false">BS22*(1-f_bleed_fatal)</f>
        <v>1.25346116003107E-005</v>
      </c>
      <c r="CB22" s="57" t="n">
        <f aca="false">BT22*(1-f_bleed_fatal)</f>
        <v>0.000116557490666945</v>
      </c>
      <c r="CC22" s="57" t="n">
        <f aca="false">BU22*f_mi_fatal</f>
        <v>3.45224725851983E-006</v>
      </c>
      <c r="CD22" s="57" t="n">
        <f aca="false">BU22-CC22</f>
        <v>2.50787218201565E-005</v>
      </c>
      <c r="CE22" s="57" t="n">
        <f aca="false">BK22-BR22-BS22-BT22-CC22</f>
        <v>0.0130004259124198</v>
      </c>
      <c r="CF22" s="19" t="n">
        <f aca="false">BX22*c_stroke_fatal+BY22*c_stroke_major+BZ22*c_stroke_minor+BS22*c_ich+BT22*c_major_bleed+CC22*c_mi_fatal+CD22*c_mi_nonfatal+BV22*c_tia+BW22*c_minor_bleed</f>
        <v>9.52564571026464</v>
      </c>
      <c r="CG22" s="57" t="n">
        <f aca="false">dt*(CD22*dec_mi+CB22*dec_major_bleed+BW22*dec_minor_bleed+BV22*dec_tia)</f>
        <v>5.74988680090449E-006</v>
      </c>
      <c r="CH22" s="57" t="n">
        <f aca="false">I22*BJ22+BX22+BS22-CA22+BT22-CB22+CC22</f>
        <v>0.000500089107214856</v>
      </c>
      <c r="CI22" s="57" t="n">
        <f aca="false">1-EXP(LN(1-E22)*dt)</f>
        <v>0.0127807309653863</v>
      </c>
      <c r="CJ22" s="57" t="n">
        <f aca="false">J22*(1-CI22)</f>
        <v>0.0860324724294301</v>
      </c>
      <c r="CK22" s="57" t="n">
        <f aca="false">(1-EXP(-r_stroke*F22*rr_asa_stroke*dt))</f>
        <v>0.00765318235061152</v>
      </c>
      <c r="CL22" s="57" t="n">
        <f aca="false">(1-EXP(-r_ich*rr_asa_ich*dt))</f>
        <v>0.00102357767802375</v>
      </c>
      <c r="CM22" s="57" t="n">
        <f aca="false">(1-EXP(-r_mb*rr_asa_mb*dt))</f>
        <v>0.00951809672747972</v>
      </c>
      <c r="CN22" s="57" t="n">
        <f aca="false">(1-EXP(-r_mi*rr_asa_mi*dt))</f>
        <v>0.00213413516393479</v>
      </c>
      <c r="CO22" s="57" t="n">
        <f aca="false">(1-EXP(-r_tia*rr_asa_tia*dt))</f>
        <v>0.00312764565589152</v>
      </c>
      <c r="CP22" s="57" t="n">
        <f aca="false">(1-EXP(-r_minor*rr_asa_minor*dt))</f>
        <v>0.0278181950466747</v>
      </c>
      <c r="CQ22" s="57" t="n">
        <f aca="false">CJ22*CK22</f>
        <v>0.000658422199576387</v>
      </c>
      <c r="CR22" s="57" t="n">
        <f aca="false">CJ22*CL22</f>
        <v>8.8060918363958E-005</v>
      </c>
      <c r="CS22" s="57" t="n">
        <f aca="false">CJ22*CM22</f>
        <v>0.000818865394287548</v>
      </c>
      <c r="CT22" s="57" t="n">
        <f aca="false">CJ22*CN22</f>
        <v>0.000183604924651897</v>
      </c>
      <c r="CU22" s="57" t="n">
        <f aca="false">CJ22*CO22</f>
        <v>0.000269079088659514</v>
      </c>
      <c r="CV22" s="57" t="n">
        <f aca="false">CJ22*CP22</f>
        <v>0.00239326809838955</v>
      </c>
      <c r="CW22" s="57" t="n">
        <f aca="false">CQ22*f_stroke_fatal</f>
        <v>0.000156046061299604</v>
      </c>
      <c r="CX22" s="57" t="n">
        <f aca="false">CQ22*(1-f_stroke_fatal)*f_stroke_major</f>
        <v>0.000167291254046169</v>
      </c>
      <c r="CY22" s="57" t="n">
        <f aca="false">CQ22*(1-f_stroke_fatal)*(1-f_stroke_major)</f>
        <v>0.000335084884230614</v>
      </c>
      <c r="CZ22" s="57" t="n">
        <f aca="false">CR22*(1-f_bleed_fatal)</f>
        <v>8.06638012213855E-005</v>
      </c>
      <c r="DA22" s="57" t="n">
        <f aca="false">CS22*(1-f_bleed_fatal)</f>
        <v>0.000750080701167394</v>
      </c>
      <c r="DB22" s="57" t="n">
        <f aca="false">CT22*f_mi_fatal</f>
        <v>2.22161958828796E-005</v>
      </c>
      <c r="DC22" s="57" t="n">
        <f aca="false">CT22-DB22</f>
        <v>0.000161388728769018</v>
      </c>
      <c r="DD22" s="57" t="n">
        <f aca="false">CJ22-CQ22-CR22-CS22-DB22</f>
        <v>0.0844449077213193</v>
      </c>
      <c r="DE22" s="19" t="n">
        <f aca="false">CW22*c_stroke_fatal+CX22*c_stroke_major+CY22*c_stroke_minor+CR22*c_ich+CS22*c_major_bleed+DB22*c_mi_fatal+DC22*c_mi_nonfatal+CU22*c_tia+CV22*c_minor_bleed</f>
        <v>35.9121230445706</v>
      </c>
      <c r="DF22" s="57" t="n">
        <f aca="false">dt*(DC22*dec_mi+DA22*dec_major_bleed+CV22*dec_minor_bleed+CU22*dec_tia)</f>
        <v>3.70021617536304E-005</v>
      </c>
      <c r="DG22" s="57" t="n">
        <f aca="false">J22*CI22+CW22+CR22-CZ22+CS22-DA22+DB22</f>
        <v>0.00136823704018854</v>
      </c>
      <c r="DH22" s="57" t="n">
        <f aca="false">AG22</f>
        <v>0.652532751938074</v>
      </c>
      <c r="DI22" s="57" t="n">
        <f aca="false">AB22+AC22+BF22+BA22+BB22+BC22+CY22+CZ22</f>
        <v>0.0456717170771496</v>
      </c>
      <c r="DJ22" s="57" t="n">
        <f aca="false">AA22+AZ22+BY22+CX22+CE22+BZ22+CA22+CB22</f>
        <v>0.0143844324634733</v>
      </c>
      <c r="DK22" s="57" t="n">
        <f aca="false">AD22+DD22+DA22</f>
        <v>0.0902658521111176</v>
      </c>
      <c r="DL22" s="57" t="n">
        <f aca="false">K22+AJ22+BI22+CH22+DG22</f>
        <v>0.197145246410186</v>
      </c>
      <c r="DM22" s="58" t="n">
        <f aca="false">SUM(DH22:DL22)</f>
        <v>1</v>
      </c>
      <c r="DN22" s="19" t="n">
        <f aca="false">dt*(G22*Warfarin!$H$2+(H22+I22+J22)*c_aspirin)</f>
        <v>65.8930329202045</v>
      </c>
      <c r="DO22" s="19" t="n">
        <f aca="false">dt*(H22*c_lt_minor_stroke+I22*c_lt_major_stroke)</f>
        <v>209.38431457306</v>
      </c>
      <c r="DP22" s="19" t="n">
        <f aca="false">AH22+BG22+CF22+DE22</f>
        <v>282.102676960568</v>
      </c>
      <c r="DQ22" s="19" t="n">
        <f aca="false">DN22+DO22+DP22</f>
        <v>557.380024453833</v>
      </c>
      <c r="DR22" s="57" t="n">
        <f aca="false">dt*(G22*(u_af-dec_per_year_over_70*MAX(B22-ref_age,0))+H22*(u_minor_stroke-dec_per_year_over_70*MAX(B22-ref_age,0))+I22*(u_major_stroke-dec_per_year_over_70*MAX(B22-ref_age,0))+J22*(u_af-dec_per_year_over_70*MAX(B22-ref_age,0)))-AI22-BH22-CG22-DF22</f>
        <v>0.162433378144009</v>
      </c>
      <c r="DS22" s="57" t="n">
        <f aca="false">dt*(G22+H22+I22+J22)</f>
        <v>0.204086821505508</v>
      </c>
      <c r="DT22" s="19" t="n">
        <f aca="false">DQ22*C22</f>
        <v>525.15466931723</v>
      </c>
      <c r="DU22" s="19" t="n">
        <f aca="false">DN22*C22</f>
        <v>62.0833765031807</v>
      </c>
      <c r="DV22" s="19" t="n">
        <f aca="false">DP22*C22</f>
        <v>265.792693553917</v>
      </c>
      <c r="DW22" s="19" t="n">
        <f aca="false">DO22*C22</f>
        <v>197.278599260132</v>
      </c>
      <c r="DX22" s="57" t="n">
        <f aca="false">DR22*C22</f>
        <v>0.153042167359486</v>
      </c>
      <c r="DY22" s="57" t="n">
        <f aca="false">DS22*C22</f>
        <v>0.192287384831832</v>
      </c>
      <c r="DZ22" s="57" t="n">
        <f aca="false">T22+AS22+BR22+CQ22</f>
        <v>0.00473673812740647</v>
      </c>
      <c r="EA22" s="57" t="n">
        <f aca="false">U22+AT22+BS22+CR22</f>
        <v>0.0014749682835802</v>
      </c>
      <c r="EB22" s="57" t="n">
        <f aca="false">V22+AU22+BT22+CS22</f>
        <v>0.00689040905411014</v>
      </c>
      <c r="EC22" s="57" t="n">
        <f aca="false">G22*dt*C22</f>
        <v>0.158106149107339</v>
      </c>
    </row>
    <row r="23" customFormat="false" ht="15" hidden="false" customHeight="false" outlineLevel="0" collapsed="false">
      <c r="A23" s="8" t="n">
        <v>17</v>
      </c>
      <c r="B23" s="54" t="n">
        <f aca="false">start_age+A23*dt</f>
        <v>74.25</v>
      </c>
      <c r="C23" s="16" t="n">
        <f aca="false">(1+disc_rate)^-(A23*dt)</f>
        <v>0.938683794930681</v>
      </c>
      <c r="D23" s="55" t="n">
        <f aca="false">IF(A23*dt&gt;=wane_start,(1-wane_decay)^(A23*dt-wane_start),1)</f>
        <v>1</v>
      </c>
      <c r="E23" s="25" t="n">
        <f aca="false">MIN(p_nonvasc_death*MIN(EXP(gomp_int+gomp_slope*INT(B23)),1)/qx_ref,0.999)</f>
        <v>0.0501511654557567</v>
      </c>
      <c r="F23" s="55" t="n">
        <f aca="false">rr_stroke_per_decade^((B23-ref_age)/10)</f>
        <v>1.18806112417896</v>
      </c>
      <c r="G23" s="57" t="n">
        <f aca="false">DH22</f>
        <v>0.652532751938074</v>
      </c>
      <c r="H23" s="57" t="n">
        <f aca="false">DI22</f>
        <v>0.0456717170771496</v>
      </c>
      <c r="I23" s="57" t="n">
        <f aca="false">DJ22</f>
        <v>0.0143844324634733</v>
      </c>
      <c r="J23" s="57" t="n">
        <f aca="false">DK22</f>
        <v>0.0902658521111176</v>
      </c>
      <c r="K23" s="57" t="n">
        <f aca="false">DL22</f>
        <v>0.197145246410186</v>
      </c>
      <c r="L23" s="57" t="n">
        <f aca="false">1-EXP(LN(1-E23)*dt)</f>
        <v>0.0127807309653863</v>
      </c>
      <c r="M23" s="57" t="n">
        <f aca="false">G23*(1-L23)</f>
        <v>0.64419290638945</v>
      </c>
      <c r="N23" s="57" t="n">
        <f aca="false">IF(Warfarin!$B$2=1,EXP(LN(or_apx_stroke)*D23)*(1-EXP(-r_stroke*F23*dt))/(1-(1-EXP(-r_stroke*F23*dt))+EXP(LN(or_apx_stroke)*D23)*(1-EXP(-r_stroke*F23*dt))),(1-EXP(-r_stroke*F23*dt)))</f>
        <v>0.0047792159363661</v>
      </c>
      <c r="O23" s="57" t="n">
        <f aca="false">IF(Warfarin!$B$2=1,EXP(LN(or_apx_ich)*D23)*(1-EXP(-r_ich*dt))/(1-(1-EXP(-r_ich*dt))+EXP(LN(or_apx_ich)*D23)*(1-EXP(-r_ich*dt))),(1-EXP(-r_ich*dt)))</f>
        <v>0.0020060281549299</v>
      </c>
      <c r="P23" s="57" t="n">
        <f aca="false">IF(Warfarin!$B$2=1,EXP(LN(or_apx_mb)*D23)*(1-EXP(-r_mb*dt))/(1-(1-EXP(-r_mb*dt))+EXP(LN(or_apx_mb)*D23)*(1-EXP(-r_mb*dt))),(1-EXP(-r_mb*dt)))</f>
        <v>0.00835410477572107</v>
      </c>
      <c r="Q23" s="57" t="n">
        <f aca="false">IF(Warfarin!$B$2=1,EXP(LN(or_apx_mi)*D23)*(1-EXP(-r_mi*dt))/(1-(1-EXP(-r_mi*dt))+EXP(LN(or_apx_mi)*D23)*(1-EXP(-r_mi*dt))),(1-EXP(-r_mi*dt)))</f>
        <v>0.00150338686144691</v>
      </c>
      <c r="R23" s="57" t="n">
        <f aca="false">(1-EXP(-r_tia*dt))</f>
        <v>0.0020060281549299</v>
      </c>
      <c r="S23" s="57" t="n">
        <f aca="false">(1-EXP(-r_minor*dt))</f>
        <v>0.0437937690785545</v>
      </c>
      <c r="T23" s="57" t="n">
        <f aca="false">M23*N23</f>
        <v>0.00307873700431045</v>
      </c>
      <c r="U23" s="57" t="n">
        <f aca="false">M23*O23</f>
        <v>0.00129226910742336</v>
      </c>
      <c r="V23" s="57" t="n">
        <f aca="false">M23*P23</f>
        <v>0.00538165503575374</v>
      </c>
      <c r="W23" s="57" t="n">
        <f aca="false">M23*Q23</f>
        <v>0.000968471151703198</v>
      </c>
      <c r="X23" s="57" t="n">
        <f aca="false">M23*R23</f>
        <v>0.00129226910742336</v>
      </c>
      <c r="Y23" s="57" t="n">
        <f aca="false">M23*S23</f>
        <v>0.0282116353844624</v>
      </c>
      <c r="Z23" s="57" t="n">
        <f aca="false">T23*f_stroke_fatal</f>
        <v>0.000729660670021578</v>
      </c>
      <c r="AA23" s="57" t="n">
        <f aca="false">T23*(1-f_stroke_fatal)*f_stroke_major</f>
        <v>0.000782242419318196</v>
      </c>
      <c r="AB23" s="57" t="n">
        <f aca="false">T23*(1-f_stroke_fatal)*(1-f_stroke_major)</f>
        <v>0.00156683391497068</v>
      </c>
      <c r="AC23" s="57" t="n">
        <f aca="false">U23*(1-f_bleed_fatal)</f>
        <v>0.00118371850239979</v>
      </c>
      <c r="AD23" s="57" t="n">
        <f aca="false">V23*(1-f_bleed_fatal)</f>
        <v>0.00492959601275043</v>
      </c>
      <c r="AE23" s="57" t="n">
        <f aca="false">W23*f_mi_fatal</f>
        <v>0.000117185009356087</v>
      </c>
      <c r="AF23" s="57" t="n">
        <f aca="false">W23-AE23</f>
        <v>0.000851286142347111</v>
      </c>
      <c r="AG23" s="57" t="n">
        <f aca="false">M23-T23-U23-V23-AE23</f>
        <v>0.634323060232606</v>
      </c>
      <c r="AH23" s="19" t="n">
        <f aca="false">Z23*c_stroke_fatal+AA23*c_stroke_major+AB23*c_stroke_minor+U23*c_ich+V23*c_major_bleed+AE23*c_mi_fatal+AF23*c_mi_nonfatal+X23*c_tia+Y23*c_minor_bleed</f>
        <v>201.493690814365</v>
      </c>
      <c r="AI23" s="57" t="n">
        <f aca="false">dt*(AF23*dec_mi+AD23*dec_major_bleed+Y23*dec_minor_bleed+X23*dec_tia)</f>
        <v>0.000264947144757261</v>
      </c>
      <c r="AJ23" s="57" t="n">
        <f aca="false">G23*L23+Z23+U23-AC23+V23-AD23+AE23</f>
        <v>0.00974730085602825</v>
      </c>
      <c r="AK23" s="57" t="n">
        <f aca="false">1-EXP(LN(1-E23)*hr_death_prior_stroke*dt)</f>
        <v>0.0291517901413427</v>
      </c>
      <c r="AL23" s="57" t="n">
        <f aca="false">H23*(1-AK23)</f>
        <v>0.0443403047655217</v>
      </c>
      <c r="AM23" s="57" t="n">
        <f aca="false">(1-EXP(-r_stroke*F23*rr_stroke_prior*rr_asa_stroke*dt))</f>
        <v>0.0169290242534061</v>
      </c>
      <c r="AN23" s="57" t="n">
        <f aca="false">(1-EXP(-r_ich*rr_asa_ich*dt))</f>
        <v>0.00102357767802375</v>
      </c>
      <c r="AO23" s="57" t="n">
        <f aca="false">(1-EXP(-r_mb*rr_asa_mb*dt))</f>
        <v>0.00951809672747972</v>
      </c>
      <c r="AP23" s="57" t="n">
        <f aca="false">(1-EXP(-r_mi*rr_asa_mi*dt))</f>
        <v>0.00213413516393479</v>
      </c>
      <c r="AQ23" s="57" t="n">
        <f aca="false">(1-EXP(-r_tia*rr_asa_tia*dt))</f>
        <v>0.00312764565589152</v>
      </c>
      <c r="AR23" s="57" t="n">
        <f aca="false">(1-EXP(-r_minor*rr_asa_minor*dt))</f>
        <v>0.0278181950466747</v>
      </c>
      <c r="AS23" s="57" t="n">
        <f aca="false">AL23*AM23</f>
        <v>0.000750638094778937</v>
      </c>
      <c r="AT23" s="57" t="n">
        <f aca="false">AL23*AN23</f>
        <v>4.5385746194758E-005</v>
      </c>
      <c r="AU23" s="57" t="n">
        <f aca="false">AL23*AO23</f>
        <v>0.000422035309684166</v>
      </c>
      <c r="AV23" s="57" t="n">
        <f aca="false">AL23*AP23</f>
        <v>9.46282035796853E-005</v>
      </c>
      <c r="AW23" s="57" t="n">
        <f aca="false">AL23*AQ23</f>
        <v>0.00013868076158079</v>
      </c>
      <c r="AX23" s="57" t="n">
        <f aca="false">AL23*AR23</f>
        <v>0.00123346724639628</v>
      </c>
      <c r="AY23" s="57" t="n">
        <f aca="false">AS23*f_stroke_fatal_recur</f>
        <v>0.000279304928686295</v>
      </c>
      <c r="AZ23" s="57" t="n">
        <f aca="false">AS23*(1-f_stroke_fatal_recur)*f_stroke_major</f>
        <v>0.00015695394430885</v>
      </c>
      <c r="BA23" s="57" t="n">
        <f aca="false">AS23*(1-f_stroke_fatal_recur)*(1-f_stroke_major)</f>
        <v>0.000314379221783792</v>
      </c>
      <c r="BB23" s="57" t="n">
        <f aca="false">AT23*(1-f_bleed_fatal)</f>
        <v>4.15733435143983E-005</v>
      </c>
      <c r="BC23" s="57" t="n">
        <f aca="false">AU23*(1-f_bleed_fatal)</f>
        <v>0.000386584343670696</v>
      </c>
      <c r="BD23" s="57" t="n">
        <f aca="false">AV23*f_mi_fatal</f>
        <v>1.14500126331419E-005</v>
      </c>
      <c r="BE23" s="57" t="n">
        <f aca="false">AV23-BD23</f>
        <v>8.31781909465434E-005</v>
      </c>
      <c r="BF23" s="57" t="n">
        <f aca="false">AL23-AS23-AT23-AU23-BD23</f>
        <v>0.0431107956022307</v>
      </c>
      <c r="BG23" s="19" t="n">
        <f aca="false">AY23*c_stroke_fatal+AZ23*c_stroke_major+BA23*c_stroke_minor+AT23*c_ich+AU23*c_major_bleed+BD23*c_mi_fatal+BE23*c_mi_nonfatal+AW23*c_tia+AX23*c_minor_bleed</f>
        <v>31.8523821511133</v>
      </c>
      <c r="BH23" s="57" t="n">
        <f aca="false">dt*(BE23*dec_mi+BC23*dec_major_bleed+AX23*dec_minor_bleed+AW23*dec_tia)</f>
        <v>1.90705565329987E-005</v>
      </c>
      <c r="BI23" s="57" t="n">
        <f aca="false">H23*AK23+AY23+AT23-BB23+AU23-BC23+BD23</f>
        <v>0.00166143062164111</v>
      </c>
      <c r="BJ23" s="57" t="n">
        <f aca="false">1-EXP(LN(1-E23)*hr_death_prior_stroke*dt)</f>
        <v>0.0291517901413427</v>
      </c>
      <c r="BK23" s="57" t="n">
        <f aca="false">I23*(1-BJ23)</f>
        <v>0.0139651005069958</v>
      </c>
      <c r="BL23" s="57" t="n">
        <f aca="false">(1-EXP(-r_stroke*F23*rr_stroke_prior*rr_asa_stroke*dt))</f>
        <v>0.0169290242534061</v>
      </c>
      <c r="BM23" s="57" t="n">
        <f aca="false">(1-EXP(-r_ich*rr_asa_ich*dt))</f>
        <v>0.00102357767802375</v>
      </c>
      <c r="BN23" s="57" t="n">
        <f aca="false">(1-EXP(-r_mb*rr_asa_mb*dt))</f>
        <v>0.00951809672747972</v>
      </c>
      <c r="BO23" s="57" t="n">
        <f aca="false">(1-EXP(-r_mi*rr_asa_mi*dt))</f>
        <v>0.00213413516393479</v>
      </c>
      <c r="BP23" s="57" t="n">
        <f aca="false">(1-EXP(-r_tia*rr_asa_tia*dt))</f>
        <v>0.00312764565589152</v>
      </c>
      <c r="BQ23" s="57" t="n">
        <f aca="false">(1-EXP(-r_minor*rr_asa_minor*dt))</f>
        <v>0.0278181950466747</v>
      </c>
      <c r="BR23" s="57" t="n">
        <f aca="false">BK23*BL23</f>
        <v>0.000236415525184187</v>
      </c>
      <c r="BS23" s="57" t="n">
        <f aca="false">BK23*BM23</f>
        <v>1.4294365150319E-005</v>
      </c>
      <c r="BT23" s="57" t="n">
        <f aca="false">BK23*BN23</f>
        <v>0.000132921177434562</v>
      </c>
      <c r="BU23" s="57" t="n">
        <f aca="false">BK23*BO23</f>
        <v>2.98034120598634E-005</v>
      </c>
      <c r="BV23" s="57" t="n">
        <f aca="false">BK23*BP23</f>
        <v>4.3677885934794E-005</v>
      </c>
      <c r="BW23" s="57" t="n">
        <f aca="false">BK23*BQ23</f>
        <v>0.000388483889750026</v>
      </c>
      <c r="BX23" s="57" t="n">
        <f aca="false">BR23*f_stroke_fatal_recur</f>
        <v>8.79678527657841E-005</v>
      </c>
      <c r="BY23" s="57" t="n">
        <f aca="false">BR23*(1-f_stroke_fatal_recur)*f_stroke_major</f>
        <v>4.94330749153281E-005</v>
      </c>
      <c r="BZ23" s="57" t="n">
        <f aca="false">BR23*(1-f_stroke_fatal_recur)*(1-f_stroke_major)</f>
        <v>9.90145975030746E-005</v>
      </c>
      <c r="CA23" s="57" t="n">
        <f aca="false">BS23*(1-f_bleed_fatal)</f>
        <v>1.30936384776922E-005</v>
      </c>
      <c r="CB23" s="57" t="n">
        <f aca="false">BT23*(1-f_bleed_fatal)</f>
        <v>0.000121755798530059</v>
      </c>
      <c r="CC23" s="57" t="n">
        <f aca="false">BU23*f_mi_fatal</f>
        <v>3.60621285924347E-006</v>
      </c>
      <c r="CD23" s="57" t="n">
        <f aca="false">BU23-CC23</f>
        <v>2.61971992006199E-005</v>
      </c>
      <c r="CE23" s="57" t="n">
        <f aca="false">BK23-BR23-BS23-BT23-CC23</f>
        <v>0.0135778632263675</v>
      </c>
      <c r="CF23" s="19" t="n">
        <f aca="false">BX23*c_stroke_fatal+BY23*c_stroke_major+BZ23*c_stroke_minor+BS23*c_ich+BT23*c_major_bleed+CC23*c_mi_fatal+CD23*c_mi_nonfatal+BV23*c_tia+BW23*c_minor_bleed</f>
        <v>10.0319950546083</v>
      </c>
      <c r="CG23" s="57" t="n">
        <f aca="false">dt*(CD23*dec_mi+CB23*dec_major_bleed+BW23*dec_minor_bleed+BV23*dec_tia)</f>
        <v>6.00632404571926E-006</v>
      </c>
      <c r="CH23" s="57" t="n">
        <f aca="false">I23*BJ23+BX23+BS23-CA23+BT23-CB23+CC23</f>
        <v>0.000523272127679649</v>
      </c>
      <c r="CI23" s="57" t="n">
        <f aca="false">1-EXP(LN(1-E23)*dt)</f>
        <v>0.0127807309653863</v>
      </c>
      <c r="CJ23" s="57" t="n">
        <f aca="false">J23*(1-CI23)</f>
        <v>0.0891121885399241</v>
      </c>
      <c r="CK23" s="57" t="n">
        <f aca="false">(1-EXP(-r_stroke*F23*rr_asa_stroke*dt))</f>
        <v>0.00773085215897451</v>
      </c>
      <c r="CL23" s="57" t="n">
        <f aca="false">(1-EXP(-r_ich*rr_asa_ich*dt))</f>
        <v>0.00102357767802375</v>
      </c>
      <c r="CM23" s="57" t="n">
        <f aca="false">(1-EXP(-r_mb*rr_asa_mb*dt))</f>
        <v>0.00951809672747972</v>
      </c>
      <c r="CN23" s="57" t="n">
        <f aca="false">(1-EXP(-r_mi*rr_asa_mi*dt))</f>
        <v>0.00213413516393479</v>
      </c>
      <c r="CO23" s="57" t="n">
        <f aca="false">(1-EXP(-r_tia*rr_asa_tia*dt))</f>
        <v>0.00312764565589152</v>
      </c>
      <c r="CP23" s="57" t="n">
        <f aca="false">(1-EXP(-r_minor*rr_asa_minor*dt))</f>
        <v>0.0278181950466747</v>
      </c>
      <c r="CQ23" s="57" t="n">
        <f aca="false">CJ23*CK23</f>
        <v>0.000688913155164816</v>
      </c>
      <c r="CR23" s="57" t="n">
        <f aca="false">CJ23*CL23</f>
        <v>9.12132470293098E-005</v>
      </c>
      <c r="CS23" s="57" t="n">
        <f aca="false">CJ23*CM23</f>
        <v>0.000848178430120407</v>
      </c>
      <c r="CT23" s="57" t="n">
        <f aca="false">CJ23*CN23</f>
        <v>0.000190177455098239</v>
      </c>
      <c r="CU23" s="57" t="n">
        <f aca="false">CJ23*CO23</f>
        <v>0.00027871134937388</v>
      </c>
      <c r="CV23" s="57" t="n">
        <f aca="false">CJ23*CP23</f>
        <v>0.00247894024183966</v>
      </c>
      <c r="CW23" s="57" t="n">
        <f aca="false">CQ23*f_stroke_fatal</f>
        <v>0.000163272417774061</v>
      </c>
      <c r="CX23" s="57" t="n">
        <f aca="false">CQ23*(1-f_stroke_fatal)*f_stroke_major</f>
        <v>0.000175038365551121</v>
      </c>
      <c r="CY23" s="57" t="n">
        <f aca="false">CQ23*(1-f_stroke_fatal)*(1-f_stroke_major)</f>
        <v>0.000350602371839633</v>
      </c>
      <c r="CZ23" s="57" t="n">
        <f aca="false">CR23*(1-f_bleed_fatal)</f>
        <v>8.35513342788477E-005</v>
      </c>
      <c r="DA23" s="57" t="n">
        <f aca="false">CS23*(1-f_bleed_fatal)</f>
        <v>0.000776931441990293</v>
      </c>
      <c r="DB23" s="57" t="n">
        <f aca="false">CT23*f_mi_fatal</f>
        <v>2.30114720668869E-005</v>
      </c>
      <c r="DC23" s="57" t="n">
        <f aca="false">CT23-DB23</f>
        <v>0.000167165983031352</v>
      </c>
      <c r="DD23" s="57" t="n">
        <f aca="false">CJ23-CQ23-CR23-CS23-DB23</f>
        <v>0.0874608722355427</v>
      </c>
      <c r="DE23" s="19" t="n">
        <f aca="false">CW23*c_stroke_fatal+CX23*c_stroke_major+CY23*c_stroke_minor+CR23*c_ich+CS23*c_major_bleed+DB23*c_mi_fatal+DC23*c_mi_nonfatal+CU23*c_tia+CV23*c_minor_bleed</f>
        <v>37.4534008153279</v>
      </c>
      <c r="DF23" s="57" t="n">
        <f aca="false">dt*(DC23*dec_mi+DA23*dec_major_bleed+CV23*dec_minor_bleed+CU23*dec_tia)</f>
        <v>3.83267331678628E-005</v>
      </c>
      <c r="DG23" s="57" t="n">
        <f aca="false">J23*CI23+CW23+CR23-CZ23+CS23-DA23+DB23</f>
        <v>0.00141885636191507</v>
      </c>
      <c r="DH23" s="57" t="n">
        <f aca="false">AG23</f>
        <v>0.634323060232606</v>
      </c>
      <c r="DI23" s="57" t="n">
        <f aca="false">AB23+AC23+BF23+BA23+BB23+BC23+CY23+CZ23</f>
        <v>0.0470380386346885</v>
      </c>
      <c r="DJ23" s="57" t="n">
        <f aca="false">AA23+AZ23+BY23+CX23+CE23+BZ23+CA23+CB23</f>
        <v>0.0149753950649718</v>
      </c>
      <c r="DK23" s="57" t="n">
        <f aca="false">AD23+DD23+DA23</f>
        <v>0.0931673996902834</v>
      </c>
      <c r="DL23" s="57" t="n">
        <f aca="false">K23+AJ23+BI23+CH23+DG23</f>
        <v>0.21049610637745</v>
      </c>
      <c r="DM23" s="58" t="n">
        <f aca="false">SUM(DH23:DL23)</f>
        <v>1</v>
      </c>
      <c r="DN23" s="19" t="n">
        <f aca="false">dt*(G23*Warfarin!$H$2+(H23+I23+J23)*c_aspirin)</f>
        <v>64.1476170746259</v>
      </c>
      <c r="DO23" s="19" t="n">
        <f aca="false">dt*(H23*c_lt_minor_stroke+I23*c_lt_major_stroke)</f>
        <v>217.376909751521</v>
      </c>
      <c r="DP23" s="19" t="n">
        <f aca="false">AH23+BG23+CF23+DE23</f>
        <v>280.831468835415</v>
      </c>
      <c r="DQ23" s="19" t="n">
        <f aca="false">DN23+DO23+DP23</f>
        <v>562.355995661561</v>
      </c>
      <c r="DR23" s="57" t="n">
        <f aca="false">dt*(G23*(u_af-dec_per_year_over_70*MAX(B23-ref_age,0))+H23*(u_minor_stroke-dec_per_year_over_70*MAX(B23-ref_age,0))+I23*(u_major_stroke-dec_per_year_over_70*MAX(B23-ref_age,0))+J23*(u_af-dec_per_year_over_70*MAX(B23-ref_age,0)))-AI23-BH23-CG23-DF23</f>
        <v>0.159600499451811</v>
      </c>
      <c r="DS23" s="57" t="n">
        <f aca="false">dt*(G23+H23+I23+J23)</f>
        <v>0.200713688397454</v>
      </c>
      <c r="DT23" s="19" t="n">
        <f aca="false">DQ23*C23</f>
        <v>527.874460109616</v>
      </c>
      <c r="DU23" s="19" t="n">
        <f aca="false">DN23*C23</f>
        <v>60.21432863137</v>
      </c>
      <c r="DV23" s="19" t="n">
        <f aca="false">DP23*C23</f>
        <v>263.611948902385</v>
      </c>
      <c r="DW23" s="19" t="n">
        <f aca="false">DO23*C23</f>
        <v>204.048182575862</v>
      </c>
      <c r="DX23" s="57" t="n">
        <f aca="false">DR23*C23</f>
        <v>0.149814402498258</v>
      </c>
      <c r="DY23" s="57" t="n">
        <f aca="false">DS23*C23</f>
        <v>0.188406686719456</v>
      </c>
      <c r="DZ23" s="57" t="n">
        <f aca="false">T23+AS23+BR23+CQ23</f>
        <v>0.00475470377943839</v>
      </c>
      <c r="EA23" s="57" t="n">
        <f aca="false">U23+AT23+BS23+CR23</f>
        <v>0.00144316246579774</v>
      </c>
      <c r="EB23" s="57" t="n">
        <f aca="false">V23+AU23+BT23+CS23</f>
        <v>0.00678478995299288</v>
      </c>
      <c r="EC23" s="57" t="n">
        <f aca="false">G23*dt*C23</f>
        <v>0.153130479976448</v>
      </c>
    </row>
    <row r="24" customFormat="false" ht="15" hidden="false" customHeight="false" outlineLevel="0" collapsed="false">
      <c r="A24" s="8" t="n">
        <v>18</v>
      </c>
      <c r="B24" s="54" t="n">
        <f aca="false">start_age+A24*dt</f>
        <v>74.5</v>
      </c>
      <c r="C24" s="16" t="n">
        <f aca="false">(1+disc_rate)^-(A24*dt)</f>
        <v>0.935196364512832</v>
      </c>
      <c r="D24" s="55" t="n">
        <f aca="false">IF(A24*dt&gt;=wane_start,(1-wane_decay)^(A24*dt-wane_start),1)</f>
        <v>1</v>
      </c>
      <c r="E24" s="25" t="n">
        <f aca="false">MIN(p_nonvasc_death*MIN(EXP(gomp_int+gomp_slope*INT(B24)),1)/qx_ref,0.999)</f>
        <v>0.0501511654557567</v>
      </c>
      <c r="F24" s="55" t="n">
        <f aca="false">rr_stroke_per_decade^((B24-ref_age)/10)</f>
        <v>1.20016530160988</v>
      </c>
      <c r="G24" s="57" t="n">
        <f aca="false">DH23</f>
        <v>0.634323060232606</v>
      </c>
      <c r="H24" s="57" t="n">
        <f aca="false">DI23</f>
        <v>0.0470380386346885</v>
      </c>
      <c r="I24" s="57" t="n">
        <f aca="false">DJ23</f>
        <v>0.0149753950649718</v>
      </c>
      <c r="J24" s="57" t="n">
        <f aca="false">DK23</f>
        <v>0.0931673996902834</v>
      </c>
      <c r="K24" s="57" t="n">
        <f aca="false">DL23</f>
        <v>0.21049610637745</v>
      </c>
      <c r="L24" s="57" t="n">
        <f aca="false">1-EXP(LN(1-E24)*dt)</f>
        <v>0.0127807309653863</v>
      </c>
      <c r="M24" s="57" t="n">
        <f aca="false">G24*(1-L24)</f>
        <v>0.626215947854633</v>
      </c>
      <c r="N24" s="57" t="n">
        <f aca="false">IF(Warfarin!$B$2=1,EXP(LN(or_apx_stroke)*D24)*(1-EXP(-r_stroke*F24*dt))/(1-(1-EXP(-r_stroke*F24*dt))+EXP(LN(or_apx_stroke)*D24)*(1-EXP(-r_stroke*F24*dt))),(1-EXP(-r_stroke*F24*dt)))</f>
        <v>0.00482778971109155</v>
      </c>
      <c r="O24" s="57" t="n">
        <f aca="false">IF(Warfarin!$B$2=1,EXP(LN(or_apx_ich)*D24)*(1-EXP(-r_ich*dt))/(1-(1-EXP(-r_ich*dt))+EXP(LN(or_apx_ich)*D24)*(1-EXP(-r_ich*dt))),(1-EXP(-r_ich*dt)))</f>
        <v>0.0020060281549299</v>
      </c>
      <c r="P24" s="57" t="n">
        <f aca="false">IF(Warfarin!$B$2=1,EXP(LN(or_apx_mb)*D24)*(1-EXP(-r_mb*dt))/(1-(1-EXP(-r_mb*dt))+EXP(LN(or_apx_mb)*D24)*(1-EXP(-r_mb*dt))),(1-EXP(-r_mb*dt)))</f>
        <v>0.00835410477572107</v>
      </c>
      <c r="Q24" s="57" t="n">
        <f aca="false">IF(Warfarin!$B$2=1,EXP(LN(or_apx_mi)*D24)*(1-EXP(-r_mi*dt))/(1-(1-EXP(-r_mi*dt))+EXP(LN(or_apx_mi)*D24)*(1-EXP(-r_mi*dt))),(1-EXP(-r_mi*dt)))</f>
        <v>0.00150338686144691</v>
      </c>
      <c r="R24" s="57" t="n">
        <f aca="false">(1-EXP(-r_tia*dt))</f>
        <v>0.0020060281549299</v>
      </c>
      <c r="S24" s="57" t="n">
        <f aca="false">(1-EXP(-r_minor*dt))</f>
        <v>0.0437937690785545</v>
      </c>
      <c r="T24" s="57" t="n">
        <f aca="false">M24*N24</f>
        <v>0.00302323890997404</v>
      </c>
      <c r="U24" s="57" t="n">
        <f aca="false">M24*O24</f>
        <v>0.0012562068224625</v>
      </c>
      <c r="V24" s="57" t="n">
        <f aca="false">M24*P24</f>
        <v>0.00523147364060509</v>
      </c>
      <c r="W24" s="57" t="n">
        <f aca="false">M24*Q24</f>
        <v>0.000941444828433178</v>
      </c>
      <c r="X24" s="57" t="n">
        <f aca="false">M24*R24</f>
        <v>0.0012562068224625</v>
      </c>
      <c r="Y24" s="57" t="n">
        <f aca="false">M24*S24</f>
        <v>0.0274243566136539</v>
      </c>
      <c r="Z24" s="57" t="n">
        <f aca="false">T24*f_stroke_fatal</f>
        <v>0.000716507621663847</v>
      </c>
      <c r="AA24" s="57" t="n">
        <f aca="false">T24*(1-f_stroke_fatal)*f_stroke_major</f>
        <v>0.000768141519007293</v>
      </c>
      <c r="AB24" s="57" t="n">
        <f aca="false">T24*(1-f_stroke_fatal)*(1-f_stroke_major)</f>
        <v>0.0015385897693029</v>
      </c>
      <c r="AC24" s="57" t="n">
        <f aca="false">U24*(1-f_bleed_fatal)</f>
        <v>0.00115068544937565</v>
      </c>
      <c r="AD24" s="57" t="n">
        <f aca="false">V24*(1-f_bleed_fatal)</f>
        <v>0.00479202985479426</v>
      </c>
      <c r="AE24" s="57" t="n">
        <f aca="false">W24*f_mi_fatal</f>
        <v>0.000113914824240415</v>
      </c>
      <c r="AF24" s="57" t="n">
        <f aca="false">W24-AE24</f>
        <v>0.000827530004192763</v>
      </c>
      <c r="AG24" s="57" t="n">
        <f aca="false">M24-T24-U24-V24-AE24</f>
        <v>0.616591113657351</v>
      </c>
      <c r="AH24" s="19" t="n">
        <f aca="false">Z24*c_stroke_fatal+AA24*c_stroke_major+AB24*c_stroke_minor+U24*c_ich+V24*c_major_bleed+AE24*c_mi_fatal+AF24*c_mi_nonfatal+X24*c_tia+Y24*c_minor_bleed</f>
        <v>196.994633999015</v>
      </c>
      <c r="AI24" s="57" t="n">
        <f aca="false">dt*(AF24*dec_mi+AD24*dec_major_bleed+Y24*dec_minor_bleed+X24*dec_tia)</f>
        <v>0.000257553483964077</v>
      </c>
      <c r="AJ24" s="57" t="n">
        <f aca="false">G24*L24+Z24+U24-AC24+V24-AD24+AE24</f>
        <v>0.00948249998277544</v>
      </c>
      <c r="AK24" s="57" t="n">
        <f aca="false">1-EXP(LN(1-E24)*hr_death_prior_stroke*dt)</f>
        <v>0.0291517901413427</v>
      </c>
      <c r="AL24" s="57" t="n">
        <f aca="false">H24*(1-AK24)</f>
        <v>0.0456667956037497</v>
      </c>
      <c r="AM24" s="57" t="n">
        <f aca="false">(1-EXP(-r_stroke*F24*rr_stroke_prior*rr_asa_stroke*dt))</f>
        <v>0.0171000170488745</v>
      </c>
      <c r="AN24" s="57" t="n">
        <f aca="false">(1-EXP(-r_ich*rr_asa_ich*dt))</f>
        <v>0.00102357767802375</v>
      </c>
      <c r="AO24" s="57" t="n">
        <f aca="false">(1-EXP(-r_mb*rr_asa_mb*dt))</f>
        <v>0.00951809672747972</v>
      </c>
      <c r="AP24" s="57" t="n">
        <f aca="false">(1-EXP(-r_mi*rr_asa_mi*dt))</f>
        <v>0.00213413516393479</v>
      </c>
      <c r="AQ24" s="57" t="n">
        <f aca="false">(1-EXP(-r_tia*rr_asa_tia*dt))</f>
        <v>0.00312764565589152</v>
      </c>
      <c r="AR24" s="57" t="n">
        <f aca="false">(1-EXP(-r_minor*rr_asa_minor*dt))</f>
        <v>0.0278181950466747</v>
      </c>
      <c r="AS24" s="57" t="n">
        <f aca="false">AL24*AM24</f>
        <v>0.000780902983391589</v>
      </c>
      <c r="AT24" s="57" t="n">
        <f aca="false">AL24*AN24</f>
        <v>4.67435126068712E-005</v>
      </c>
      <c r="AU24" s="57" t="n">
        <f aca="false">AL24*AO24</f>
        <v>0.000434660977790536</v>
      </c>
      <c r="AV24" s="57" t="n">
        <f aca="false">AL24*AP24</f>
        <v>9.74591143221851E-005</v>
      </c>
      <c r="AW24" s="57" t="n">
        <f aca="false">AL24*AQ24</f>
        <v>0.000142829554888554</v>
      </c>
      <c r="AX24" s="57" t="n">
        <f aca="false">AL24*AR24</f>
        <v>0.00127036782726174</v>
      </c>
      <c r="AY24" s="57" t="n">
        <f aca="false">AS24*f_stroke_fatal_recur</f>
        <v>0.000290566191090176</v>
      </c>
      <c r="AZ24" s="57" t="n">
        <f aca="false">AS24*(1-f_stroke_fatal_recur)*f_stroke_major</f>
        <v>0.00016328215183637</v>
      </c>
      <c r="BA24" s="57" t="n">
        <f aca="false">AS24*(1-f_stroke_fatal_recur)*(1-f_stroke_major)</f>
        <v>0.000327054640465042</v>
      </c>
      <c r="BB24" s="57" t="n">
        <f aca="false">AT24*(1-f_bleed_fatal)</f>
        <v>4.2817057547894E-005</v>
      </c>
      <c r="BC24" s="57" t="n">
        <f aca="false">AU24*(1-f_bleed_fatal)</f>
        <v>0.000398149455656131</v>
      </c>
      <c r="BD24" s="57" t="n">
        <f aca="false">AV24*f_mi_fatal</f>
        <v>1.17925528329844E-005</v>
      </c>
      <c r="BE24" s="57" t="n">
        <f aca="false">AV24-BD24</f>
        <v>8.56665614892007E-005</v>
      </c>
      <c r="BF24" s="57" t="n">
        <f aca="false">AL24-AS24-AT24-AU24-BD24</f>
        <v>0.0443926955771278</v>
      </c>
      <c r="BG24" s="19" t="n">
        <f aca="false">AY24*c_stroke_fatal+AZ24*c_stroke_major+BA24*c_stroke_minor+AT24*c_ich+AU24*c_major_bleed+BD24*c_mi_fatal+BE24*c_mi_nonfatal+AW24*c_tia+AX24*c_minor_bleed</f>
        <v>33.0745220248278</v>
      </c>
      <c r="BH24" s="57" t="n">
        <f aca="false">dt*(BE24*dec_mi+BC24*dec_major_bleed+AX24*dec_minor_bleed+AW24*dec_tia)</f>
        <v>1.96410740036094E-005</v>
      </c>
      <c r="BI24" s="57" t="n">
        <f aca="false">H24*AK24+AY24+AT24-BB24+AU24-BC24+BD24</f>
        <v>0.00171403975205535</v>
      </c>
      <c r="BJ24" s="57" t="n">
        <f aca="false">1-EXP(LN(1-E24)*hr_death_prior_stroke*dt)</f>
        <v>0.0291517901413427</v>
      </c>
      <c r="BK24" s="57" t="n">
        <f aca="false">I24*(1-BJ24)</f>
        <v>0.0145388354907541</v>
      </c>
      <c r="BL24" s="57" t="n">
        <f aca="false">(1-EXP(-r_stroke*F24*rr_stroke_prior*rr_asa_stroke*dt))</f>
        <v>0.0171000170488745</v>
      </c>
      <c r="BM24" s="57" t="n">
        <f aca="false">(1-EXP(-r_ich*rr_asa_ich*dt))</f>
        <v>0.00102357767802375</v>
      </c>
      <c r="BN24" s="57" t="n">
        <f aca="false">(1-EXP(-r_mb*rr_asa_mb*dt))</f>
        <v>0.00951809672747972</v>
      </c>
      <c r="BO24" s="57" t="n">
        <f aca="false">(1-EXP(-r_mi*rr_asa_mi*dt))</f>
        <v>0.00213413516393479</v>
      </c>
      <c r="BP24" s="57" t="n">
        <f aca="false">(1-EXP(-r_tia*rr_asa_tia*dt))</f>
        <v>0.00312764565589152</v>
      </c>
      <c r="BQ24" s="57" t="n">
        <f aca="false">(1-EXP(-r_minor*rr_asa_minor*dt))</f>
        <v>0.0278181950466747</v>
      </c>
      <c r="BR24" s="57" t="n">
        <f aca="false">BK24*BL24</f>
        <v>0.000248614334762677</v>
      </c>
      <c r="BS24" s="57" t="n">
        <f aca="false">BK24*BM24</f>
        <v>1.48816274727953E-005</v>
      </c>
      <c r="BT24" s="57" t="n">
        <f aca="false">BK24*BN24</f>
        <v>0.000138382042505912</v>
      </c>
      <c r="BU24" s="57" t="n">
        <f aca="false">BK24*BO24</f>
        <v>3.10278400634814E-005</v>
      </c>
      <c r="BV24" s="57" t="n">
        <f aca="false">BK24*BP24</f>
        <v>4.54723256643785E-005</v>
      </c>
      <c r="BW24" s="57" t="n">
        <f aca="false">BK24*BQ24</f>
        <v>0.000404444161433314</v>
      </c>
      <c r="BX24" s="57" t="n">
        <f aca="false">BR24*f_stroke_fatal_recur</f>
        <v>9.25069078218445E-005</v>
      </c>
      <c r="BY24" s="57" t="n">
        <f aca="false">BR24*(1-f_stroke_fatal_recur)*f_stroke_major</f>
        <v>5.19837731712972E-005</v>
      </c>
      <c r="BZ24" s="57" t="n">
        <f aca="false">BR24*(1-f_stroke_fatal_recur)*(1-f_stroke_major)</f>
        <v>0.000104123653769535</v>
      </c>
      <c r="CA24" s="57" t="n">
        <f aca="false">BS24*(1-f_bleed_fatal)</f>
        <v>1.36315707650805E-005</v>
      </c>
      <c r="CB24" s="57" t="n">
        <f aca="false">BT24*(1-f_bleed_fatal)</f>
        <v>0.000126757950935416</v>
      </c>
      <c r="CC24" s="57" t="n">
        <f aca="false">BU24*f_mi_fatal</f>
        <v>3.75436864768125E-006</v>
      </c>
      <c r="CD24" s="57" t="n">
        <f aca="false">BU24-CC24</f>
        <v>2.72734714158002E-005</v>
      </c>
      <c r="CE24" s="57" t="n">
        <f aca="false">BK24-BR24-BS24-BT24-CC24</f>
        <v>0.014133203117365</v>
      </c>
      <c r="CF24" s="19" t="n">
        <f aca="false">BX24*c_stroke_fatal+BY24*c_stroke_major+BZ24*c_stroke_minor+BS24*c_ich+BT24*c_major_bleed+CC24*c_mi_fatal+CD24*c_mi_nonfatal+BV24*c_tia+BW24*c_minor_bleed</f>
        <v>10.5298615393721</v>
      </c>
      <c r="CG24" s="57" t="n">
        <f aca="false">dt*(CD24*dec_mi+CB24*dec_major_bleed+BW24*dec_minor_bleed+BV24*dec_tia)</f>
        <v>6.25308476377433E-006</v>
      </c>
      <c r="CH24" s="57" t="n">
        <f aca="false">I24*BJ24+BX24+BS24-CA24+BT24-CB24+CC24</f>
        <v>0.000545694998965496</v>
      </c>
      <c r="CI24" s="57" t="n">
        <f aca="false">1-EXP(LN(1-E24)*dt)</f>
        <v>0.0127807309653863</v>
      </c>
      <c r="CJ24" s="57" t="n">
        <f aca="false">J24*(1-CI24)</f>
        <v>0.0919766522200972</v>
      </c>
      <c r="CK24" s="57" t="n">
        <f aca="false">(1-EXP(-r_stroke*F24*rr_asa_stroke*dt))</f>
        <v>0.00780930710877914</v>
      </c>
      <c r="CL24" s="57" t="n">
        <f aca="false">(1-EXP(-r_ich*rr_asa_ich*dt))</f>
        <v>0.00102357767802375</v>
      </c>
      <c r="CM24" s="57" t="n">
        <f aca="false">(1-EXP(-r_mb*rr_asa_mb*dt))</f>
        <v>0.00951809672747972</v>
      </c>
      <c r="CN24" s="57" t="n">
        <f aca="false">(1-EXP(-r_mi*rr_asa_mi*dt))</f>
        <v>0.00213413516393479</v>
      </c>
      <c r="CO24" s="57" t="n">
        <f aca="false">(1-EXP(-r_tia*rr_asa_tia*dt))</f>
        <v>0.00312764565589152</v>
      </c>
      <c r="CP24" s="57" t="n">
        <f aca="false">(1-EXP(-r_minor*rr_asa_minor*dt))</f>
        <v>0.0278181950466747</v>
      </c>
      <c r="CQ24" s="57" t="n">
        <f aca="false">CJ24*CK24</f>
        <v>0.000718273924024112</v>
      </c>
      <c r="CR24" s="57" t="n">
        <f aca="false">CJ24*CL24</f>
        <v>9.41452481118448E-005</v>
      </c>
      <c r="CS24" s="57" t="n">
        <f aca="false">CJ24*CM24</f>
        <v>0.000875442672500648</v>
      </c>
      <c r="CT24" s="57" t="n">
        <f aca="false">CJ24*CN24</f>
        <v>0.000196290607763911</v>
      </c>
      <c r="CU24" s="57" t="n">
        <f aca="false">CJ24*CO24</f>
        <v>0.000287670376759632</v>
      </c>
      <c r="CV24" s="57" t="n">
        <f aca="false">CJ24*CP24</f>
        <v>0.00255862445119883</v>
      </c>
      <c r="CW24" s="57" t="n">
        <f aca="false">CQ24*f_stroke_fatal</f>
        <v>0.000170230919993715</v>
      </c>
      <c r="CX24" s="57" t="n">
        <f aca="false">CQ24*(1-f_stroke_fatal)*f_stroke_major</f>
        <v>0.000182498320342122</v>
      </c>
      <c r="CY24" s="57" t="n">
        <f aca="false">CQ24*(1-f_stroke_fatal)*(1-f_stroke_major)</f>
        <v>0.000365544683688275</v>
      </c>
      <c r="CZ24" s="57" t="n">
        <f aca="false">CR24*(1-f_bleed_fatal)</f>
        <v>8.62370472704498E-005</v>
      </c>
      <c r="DA24" s="57" t="n">
        <f aca="false">CS24*(1-f_bleed_fatal)</f>
        <v>0.000801905488010593</v>
      </c>
      <c r="DB24" s="57" t="n">
        <f aca="false">CT24*f_mi_fatal</f>
        <v>2.37511635394332E-005</v>
      </c>
      <c r="DC24" s="57" t="n">
        <f aca="false">CT24-DB24</f>
        <v>0.000172539444224477</v>
      </c>
      <c r="DD24" s="57" t="n">
        <f aca="false">CJ24-CQ24-CR24-CS24-DB24</f>
        <v>0.0902650392119212</v>
      </c>
      <c r="DE24" s="19" t="n">
        <f aca="false">CW24*c_stroke_fatal+CX24*c_stroke_major+CY24*c_stroke_minor+CR24*c_ich+CS24*c_major_bleed+DB24*c_mi_fatal+DC24*c_mi_nonfatal+CU24*c_tia+CV24*c_minor_bleed</f>
        <v>38.9239353472163</v>
      </c>
      <c r="DF24" s="57" t="n">
        <f aca="false">dt*(DC24*dec_mi+DA24*dec_major_bleed+CV24*dec_minor_bleed+CU24*dec_tia)</f>
        <v>3.95587255242153E-005</v>
      </c>
      <c r="DG24" s="57" t="n">
        <f aca="false">J24*CI24+CW24+CR24-CZ24+CS24-DA24+DB24</f>
        <v>0.00146617493905073</v>
      </c>
      <c r="DH24" s="57" t="n">
        <f aca="false">AG24</f>
        <v>0.616591113657351</v>
      </c>
      <c r="DI24" s="57" t="n">
        <f aca="false">AB24+AC24+BF24+BA24+BB24+BC24+CY24+CZ24</f>
        <v>0.0483017736804341</v>
      </c>
      <c r="DJ24" s="57" t="n">
        <f aca="false">AA24+AZ24+BY24+CX24+CE24+BZ24+CA24+CB24</f>
        <v>0.0155436220571921</v>
      </c>
      <c r="DK24" s="57" t="n">
        <f aca="false">AD24+DD24+DA24</f>
        <v>0.0958589745547261</v>
      </c>
      <c r="DL24" s="57" t="n">
        <f aca="false">K24+AJ24+BI24+CH24+DG24</f>
        <v>0.223704516050297</v>
      </c>
      <c r="DM24" s="58" t="n">
        <f aca="false">SUM(DH24:DL24)</f>
        <v>1</v>
      </c>
      <c r="DN24" s="19" t="n">
        <f aca="false">dt*(G24*Warfarin!$H$2+(H24+I24+J24)*c_aspirin)</f>
        <v>62.4458671269825</v>
      </c>
      <c r="DO24" s="19" t="n">
        <f aca="false">dt*(H24*c_lt_minor_stroke+I24*c_lt_major_stroke)</f>
        <v>224.928720031435</v>
      </c>
      <c r="DP24" s="19" t="n">
        <f aca="false">AH24+BG24+CF24+DE24</f>
        <v>279.522952910431</v>
      </c>
      <c r="DQ24" s="19" t="n">
        <f aca="false">DN24+DO24+DP24</f>
        <v>566.897540068849</v>
      </c>
      <c r="DR24" s="57" t="n">
        <f aca="false">dt*(G24*(u_af-dec_per_year_over_70*MAX(B24-ref_age,0))+H24*(u_minor_stroke-dec_per_year_over_70*MAX(B24-ref_age,0))+I24*(u_major_stroke-dec_per_year_over_70*MAX(B24-ref_age,0))+J24*(u_af-dec_per_year_over_70*MAX(B24-ref_age,0)))-AI24-BH24-CG24-DF24</f>
        <v>0.156801072464492</v>
      </c>
      <c r="DS24" s="57" t="n">
        <f aca="false">dt*(G24+H24+I24+J24)</f>
        <v>0.197375973405638</v>
      </c>
      <c r="DT24" s="19" t="n">
        <f aca="false">DQ24*C24</f>
        <v>530.160518523655</v>
      </c>
      <c r="DU24" s="19" t="n">
        <f aca="false">DN24*C24</f>
        <v>58.3991479160054</v>
      </c>
      <c r="DV24" s="19" t="n">
        <f aca="false">DP24*C24</f>
        <v>261.408849359727</v>
      </c>
      <c r="DW24" s="19" t="n">
        <f aca="false">DO24*C24</f>
        <v>210.352521247923</v>
      </c>
      <c r="DX24" s="57" t="n">
        <f aca="false">DR24*C24</f>
        <v>0.146639792920506</v>
      </c>
      <c r="DY24" s="57" t="n">
        <f aca="false">DS24*C24</f>
        <v>0.184585292771134</v>
      </c>
      <c r="DZ24" s="57" t="n">
        <f aca="false">T24+AS24+BR24+CQ24</f>
        <v>0.00477103015215241</v>
      </c>
      <c r="EA24" s="57" t="n">
        <f aca="false">U24+AT24+BS24+CR24</f>
        <v>0.00141197721065402</v>
      </c>
      <c r="EB24" s="57" t="n">
        <f aca="false">V24+AU24+BT24+CS24</f>
        <v>0.00667995933340218</v>
      </c>
      <c r="EC24" s="57" t="n">
        <f aca="false">G24*dt*C24</f>
        <v>0.148304154964047</v>
      </c>
    </row>
    <row r="25" customFormat="false" ht="15" hidden="false" customHeight="false" outlineLevel="0" collapsed="false">
      <c r="A25" s="8" t="n">
        <v>19</v>
      </c>
      <c r="B25" s="54" t="n">
        <f aca="false">start_age+A25*dt</f>
        <v>74.75</v>
      </c>
      <c r="C25" s="16" t="n">
        <f aca="false">(1+disc_rate)^-(A25*dt)</f>
        <v>0.931721890716781</v>
      </c>
      <c r="D25" s="55" t="n">
        <f aca="false">IF(A25*dt&gt;=wane_start,(1-wane_decay)^(A25*dt-wane_start),1)</f>
        <v>1</v>
      </c>
      <c r="E25" s="25" t="n">
        <f aca="false">MIN(p_nonvasc_death*MIN(EXP(gomp_int+gomp_slope*INT(B25)),1)/qx_ref,0.999)</f>
        <v>0.0501511654557567</v>
      </c>
      <c r="F25" s="55" t="n">
        <f aca="false">rr_stroke_per_decade^((B25-ref_age)/10)</f>
        <v>1.21239279854709</v>
      </c>
      <c r="G25" s="57" t="n">
        <f aca="false">DH24</f>
        <v>0.616591113657351</v>
      </c>
      <c r="H25" s="57" t="n">
        <f aca="false">DI24</f>
        <v>0.0483017736804341</v>
      </c>
      <c r="I25" s="57" t="n">
        <f aca="false">DJ24</f>
        <v>0.0155436220571921</v>
      </c>
      <c r="J25" s="57" t="n">
        <f aca="false">DK24</f>
        <v>0.0958589745547261</v>
      </c>
      <c r="K25" s="57" t="n">
        <f aca="false">DL24</f>
        <v>0.223704516050297</v>
      </c>
      <c r="L25" s="57" t="n">
        <f aca="false">1-EXP(LN(1-E25)*dt)</f>
        <v>0.0127807309653863</v>
      </c>
      <c r="M25" s="57" t="n">
        <f aca="false">G25*(1-L25)</f>
        <v>0.608710628518048</v>
      </c>
      <c r="N25" s="57" t="n">
        <f aca="false">IF(Warfarin!$B$2=1,EXP(LN(or_apx_stroke)*D25)*(1-EXP(-r_stroke*F25*dt))/(1-(1-EXP(-r_stroke*F25*dt))+EXP(LN(or_apx_stroke)*D25)*(1-EXP(-r_stroke*F25*dt))),(1-EXP(-r_stroke*F25*dt)))</f>
        <v>0.00487685595695342</v>
      </c>
      <c r="O25" s="57" t="n">
        <f aca="false">IF(Warfarin!$B$2=1,EXP(LN(or_apx_ich)*D25)*(1-EXP(-r_ich*dt))/(1-(1-EXP(-r_ich*dt))+EXP(LN(or_apx_ich)*D25)*(1-EXP(-r_ich*dt))),(1-EXP(-r_ich*dt)))</f>
        <v>0.0020060281549299</v>
      </c>
      <c r="P25" s="57" t="n">
        <f aca="false">IF(Warfarin!$B$2=1,EXP(LN(or_apx_mb)*D25)*(1-EXP(-r_mb*dt))/(1-(1-EXP(-r_mb*dt))+EXP(LN(or_apx_mb)*D25)*(1-EXP(-r_mb*dt))),(1-EXP(-r_mb*dt)))</f>
        <v>0.00835410477572107</v>
      </c>
      <c r="Q25" s="57" t="n">
        <f aca="false">IF(Warfarin!$B$2=1,EXP(LN(or_apx_mi)*D25)*(1-EXP(-r_mi*dt))/(1-(1-EXP(-r_mi*dt))+EXP(LN(or_apx_mi)*D25)*(1-EXP(-r_mi*dt))),(1-EXP(-r_mi*dt)))</f>
        <v>0.00150338686144691</v>
      </c>
      <c r="R25" s="57" t="n">
        <f aca="false">(1-EXP(-r_tia*dt))</f>
        <v>0.0020060281549299</v>
      </c>
      <c r="S25" s="57" t="n">
        <f aca="false">(1-EXP(-r_minor*dt))</f>
        <v>0.0437937690785545</v>
      </c>
      <c r="T25" s="57" t="n">
        <f aca="false">M25*N25</f>
        <v>0.0029685940547491</v>
      </c>
      <c r="U25" s="57" t="n">
        <f aca="false">M25*O25</f>
        <v>0.00122109065901228</v>
      </c>
      <c r="V25" s="57" t="n">
        <f aca="false">M25*P25</f>
        <v>0.0050852323687348</v>
      </c>
      <c r="W25" s="57" t="n">
        <f aca="false">M25*Q25</f>
        <v>0.000915127561337124</v>
      </c>
      <c r="X25" s="57" t="n">
        <f aca="false">M25*R25</f>
        <v>0.00122109065901228</v>
      </c>
      <c r="Y25" s="57" t="n">
        <f aca="false">M25*S25</f>
        <v>0.0266577327009812</v>
      </c>
      <c r="Z25" s="57" t="n">
        <f aca="false">T25*f_stroke_fatal</f>
        <v>0.000703556790975538</v>
      </c>
      <c r="AA25" s="57" t="n">
        <f aca="false">T25*(1-f_stroke_fatal)*f_stroke_major</f>
        <v>0.000754257408836598</v>
      </c>
      <c r="AB25" s="57" t="n">
        <f aca="false">T25*(1-f_stroke_fatal)*(1-f_stroke_major)</f>
        <v>0.00151077985493697</v>
      </c>
      <c r="AC25" s="57" t="n">
        <f aca="false">U25*(1-f_bleed_fatal)</f>
        <v>0.00111851904365525</v>
      </c>
      <c r="AD25" s="57" t="n">
        <f aca="false">V25*(1-f_bleed_fatal)</f>
        <v>0.00465807284976108</v>
      </c>
      <c r="AE25" s="57" t="n">
        <f aca="false">W25*f_mi_fatal</f>
        <v>0.000110730434921792</v>
      </c>
      <c r="AF25" s="57" t="n">
        <f aca="false">W25-AE25</f>
        <v>0.000804397126415332</v>
      </c>
      <c r="AG25" s="57" t="n">
        <f aca="false">M25-T25-U25-V25-AE25</f>
        <v>0.59932498100063</v>
      </c>
      <c r="AH25" s="19" t="n">
        <f aca="false">Z25*c_stroke_fatal+AA25*c_stroke_major+AB25*c_stroke_minor+U25*c_ich+V25*c_major_bleed+AE25*c_mi_fatal+AF25*c_mi_nonfatal+X25*c_tia+Y25*c_minor_bleed</f>
        <v>192.591341494127</v>
      </c>
      <c r="AI25" s="57" t="n">
        <f aca="false">dt*(AF25*dec_mi+AD25*dec_major_bleed+Y25*dec_minor_bleed+X25*dec_tia)</f>
        <v>0.000250353801492739</v>
      </c>
      <c r="AJ25" s="57" t="n">
        <f aca="false">G25*L25+Z25+U25-AC25+V25-AD25+AE25</f>
        <v>0.00922450349953064</v>
      </c>
      <c r="AK25" s="57" t="n">
        <f aca="false">1-EXP(LN(1-E25)*hr_death_prior_stroke*dt)</f>
        <v>0.0291517901413427</v>
      </c>
      <c r="AL25" s="57" t="n">
        <f aca="false">H25*(1-AK25)</f>
        <v>0.0468936905106474</v>
      </c>
      <c r="AM25" s="57" t="n">
        <f aca="false">(1-EXP(-r_stroke*F25*rr_stroke_prior*rr_asa_stroke*dt))</f>
        <v>0.0172727217511767</v>
      </c>
      <c r="AN25" s="57" t="n">
        <f aca="false">(1-EXP(-r_ich*rr_asa_ich*dt))</f>
        <v>0.00102357767802375</v>
      </c>
      <c r="AO25" s="57" t="n">
        <f aca="false">(1-EXP(-r_mb*rr_asa_mb*dt))</f>
        <v>0.00951809672747972</v>
      </c>
      <c r="AP25" s="57" t="n">
        <f aca="false">(1-EXP(-r_mi*rr_asa_mi*dt))</f>
        <v>0.00213413516393479</v>
      </c>
      <c r="AQ25" s="57" t="n">
        <f aca="false">(1-EXP(-r_tia*rr_asa_tia*dt))</f>
        <v>0.00312764565589152</v>
      </c>
      <c r="AR25" s="57" t="n">
        <f aca="false">(1-EXP(-r_minor*rr_asa_minor*dt))</f>
        <v>0.0278181950466747</v>
      </c>
      <c r="AS25" s="57" t="n">
        <f aca="false">AL25*AM25</f>
        <v>0.000809981668076207</v>
      </c>
      <c r="AT25" s="57" t="n">
        <f aca="false">AL25*AN25</f>
        <v>4.79993348468527E-005</v>
      </c>
      <c r="AU25" s="57" t="n">
        <f aca="false">AL25*AO25</f>
        <v>0.00044633868218884</v>
      </c>
      <c r="AV25" s="57" t="n">
        <f aca="false">AL25*AP25</f>
        <v>0.000100077473885448</v>
      </c>
      <c r="AW25" s="57" t="n">
        <f aca="false">AL25*AQ25</f>
        <v>0.000146666847414348</v>
      </c>
      <c r="AX25" s="57" t="n">
        <f aca="false">AL25*AR25</f>
        <v>0.00130449782908359</v>
      </c>
      <c r="AY25" s="57" t="n">
        <f aca="false">AS25*f_stroke_fatal_recur</f>
        <v>0.000301386078874476</v>
      </c>
      <c r="AZ25" s="57" t="n">
        <f aca="false">AS25*(1-f_stroke_fatal_recur)*f_stroke_major</f>
        <v>0.000169362331204176</v>
      </c>
      <c r="BA25" s="57" t="n">
        <f aca="false">AS25*(1-f_stroke_fatal_recur)*(1-f_stroke_major)</f>
        <v>0.000339233257997555</v>
      </c>
      <c r="BB25" s="57" t="n">
        <f aca="false">AT25*(1-f_bleed_fatal)</f>
        <v>4.39673907197171E-005</v>
      </c>
      <c r="BC25" s="57" t="n">
        <f aca="false">AU25*(1-f_bleed_fatal)</f>
        <v>0.000408846232884978</v>
      </c>
      <c r="BD25" s="57" t="n">
        <f aca="false">AV25*f_mi_fatal</f>
        <v>1.21093743401392E-005</v>
      </c>
      <c r="BE25" s="57" t="n">
        <f aca="false">AV25-BD25</f>
        <v>8.79680995453088E-005</v>
      </c>
      <c r="BF25" s="57" t="n">
        <f aca="false">AL25-AS25-AT25-AU25-BD25</f>
        <v>0.0455772614511954</v>
      </c>
      <c r="BG25" s="19" t="n">
        <f aca="false">AY25*c_stroke_fatal+AZ25*c_stroke_major+BA25*c_stroke_minor+AT25*c_ich+AU25*c_major_bleed+BD25*c_mi_fatal+BE25*c_mi_nonfatal+AW25*c_tia+AX25*c_minor_bleed</f>
        <v>34.2423508165961</v>
      </c>
      <c r="BH25" s="57" t="n">
        <f aca="false">dt*(BE25*dec_mi+BC25*dec_major_bleed+AX25*dec_minor_bleed+AW25*dec_tia)</f>
        <v>2.01687557325865E-005</v>
      </c>
      <c r="BI25" s="57" t="n">
        <f aca="false">H25*AK25+AY25+AT25-BB25+AU25-BC25+BD25</f>
        <v>0.00176310301643226</v>
      </c>
      <c r="BJ25" s="57" t="n">
        <f aca="false">1-EXP(LN(1-E25)*hr_death_prior_stroke*dt)</f>
        <v>0.0291517901413427</v>
      </c>
      <c r="BK25" s="57" t="n">
        <f aca="false">I25*(1-BJ25)</f>
        <v>0.0150904976489445</v>
      </c>
      <c r="BL25" s="57" t="n">
        <f aca="false">(1-EXP(-r_stroke*F25*rr_stroke_prior*rr_asa_stroke*dt))</f>
        <v>0.0172727217511767</v>
      </c>
      <c r="BM25" s="57" t="n">
        <f aca="false">(1-EXP(-r_ich*rr_asa_ich*dt))</f>
        <v>0.00102357767802375</v>
      </c>
      <c r="BN25" s="57" t="n">
        <f aca="false">(1-EXP(-r_mb*rr_asa_mb*dt))</f>
        <v>0.00951809672747972</v>
      </c>
      <c r="BO25" s="57" t="n">
        <f aca="false">(1-EXP(-r_mi*rr_asa_mi*dt))</f>
        <v>0.00213413516393479</v>
      </c>
      <c r="BP25" s="57" t="n">
        <f aca="false">(1-EXP(-r_tia*rr_asa_tia*dt))</f>
        <v>0.00312764565589152</v>
      </c>
      <c r="BQ25" s="57" t="n">
        <f aca="false">(1-EXP(-r_minor*rr_asa_minor*dt))</f>
        <v>0.0278181950466747</v>
      </c>
      <c r="BR25" s="57" t="n">
        <f aca="false">BK25*BL25</f>
        <v>0.000260653966977004</v>
      </c>
      <c r="BS25" s="57" t="n">
        <f aca="false">BK25*BM25</f>
        <v>1.54462965437294E-005</v>
      </c>
      <c r="BT25" s="57" t="n">
        <f aca="false">BK25*BN25</f>
        <v>0.000143632816288459</v>
      </c>
      <c r="BU25" s="57" t="n">
        <f aca="false">BK25*BO25</f>
        <v>3.22051616738878E-005</v>
      </c>
      <c r="BV25" s="57" t="n">
        <f aca="false">BK25*BP25</f>
        <v>4.71977294169625E-005</v>
      </c>
      <c r="BW25" s="57" t="n">
        <f aca="false">BK25*BQ25</f>
        <v>0.000419790406949725</v>
      </c>
      <c r="BX25" s="57" t="n">
        <f aca="false">BR25*f_stroke_fatal_recur</f>
        <v>9.69867345724735E-005</v>
      </c>
      <c r="BY25" s="57" t="n">
        <f aca="false">BR25*(1-f_stroke_fatal_recur)*f_stroke_major</f>
        <v>5.45011883907087E-005</v>
      </c>
      <c r="BZ25" s="57" t="n">
        <f aca="false">BR25*(1-f_stroke_fatal_recur)*(1-f_stroke_major)</f>
        <v>0.000109166044013822</v>
      </c>
      <c r="CA25" s="57" t="n">
        <f aca="false">BS25*(1-f_bleed_fatal)</f>
        <v>1.41488076340562E-005</v>
      </c>
      <c r="CB25" s="57" t="n">
        <f aca="false">BT25*(1-f_bleed_fatal)</f>
        <v>0.000131567659720229</v>
      </c>
      <c r="CC25" s="57" t="n">
        <f aca="false">BU25*f_mi_fatal</f>
        <v>3.89682456254042E-006</v>
      </c>
      <c r="CD25" s="57" t="n">
        <f aca="false">BU25-CC25</f>
        <v>2.83083371113474E-005</v>
      </c>
      <c r="CE25" s="57" t="n">
        <f aca="false">BK25-BR25-BS25-BT25-CC25</f>
        <v>0.0146668677445728</v>
      </c>
      <c r="CF25" s="19" t="n">
        <f aca="false">BX25*c_stroke_fatal+BY25*c_stroke_major+BZ25*c_stroke_minor+BS25*c_ich+BT25*c_major_bleed+CC25*c_mi_fatal+CD25*c_mi_nonfatal+BV25*c_tia+BW25*c_minor_bleed</f>
        <v>11.0192673868321</v>
      </c>
      <c r="CG25" s="57" t="n">
        <f aca="false">dt*(CD25*dec_mi+CB25*dec_major_bleed+BW25*dec_minor_bleed+BV25*dec_tia)</f>
        <v>6.49035206336825E-006</v>
      </c>
      <c r="CH25" s="57" t="n">
        <f aca="false">I25*BJ25+BX25+BS25-CA25+BT25-CB25+CC25</f>
        <v>0.000567370612860529</v>
      </c>
      <c r="CI25" s="57" t="n">
        <f aca="false">1-EXP(LN(1-E25)*dt)</f>
        <v>0.0127807309653863</v>
      </c>
      <c r="CJ25" s="57" t="n">
        <f aca="false">J25*(1-CI25)</f>
        <v>0.0946338267903243</v>
      </c>
      <c r="CK25" s="57" t="n">
        <f aca="false">(1-EXP(-r_stroke*F25*rr_asa_stroke*dt))</f>
        <v>0.00788855507327324</v>
      </c>
      <c r="CL25" s="57" t="n">
        <f aca="false">(1-EXP(-r_ich*rr_asa_ich*dt))</f>
        <v>0.00102357767802375</v>
      </c>
      <c r="CM25" s="57" t="n">
        <f aca="false">(1-EXP(-r_mb*rr_asa_mb*dt))</f>
        <v>0.00951809672747972</v>
      </c>
      <c r="CN25" s="57" t="n">
        <f aca="false">(1-EXP(-r_mi*rr_asa_mi*dt))</f>
        <v>0.00213413516393479</v>
      </c>
      <c r="CO25" s="57" t="n">
        <f aca="false">(1-EXP(-r_tia*rr_asa_tia*dt))</f>
        <v>0.00312764565589152</v>
      </c>
      <c r="CP25" s="57" t="n">
        <f aca="false">(1-EXP(-r_minor*rr_asa_minor*dt))</f>
        <v>0.0278181950466747</v>
      </c>
      <c r="CQ25" s="57" t="n">
        <f aca="false">CJ25*CK25</f>
        <v>0.000746524154430074</v>
      </c>
      <c r="CR25" s="57" t="n">
        <f aca="false">CJ25*CL25</f>
        <v>9.68650726885415E-005</v>
      </c>
      <c r="CS25" s="57" t="n">
        <f aca="false">CJ25*CM25</f>
        <v>0.000900733917081868</v>
      </c>
      <c r="CT25" s="57" t="n">
        <f aca="false">CJ25*CN25</f>
        <v>0.000201961377450945</v>
      </c>
      <c r="CU25" s="57" t="n">
        <f aca="false">CJ25*CO25</f>
        <v>0.000295981077261148</v>
      </c>
      <c r="CV25" s="57" t="n">
        <f aca="false">CJ25*CP25</f>
        <v>0.00263254225166647</v>
      </c>
      <c r="CW25" s="57" t="n">
        <f aca="false">CQ25*f_stroke_fatal</f>
        <v>0.000176926224599927</v>
      </c>
      <c r="CX25" s="57" t="n">
        <f aca="false">CQ25*(1-f_stroke_fatal)*f_stroke_major</f>
        <v>0.000189676110633439</v>
      </c>
      <c r="CY25" s="57" t="n">
        <f aca="false">CQ25*(1-f_stroke_fatal)*(1-f_stroke_major)</f>
        <v>0.000379921819196708</v>
      </c>
      <c r="CZ25" s="57" t="n">
        <f aca="false">CR25*(1-f_bleed_fatal)</f>
        <v>8.8728406582704E-005</v>
      </c>
      <c r="DA25" s="57" t="n">
        <f aca="false">CS25*(1-f_bleed_fatal)</f>
        <v>0.000825072268046991</v>
      </c>
      <c r="DB25" s="57" t="n">
        <f aca="false">CT25*f_mi_fatal</f>
        <v>2.44373266715644E-005</v>
      </c>
      <c r="DC25" s="57" t="n">
        <f aca="false">CT25-DB25</f>
        <v>0.000177524050779381</v>
      </c>
      <c r="DD25" s="57" t="n">
        <f aca="false">CJ25-CQ25-CR25-CS25-DB25</f>
        <v>0.0928652663194522</v>
      </c>
      <c r="DE25" s="19" t="n">
        <f aca="false">CW25*c_stroke_fatal+CX25*c_stroke_major+CY25*c_stroke_minor+CR25*c_ich+CS25*c_major_bleed+DB25*c_mi_fatal+DC25*c_mi_nonfatal+CU25*c_tia+CV25*c_minor_bleed</f>
        <v>40.3255249243084</v>
      </c>
      <c r="DF25" s="57" t="n">
        <f aca="false">dt*(DC25*dec_mi+DA25*dec_major_bleed+CV25*dec_minor_bleed+CU25*dec_tia)</f>
        <v>4.07015638093271E-005</v>
      </c>
      <c r="DG25" s="57" t="n">
        <f aca="false">J25*CI25+CW25+CR25-CZ25+CS25-DA25+DB25</f>
        <v>0.00151030963081397</v>
      </c>
      <c r="DH25" s="57" t="n">
        <f aca="false">AG25</f>
        <v>0.59932498100063</v>
      </c>
      <c r="DI25" s="57" t="n">
        <f aca="false">AB25+AC25+BF25+BA25+BB25+BC25+CY25+CZ25</f>
        <v>0.0494672574571693</v>
      </c>
      <c r="DJ25" s="57" t="n">
        <f aca="false">AA25+AZ25+BY25+CX25+CE25+BZ25+CA25+CB25</f>
        <v>0.0160895472950058</v>
      </c>
      <c r="DK25" s="57" t="n">
        <f aca="false">AD25+DD25+DA25</f>
        <v>0.0983484114372603</v>
      </c>
      <c r="DL25" s="57" t="n">
        <f aca="false">K25+AJ25+BI25+CH25+DG25</f>
        <v>0.236769802809935</v>
      </c>
      <c r="DM25" s="58" t="n">
        <f aca="false">SUM(DH25:DL25)</f>
        <v>1</v>
      </c>
      <c r="DN25" s="19" t="n">
        <f aca="false">dt*(G25*Warfarin!$H$2+(H25+I25+J25)*c_aspirin)</f>
        <v>60.7867355651286</v>
      </c>
      <c r="DO25" s="19" t="n">
        <f aca="false">dt*(H25*c_lt_minor_stroke+I25*c_lt_major_stroke)</f>
        <v>232.054771478406</v>
      </c>
      <c r="DP25" s="19" t="n">
        <f aca="false">AH25+BG25+CF25+DE25</f>
        <v>278.178484621864</v>
      </c>
      <c r="DQ25" s="19" t="n">
        <f aca="false">DN25+DO25+DP25</f>
        <v>571.019991665399</v>
      </c>
      <c r="DR25" s="57" t="n">
        <f aca="false">dt*(G25*(u_af-dec_per_year_over_70*MAX(B25-ref_age,0))+H25*(u_minor_stroke-dec_per_year_over_70*MAX(B25-ref_age,0))+I25*(u_major_stroke-dec_per_year_over_70*MAX(B25-ref_age,0))+J25*(u_af-dec_per_year_over_70*MAX(B25-ref_age,0)))-AI25-BH25-CG25-DF25</f>
        <v>0.154035126371699</v>
      </c>
      <c r="DS25" s="57" t="n">
        <f aca="false">dt*(G25+H25+I25+J25)</f>
        <v>0.194073870987426</v>
      </c>
      <c r="DT25" s="19" t="n">
        <f aca="false">DQ25*C25</f>
        <v>532.031826271566</v>
      </c>
      <c r="DU25" s="19" t="n">
        <f aca="false">DN25*C25</f>
        <v>56.6363321912426</v>
      </c>
      <c r="DV25" s="19" t="n">
        <f aca="false">DP25*C25</f>
        <v>259.184983648612</v>
      </c>
      <c r="DW25" s="19" t="n">
        <f aca="false">DO25*C25</f>
        <v>216.210510431711</v>
      </c>
      <c r="DX25" s="57" t="n">
        <f aca="false">DR25*C25</f>
        <v>0.143517899179838</v>
      </c>
      <c r="DY25" s="57" t="n">
        <f aca="false">DS25*C25</f>
        <v>0.180822874015129</v>
      </c>
      <c r="DZ25" s="57" t="n">
        <f aca="false">T25+AS25+BR25+CQ25</f>
        <v>0.00478575384423239</v>
      </c>
      <c r="EA25" s="57" t="n">
        <f aca="false">U25+AT25+BS25+CR25</f>
        <v>0.0013814013630914</v>
      </c>
      <c r="EB25" s="57" t="n">
        <f aca="false">V25+AU25+BT25+CS25</f>
        <v>0.00657593778429397</v>
      </c>
      <c r="EC25" s="57" t="n">
        <f aca="false">G25*dt*C25</f>
        <v>0.143622859553998</v>
      </c>
    </row>
    <row r="26" customFormat="false" ht="15" hidden="false" customHeight="false" outlineLevel="0" collapsed="false">
      <c r="A26" s="8" t="n">
        <v>20</v>
      </c>
      <c r="B26" s="54" t="n">
        <f aca="false">start_age+A26*dt</f>
        <v>75</v>
      </c>
      <c r="C26" s="16" t="n">
        <f aca="false">(1+disc_rate)^-(A26*dt)</f>
        <v>0.92826032540564</v>
      </c>
      <c r="D26" s="55" t="n">
        <f aca="false">IF(A26*dt&gt;=wane_start,(1-wane_decay)^(A26*dt-wane_start),1)</f>
        <v>1</v>
      </c>
      <c r="E26" s="25" t="n">
        <f aca="false">MIN(p_nonvasc_death*MIN(EXP(gomp_int+gomp_slope*INT(B26)),1)/qx_ref,0.999)</f>
        <v>0.0556830227001195</v>
      </c>
      <c r="F26" s="55" t="n">
        <f aca="false">rr_stroke_per_decade^((B26-ref_age)/10)</f>
        <v>1.22474487139159</v>
      </c>
      <c r="G26" s="57" t="n">
        <f aca="false">DH25</f>
        <v>0.59932498100063</v>
      </c>
      <c r="H26" s="57" t="n">
        <f aca="false">DI25</f>
        <v>0.0494672574571693</v>
      </c>
      <c r="I26" s="57" t="n">
        <f aca="false">DJ25</f>
        <v>0.0160895472950058</v>
      </c>
      <c r="J26" s="57" t="n">
        <f aca="false">DK25</f>
        <v>0.0983484114372603</v>
      </c>
      <c r="K26" s="57" t="n">
        <f aca="false">DL25</f>
        <v>0.236769802809935</v>
      </c>
      <c r="L26" s="57" t="n">
        <f aca="false">1-EXP(LN(1-E26)*dt)</f>
        <v>0.0142212559150164</v>
      </c>
      <c r="M26" s="57" t="n">
        <f aca="false">G26*(1-L26)</f>
        <v>0.590801827069558</v>
      </c>
      <c r="N26" s="57" t="n">
        <f aca="false">IF(Warfarin!$B$2=1,EXP(LN(or_apx_stroke)*D26)*(1-EXP(-r_stroke*F26*dt))/(1-(1-EXP(-r_stroke*F26*dt))+EXP(LN(or_apx_stroke)*D26)*(1-EXP(-r_stroke*F26*dt))),(1-EXP(-r_stroke*F26*dt)))</f>
        <v>0.00492641964215845</v>
      </c>
      <c r="O26" s="57" t="n">
        <f aca="false">IF(Warfarin!$B$2=1,EXP(LN(or_apx_ich)*D26)*(1-EXP(-r_ich*dt))/(1-(1-EXP(-r_ich*dt))+EXP(LN(or_apx_ich)*D26)*(1-EXP(-r_ich*dt))),(1-EXP(-r_ich*dt)))</f>
        <v>0.0020060281549299</v>
      </c>
      <c r="P26" s="57" t="n">
        <f aca="false">IF(Warfarin!$B$2=1,EXP(LN(or_apx_mb)*D26)*(1-EXP(-r_mb*dt))/(1-(1-EXP(-r_mb*dt))+EXP(LN(or_apx_mb)*D26)*(1-EXP(-r_mb*dt))),(1-EXP(-r_mb*dt)))</f>
        <v>0.00835410477572107</v>
      </c>
      <c r="Q26" s="57" t="n">
        <f aca="false">IF(Warfarin!$B$2=1,EXP(LN(or_apx_mi)*D26)*(1-EXP(-r_mi*dt))/(1-(1-EXP(-r_mi*dt))+EXP(LN(or_apx_mi)*D26)*(1-EXP(-r_mi*dt))),(1-EXP(-r_mi*dt)))</f>
        <v>0.00150338686144691</v>
      </c>
      <c r="R26" s="57" t="n">
        <f aca="false">(1-EXP(-r_tia*dt))</f>
        <v>0.0020060281549299</v>
      </c>
      <c r="S26" s="57" t="n">
        <f aca="false">(1-EXP(-r_minor*dt))</f>
        <v>0.0437937690785545</v>
      </c>
      <c r="T26" s="57" t="n">
        <f aca="false">M26*N26</f>
        <v>0.00291053772549857</v>
      </c>
      <c r="U26" s="57" t="n">
        <f aca="false">M26*O26</f>
        <v>0.00118516509908556</v>
      </c>
      <c r="V26" s="57" t="n">
        <f aca="false">M26*P26</f>
        <v>0.00493562036502653</v>
      </c>
      <c r="W26" s="57" t="n">
        <f aca="false">M26*Q26</f>
        <v>0.000888203704535202</v>
      </c>
      <c r="X26" s="57" t="n">
        <f aca="false">M26*R26</f>
        <v>0.00118516509908556</v>
      </c>
      <c r="Y26" s="57" t="n">
        <f aca="false">M26*S26</f>
        <v>0.0258734387858723</v>
      </c>
      <c r="Z26" s="57" t="n">
        <f aca="false">T26*f_stroke_fatal</f>
        <v>0.000689797440943162</v>
      </c>
      <c r="AA26" s="57" t="n">
        <f aca="false">T26*(1-f_stroke_fatal)*f_stroke_major</f>
        <v>0.000739506514756952</v>
      </c>
      <c r="AB26" s="57" t="n">
        <f aca="false">T26*(1-f_stroke_fatal)*(1-f_stroke_major)</f>
        <v>0.00148123376979846</v>
      </c>
      <c r="AC26" s="57" t="n">
        <f aca="false">U26*(1-f_bleed_fatal)</f>
        <v>0.00108561123076237</v>
      </c>
      <c r="AD26" s="57" t="n">
        <f aca="false">V26*(1-f_bleed_fatal)</f>
        <v>0.0045210282543643</v>
      </c>
      <c r="AE26" s="57" t="n">
        <f aca="false">W26*f_mi_fatal</f>
        <v>0.000107472648248759</v>
      </c>
      <c r="AF26" s="57" t="n">
        <f aca="false">W26-AE26</f>
        <v>0.000780731056286443</v>
      </c>
      <c r="AG26" s="57" t="n">
        <f aca="false">M26-T26-U26-V26-AE26</f>
        <v>0.581663031231699</v>
      </c>
      <c r="AH26" s="19" t="n">
        <f aca="false">Z26*c_stroke_fatal+AA26*c_stroke_major+AB26*c_stroke_minor+U26*c_ich+V26*c_major_bleed+AE26*c_mi_fatal+AF26*c_mi_nonfatal+X26*c_tia+Y26*c_minor_bleed</f>
        <v>188.007047227564</v>
      </c>
      <c r="AI26" s="57" t="n">
        <f aca="false">dt*(AF26*dec_mi+AD26*dec_major_bleed+Y26*dec_minor_bleed+X26*dec_tia)</f>
        <v>0.000242988172714868</v>
      </c>
      <c r="AJ26" s="57" t="n">
        <f aca="false">G26*L26+Z26+U26-AC26+V26-AD26+AE26</f>
        <v>0.00983456999924967</v>
      </c>
      <c r="AK26" s="57" t="n">
        <f aca="false">1-EXP(LN(1-E26)*hr_death_prior_stroke*dt)</f>
        <v>0.0324069647074854</v>
      </c>
      <c r="AL26" s="57" t="n">
        <f aca="false">H26*(1-AK26)</f>
        <v>0.0478641737905787</v>
      </c>
      <c r="AM26" s="57" t="n">
        <f aca="false">(1-EXP(-r_stroke*F26*rr_stroke_prior*rr_asa_stroke*dt))</f>
        <v>0.0174471551884765</v>
      </c>
      <c r="AN26" s="57" t="n">
        <f aca="false">(1-EXP(-r_ich*rr_asa_ich*dt))</f>
        <v>0.00102357767802375</v>
      </c>
      <c r="AO26" s="57" t="n">
        <f aca="false">(1-EXP(-r_mb*rr_asa_mb*dt))</f>
        <v>0.00951809672747972</v>
      </c>
      <c r="AP26" s="57" t="n">
        <f aca="false">(1-EXP(-r_mi*rr_asa_mi*dt))</f>
        <v>0.00213413516393479</v>
      </c>
      <c r="AQ26" s="57" t="n">
        <f aca="false">(1-EXP(-r_tia*rr_asa_tia*dt))</f>
        <v>0.00312764565589152</v>
      </c>
      <c r="AR26" s="57" t="n">
        <f aca="false">(1-EXP(-r_minor*rr_asa_minor*dt))</f>
        <v>0.0278181950466747</v>
      </c>
      <c r="AS26" s="57" t="n">
        <f aca="false">AL26*AM26</f>
        <v>0.000835093668092437</v>
      </c>
      <c r="AT26" s="57" t="n">
        <f aca="false">AL26*AN26</f>
        <v>4.89926998690856E-005</v>
      </c>
      <c r="AU26" s="57" t="n">
        <f aca="false">AL26*AO26</f>
        <v>0.000455575835919628</v>
      </c>
      <c r="AV26" s="57" t="n">
        <f aca="false">AL26*AP26</f>
        <v>0.00010214861637916</v>
      </c>
      <c r="AW26" s="57" t="n">
        <f aca="false">AL26*AQ26</f>
        <v>0.00014970217522894</v>
      </c>
      <c r="AX26" s="57" t="n">
        <f aca="false">AL26*AR26</f>
        <v>0.00133149492225425</v>
      </c>
      <c r="AY26" s="57" t="n">
        <f aca="false">AS26*f_stroke_fatal_recur</f>
        <v>0.000310730002960515</v>
      </c>
      <c r="AZ26" s="57" t="n">
        <f aca="false">AS26*(1-f_stroke_fatal_recur)*f_stroke_major</f>
        <v>0.00017461310048893</v>
      </c>
      <c r="BA26" s="57" t="n">
        <f aca="false">AS26*(1-f_stroke_fatal_recur)*(1-f_stroke_major)</f>
        <v>0.000349750564642992</v>
      </c>
      <c r="BB26" s="57" t="n">
        <f aca="false">AT26*(1-f_bleed_fatal)</f>
        <v>4.48773130800824E-005</v>
      </c>
      <c r="BC26" s="57" t="n">
        <f aca="false">AU26*(1-f_bleed_fatal)</f>
        <v>0.000417307465702379</v>
      </c>
      <c r="BD26" s="57" t="n">
        <f aca="false">AV26*f_mi_fatal</f>
        <v>1.23599825818784E-005</v>
      </c>
      <c r="BE26" s="57" t="n">
        <f aca="false">AV26-BD26</f>
        <v>8.97886337972817E-005</v>
      </c>
      <c r="BF26" s="57" t="n">
        <f aca="false">AL26-AS26-AT26-AU26-BD26</f>
        <v>0.0465121516041157</v>
      </c>
      <c r="BG26" s="19" t="n">
        <f aca="false">AY26*c_stroke_fatal+AZ26*c_stroke_major+BA26*c_stroke_minor+AT26*c_ich+AU26*c_major_bleed+BD26*c_mi_fatal+BE26*c_mi_nonfatal+AW26*c_tia+AX26*c_minor_bleed</f>
        <v>35.2388825317234</v>
      </c>
      <c r="BH26" s="57" t="n">
        <f aca="false">dt*(BE26*dec_mi+BC26*dec_major_bleed+AX26*dec_minor_bleed+AW26*dec_tia)</f>
        <v>2.05861560267913E-005</v>
      </c>
      <c r="BI26" s="57" t="n">
        <f aca="false">H26*AK26+AY26+AT26-BB26+AU26-BC26+BD26</f>
        <v>0.00196855740913922</v>
      </c>
      <c r="BJ26" s="57" t="n">
        <f aca="false">1-EXP(LN(1-E26)*hr_death_prior_stroke*dt)</f>
        <v>0.0324069647074854</v>
      </c>
      <c r="BK26" s="57" t="n">
        <f aca="false">I26*(1-BJ26)</f>
        <v>0.0155681339036571</v>
      </c>
      <c r="BL26" s="57" t="n">
        <f aca="false">(1-EXP(-r_stroke*F26*rr_stroke_prior*rr_asa_stroke*dt))</f>
        <v>0.0174471551884765</v>
      </c>
      <c r="BM26" s="57" t="n">
        <f aca="false">(1-EXP(-r_ich*rr_asa_ich*dt))</f>
        <v>0.00102357767802375</v>
      </c>
      <c r="BN26" s="57" t="n">
        <f aca="false">(1-EXP(-r_mb*rr_asa_mb*dt))</f>
        <v>0.00951809672747972</v>
      </c>
      <c r="BO26" s="57" t="n">
        <f aca="false">(1-EXP(-r_mi*rr_asa_mi*dt))</f>
        <v>0.00213413516393479</v>
      </c>
      <c r="BP26" s="57" t="n">
        <f aca="false">(1-EXP(-r_tia*rr_asa_tia*dt))</f>
        <v>0.00312764565589152</v>
      </c>
      <c r="BQ26" s="57" t="n">
        <f aca="false">(1-EXP(-r_minor*rr_asa_minor*dt))</f>
        <v>0.0278181950466747</v>
      </c>
      <c r="BR26" s="57" t="n">
        <f aca="false">BK26*BL26</f>
        <v>0.000271619648212089</v>
      </c>
      <c r="BS26" s="57" t="n">
        <f aca="false">BK26*BM26</f>
        <v>1.59351943522681E-005</v>
      </c>
      <c r="BT26" s="57" t="n">
        <f aca="false">BK26*BN26</f>
        <v>0.000148179004361365</v>
      </c>
      <c r="BU26" s="57" t="n">
        <f aca="false">BK26*BO26</f>
        <v>3.32245020006401E-005</v>
      </c>
      <c r="BV26" s="57" t="n">
        <f aca="false">BK26*BP26</f>
        <v>4.86916063741107E-005</v>
      </c>
      <c r="BW26" s="57" t="n">
        <f aca="false">BK26*BQ26</f>
        <v>0.000433077385444684</v>
      </c>
      <c r="BX26" s="57" t="n">
        <f aca="false">BR26*f_stroke_fatal_recur</f>
        <v>0.000101066954903236</v>
      </c>
      <c r="BY26" s="57" t="n">
        <f aca="false">BR26*(1-f_stroke_fatal_recur)*f_stroke_major</f>
        <v>5.67940468718479E-005</v>
      </c>
      <c r="BZ26" s="57" t="n">
        <f aca="false">BR26*(1-f_stroke_fatal_recur)*(1-f_stroke_major)</f>
        <v>0.000113758646437005</v>
      </c>
      <c r="CA26" s="57" t="n">
        <f aca="false">BS26*(1-f_bleed_fatal)</f>
        <v>1.45966380266776E-005</v>
      </c>
      <c r="CB26" s="57" t="n">
        <f aca="false">BT26*(1-f_bleed_fatal)</f>
        <v>0.00013573196799501</v>
      </c>
      <c r="CC26" s="57" t="n">
        <f aca="false">BU26*f_mi_fatal</f>
        <v>4.02016474207745E-006</v>
      </c>
      <c r="CD26" s="57" t="n">
        <f aca="false">BU26-CC26</f>
        <v>2.92043372585627E-005</v>
      </c>
      <c r="CE26" s="57" t="n">
        <f aca="false">BK26-BR26-BS26-BT26-CC26</f>
        <v>0.0151283798919893</v>
      </c>
      <c r="CF26" s="19" t="n">
        <f aca="false">BX26*c_stroke_fatal+BY26*c_stroke_major+BZ26*c_stroke_minor+BS26*c_ich+BT26*c_major_bleed+CC26*c_mi_fatal+CD26*c_mi_nonfatal+BV26*c_tia+BW26*c_minor_bleed</f>
        <v>11.461675788439</v>
      </c>
      <c r="CG26" s="57" t="n">
        <f aca="false">dt*(CD26*dec_mi+CB26*dec_major_bleed+BW26*dec_minor_bleed+BV26*dec_tia)</f>
        <v>6.69578117004389E-006</v>
      </c>
      <c r="CH26" s="57" t="n">
        <f aca="false">I26*BJ26+BX26+BS26-CA26+BT26-CB26+CC26</f>
        <v>0.000640286103685929</v>
      </c>
      <c r="CI26" s="57" t="n">
        <f aca="false">1-EXP(LN(1-E26)*dt)</f>
        <v>0.0142212559150164</v>
      </c>
      <c r="CJ26" s="57" t="n">
        <f aca="false">J26*(1-CI26)</f>
        <v>0.0969497735093757</v>
      </c>
      <c r="CK26" s="57" t="n">
        <f aca="false">(1-EXP(-r_stroke*F26*rr_asa_stroke*dt))</f>
        <v>0.0079686040033552</v>
      </c>
      <c r="CL26" s="57" t="n">
        <f aca="false">(1-EXP(-r_ich*rr_asa_ich*dt))</f>
        <v>0.00102357767802375</v>
      </c>
      <c r="CM26" s="57" t="n">
        <f aca="false">(1-EXP(-r_mb*rr_asa_mb*dt))</f>
        <v>0.00951809672747972</v>
      </c>
      <c r="CN26" s="57" t="n">
        <f aca="false">(1-EXP(-r_mi*rr_asa_mi*dt))</f>
        <v>0.00213413516393479</v>
      </c>
      <c r="CO26" s="57" t="n">
        <f aca="false">(1-EXP(-r_tia*rr_asa_tia*dt))</f>
        <v>0.00312764565589152</v>
      </c>
      <c r="CP26" s="57" t="n">
        <f aca="false">(1-EXP(-r_minor*rr_asa_minor*dt))</f>
        <v>0.0278181950466747</v>
      </c>
      <c r="CQ26" s="57" t="n">
        <f aca="false">CJ26*CK26</f>
        <v>0.000772554353311191</v>
      </c>
      <c r="CR26" s="57" t="n">
        <f aca="false">CJ26*CL26</f>
        <v>9.92356240536549E-005</v>
      </c>
      <c r="CS26" s="57" t="n">
        <f aca="false">CJ26*CM26</f>
        <v>0.000922777321969489</v>
      </c>
      <c r="CT26" s="57" t="n">
        <f aca="false">CJ26*CN26</f>
        <v>0.000206903920781872</v>
      </c>
      <c r="CU26" s="57" t="n">
        <f aca="false">CJ26*CO26</f>
        <v>0.000303224537956266</v>
      </c>
      <c r="CV26" s="57" t="n">
        <f aca="false">CJ26*CP26</f>
        <v>0.00269696770921475</v>
      </c>
      <c r="CW26" s="57" t="n">
        <f aca="false">CQ26*f_stroke_fatal</f>
        <v>0.000183095381734752</v>
      </c>
      <c r="CX26" s="57" t="n">
        <f aca="false">CQ26*(1-f_stroke_fatal)*f_stroke_major</f>
        <v>0.000196289837534954</v>
      </c>
      <c r="CY26" s="57" t="n">
        <f aca="false">CQ26*(1-f_stroke_fatal)*(1-f_stroke_major)</f>
        <v>0.000393169134041485</v>
      </c>
      <c r="CZ26" s="57" t="n">
        <f aca="false">CR26*(1-f_bleed_fatal)</f>
        <v>9.08998316331479E-005</v>
      </c>
      <c r="DA26" s="57" t="n">
        <f aca="false">CS26*(1-f_bleed_fatal)</f>
        <v>0.000845264026924052</v>
      </c>
      <c r="DB26" s="57" t="n">
        <f aca="false">CT26*f_mi_fatal</f>
        <v>2.50353744146066E-005</v>
      </c>
      <c r="DC26" s="57" t="n">
        <f aca="false">CT26-DB26</f>
        <v>0.000181868546367266</v>
      </c>
      <c r="DD26" s="57" t="n">
        <f aca="false">CJ26-CQ26-CR26-CS26-DB26</f>
        <v>0.0951301708356268</v>
      </c>
      <c r="DE26" s="19" t="n">
        <f aca="false">CW26*c_stroke_fatal+CX26*c_stroke_major+CY26*c_stroke_minor+CR26*c_ich+CS26*c_major_bleed+DB26*c_mi_fatal+DC26*c_mi_nonfatal+CU26*c_tia+CV26*c_minor_bleed</f>
        <v>41.5991404489036</v>
      </c>
      <c r="DF26" s="57" t="n">
        <f aca="false">dt*(DC26*dec_mi+DA26*dec_major_bleed+CV26*dec_minor_bleed+CU26*dec_tia)</f>
        <v>4.1697641600552E-005</v>
      </c>
      <c r="DG26" s="57" t="n">
        <f aca="false">J26*CI26+CW26+CR26-CZ26+CS26-DA26+DB26</f>
        <v>0.00169261777149991</v>
      </c>
      <c r="DH26" s="57" t="n">
        <f aca="false">AG26</f>
        <v>0.581663031231699</v>
      </c>
      <c r="DI26" s="57" t="n">
        <f aca="false">AB26+AC26+BF26+BA26+BB26+BC26+CY26+CZ26</f>
        <v>0.0503750009137766</v>
      </c>
      <c r="DJ26" s="57" t="n">
        <f aca="false">AA26+AZ26+BY26+CX26+CE26+BZ26+CA26+CB26</f>
        <v>0.0165596706441007</v>
      </c>
      <c r="DK26" s="57" t="n">
        <f aca="false">AD26+DD26+DA26</f>
        <v>0.100496463116915</v>
      </c>
      <c r="DL26" s="57" t="n">
        <f aca="false">K26+AJ26+BI26+CH26+DG26</f>
        <v>0.250905834093509</v>
      </c>
      <c r="DM26" s="58" t="n">
        <f aca="false">SUM(DH26:DL26)</f>
        <v>1</v>
      </c>
      <c r="DN26" s="19" t="n">
        <f aca="false">dt*(G26*Warfarin!$H$2+(H26+I26+J26)*c_aspirin)</f>
        <v>59.1691993235667</v>
      </c>
      <c r="DO26" s="19" t="n">
        <f aca="false">dt*(H26*c_lt_minor_stroke+I26*c_lt_major_stroke)</f>
        <v>238.769616216629</v>
      </c>
      <c r="DP26" s="19" t="n">
        <f aca="false">AH26+BG26+CF26+DE26</f>
        <v>276.30674599663</v>
      </c>
      <c r="DQ26" s="19" t="n">
        <f aca="false">DN26+DO26+DP26</f>
        <v>574.245561536825</v>
      </c>
      <c r="DR26" s="57" t="n">
        <f aca="false">dt*(G26*(u_af-dec_per_year_over_70*MAX(B26-ref_age,0))+H26*(u_minor_stroke-dec_per_year_over_70*MAX(B26-ref_age,0))+I26*(u_major_stroke-dec_per_year_over_70*MAX(B26-ref_age,0))+J26*(u_af-dec_per_year_over_70*MAX(B26-ref_age,0)))-AI26-BH26-CG26-DF26</f>
        <v>0.151303179901478</v>
      </c>
      <c r="DS26" s="57" t="n">
        <f aca="false">dt*(G26+H26+I26+J26)</f>
        <v>0.190807549297516</v>
      </c>
      <c r="DT26" s="19" t="n">
        <f aca="false">DQ26*C26</f>
        <v>533.049371814917</v>
      </c>
      <c r="DU26" s="19" t="n">
        <f aca="false">DN26*C26</f>
        <v>54.9244202180852</v>
      </c>
      <c r="DV26" s="19" t="n">
        <f aca="false">DP26*C26</f>
        <v>256.484589950605</v>
      </c>
      <c r="DW26" s="19" t="n">
        <f aca="false">DO26*C26</f>
        <v>221.640361646227</v>
      </c>
      <c r="DX26" s="57" t="n">
        <f aca="false">DR26*C26</f>
        <v>0.140448739010254</v>
      </c>
      <c r="DY26" s="57" t="n">
        <f aca="false">DS26*C26</f>
        <v>0.177119077800765</v>
      </c>
      <c r="DZ26" s="57" t="n">
        <f aca="false">T26+AS26+BR26+CQ26</f>
        <v>0.00478980539511429</v>
      </c>
      <c r="EA26" s="57" t="n">
        <f aca="false">U26+AT26+BS26+CR26</f>
        <v>0.00134932861736057</v>
      </c>
      <c r="EB26" s="57" t="n">
        <f aca="false">V26+AU26+BT26+CS26</f>
        <v>0.00646215252727701</v>
      </c>
      <c r="EC26" s="57" t="n">
        <f aca="false">G26*dt*C26</f>
        <v>0.139082400471844</v>
      </c>
    </row>
    <row r="27" customFormat="false" ht="15" hidden="false" customHeight="false" outlineLevel="0" collapsed="false">
      <c r="A27" s="8" t="n">
        <v>21</v>
      </c>
      <c r="B27" s="54" t="n">
        <f aca="false">start_age+A27*dt</f>
        <v>75.25</v>
      </c>
      <c r="C27" s="16" t="n">
        <f aca="false">(1+disc_rate)^-(A27*dt)</f>
        <v>0.924811620621361</v>
      </c>
      <c r="D27" s="55" t="n">
        <f aca="false">IF(A27*dt&gt;=wane_start,(1-wane_decay)^(A27*dt-wane_start),1)</f>
        <v>1</v>
      </c>
      <c r="E27" s="25" t="n">
        <f aca="false">MIN(p_nonvasc_death*MIN(EXP(gomp_int+gomp_slope*INT(B27)),1)/qx_ref,0.999)</f>
        <v>0.0556830227001195</v>
      </c>
      <c r="F27" s="55" t="n">
        <f aca="false">rr_stroke_per_decade^((B27-ref_age)/10)</f>
        <v>1.23722278934482</v>
      </c>
      <c r="G27" s="57" t="n">
        <f aca="false">DH26</f>
        <v>0.581663031231699</v>
      </c>
      <c r="H27" s="57" t="n">
        <f aca="false">DI26</f>
        <v>0.0503750009137766</v>
      </c>
      <c r="I27" s="57" t="n">
        <f aca="false">DJ26</f>
        <v>0.0165596706441007</v>
      </c>
      <c r="J27" s="57" t="n">
        <f aca="false">DK26</f>
        <v>0.100496463116915</v>
      </c>
      <c r="K27" s="57" t="n">
        <f aca="false">DL26</f>
        <v>0.250905834093509</v>
      </c>
      <c r="L27" s="57" t="n">
        <f aca="false">1-EXP(LN(1-E27)*dt)</f>
        <v>0.0142212559150164</v>
      </c>
      <c r="M27" s="57" t="n">
        <f aca="false">G27*(1-L27)</f>
        <v>0.573391052408249</v>
      </c>
      <c r="N27" s="57" t="n">
        <f aca="false">IF(Warfarin!$B$2=1,EXP(LN(or_apx_stroke)*D27)*(1-EXP(-r_stroke*F27*dt))/(1-(1-EXP(-r_stroke*F27*dt))+EXP(LN(or_apx_stroke)*D27)*(1-EXP(-r_stroke*F27*dt))),(1-EXP(-r_stroke*F27*dt)))</f>
        <v>0.00497648578452692</v>
      </c>
      <c r="O27" s="57" t="n">
        <f aca="false">IF(Warfarin!$B$2=1,EXP(LN(or_apx_ich)*D27)*(1-EXP(-r_ich*dt))/(1-(1-EXP(-r_ich*dt))+EXP(LN(or_apx_ich)*D27)*(1-EXP(-r_ich*dt))),(1-EXP(-r_ich*dt)))</f>
        <v>0.0020060281549299</v>
      </c>
      <c r="P27" s="57" t="n">
        <f aca="false">IF(Warfarin!$B$2=1,EXP(LN(or_apx_mb)*D27)*(1-EXP(-r_mb*dt))/(1-(1-EXP(-r_mb*dt))+EXP(LN(or_apx_mb)*D27)*(1-EXP(-r_mb*dt))),(1-EXP(-r_mb*dt)))</f>
        <v>0.00835410477572107</v>
      </c>
      <c r="Q27" s="57" t="n">
        <f aca="false">IF(Warfarin!$B$2=1,EXP(LN(or_apx_mi)*D27)*(1-EXP(-r_mi*dt))/(1-(1-EXP(-r_mi*dt))+EXP(LN(or_apx_mi)*D27)*(1-EXP(-r_mi*dt))),(1-EXP(-r_mi*dt)))</f>
        <v>0.00150338686144691</v>
      </c>
      <c r="R27" s="57" t="n">
        <f aca="false">(1-EXP(-r_tia*dt))</f>
        <v>0.0020060281549299</v>
      </c>
      <c r="S27" s="57" t="n">
        <f aca="false">(1-EXP(-r_minor*dt))</f>
        <v>0.0437937690785545</v>
      </c>
      <c r="T27" s="57" t="n">
        <f aca="false">M27*N27</f>
        <v>0.00285347242128458</v>
      </c>
      <c r="U27" s="57" t="n">
        <f aca="false">M27*O27</f>
        <v>0.00115023859491583</v>
      </c>
      <c r="V27" s="57" t="n">
        <f aca="false">M27*P27</f>
        <v>0.00479016892927948</v>
      </c>
      <c r="W27" s="57" t="n">
        <f aca="false">M27*Q27</f>
        <v>0.000862028574661777</v>
      </c>
      <c r="X27" s="57" t="n">
        <f aca="false">M27*R27</f>
        <v>0.00115023859491583</v>
      </c>
      <c r="Y27" s="57" t="n">
        <f aca="false">M27*S27</f>
        <v>0.0251109553408762</v>
      </c>
      <c r="Z27" s="57" t="n">
        <f aca="false">T27*f_stroke_fatal</f>
        <v>0.000676272963844445</v>
      </c>
      <c r="AA27" s="57" t="n">
        <f aca="false">T27*(1-f_stroke_fatal)*f_stroke_major</f>
        <v>0.000725007419327564</v>
      </c>
      <c r="AB27" s="57" t="n">
        <f aca="false">T27*(1-f_stroke_fatal)*(1-f_stroke_major)</f>
        <v>0.00145219203811257</v>
      </c>
      <c r="AC27" s="57" t="n">
        <f aca="false">U27*(1-f_bleed_fatal)</f>
        <v>0.0010536185529429</v>
      </c>
      <c r="AD27" s="57" t="n">
        <f aca="false">V27*(1-f_bleed_fatal)</f>
        <v>0.00438779473922</v>
      </c>
      <c r="AE27" s="57" t="n">
        <f aca="false">W27*f_mi_fatal</f>
        <v>0.000104305457534075</v>
      </c>
      <c r="AF27" s="57" t="n">
        <f aca="false">W27-AE27</f>
        <v>0.000757723117127702</v>
      </c>
      <c r="AG27" s="57" t="n">
        <f aca="false">M27-T27-U27-V27-AE27</f>
        <v>0.564492867005235</v>
      </c>
      <c r="AH27" s="19" t="n">
        <f aca="false">Z27*c_stroke_fatal+AA27*c_stroke_major+AB27*c_stroke_minor+U27*c_ich+V27*c_major_bleed+AE27*c_mi_fatal+AF27*c_mi_nonfatal+X27*c_tia+Y27*c_minor_bleed</f>
        <v>183.527202230199</v>
      </c>
      <c r="AI27" s="57" t="n">
        <f aca="false">dt*(AF27*dec_mi+AD27*dec_major_bleed+Y27*dec_minor_bleed+X27*dec_tia)</f>
        <v>0.000235827375089231</v>
      </c>
      <c r="AJ27" s="57" t="n">
        <f aca="false">G27*L27+Z27+U27-AC27+V27-AD27+AE27</f>
        <v>0.00955155147686112</v>
      </c>
      <c r="AK27" s="57" t="n">
        <f aca="false">1-EXP(LN(1-E27)*hr_death_prior_stroke*dt)</f>
        <v>0.0324069647074854</v>
      </c>
      <c r="AL27" s="57" t="n">
        <f aca="false">H27*(1-AK27)</f>
        <v>0.0487425000370243</v>
      </c>
      <c r="AM27" s="57" t="n">
        <f aca="false">(1-EXP(-r_stroke*F27*rr_stroke_prior*rr_asa_stroke*dt))</f>
        <v>0.0176233343479968</v>
      </c>
      <c r="AN27" s="57" t="n">
        <f aca="false">(1-EXP(-r_ich*rr_asa_ich*dt))</f>
        <v>0.00102357767802375</v>
      </c>
      <c r="AO27" s="57" t="n">
        <f aca="false">(1-EXP(-r_mb*rr_asa_mb*dt))</f>
        <v>0.00951809672747972</v>
      </c>
      <c r="AP27" s="57" t="n">
        <f aca="false">(1-EXP(-r_mi*rr_asa_mi*dt))</f>
        <v>0.00213413516393479</v>
      </c>
      <c r="AQ27" s="57" t="n">
        <f aca="false">(1-EXP(-r_tia*rr_asa_tia*dt))</f>
        <v>0.00312764565589152</v>
      </c>
      <c r="AR27" s="57" t="n">
        <f aca="false">(1-EXP(-r_minor*rr_asa_minor*dt))</f>
        <v>0.0278181950466747</v>
      </c>
      <c r="AS27" s="57" t="n">
        <f aca="false">AL27*AM27</f>
        <v>0.000859005375109725</v>
      </c>
      <c r="AT27" s="57" t="n">
        <f aca="false">AL27*AN27</f>
        <v>4.98917350089697E-005</v>
      </c>
      <c r="AU27" s="57" t="n">
        <f aca="false">AL27*AO27</f>
        <v>0.000463935830091581</v>
      </c>
      <c r="AV27" s="57" t="n">
        <f aca="false">AL27*AP27</f>
        <v>0.000104023083307106</v>
      </c>
      <c r="AW27" s="57" t="n">
        <f aca="false">AL27*AQ27</f>
        <v>0.000152449268498091</v>
      </c>
      <c r="AX27" s="57" t="n">
        <f aca="false">AL27*AR27</f>
        <v>0.00135592837309249</v>
      </c>
      <c r="AY27" s="57" t="n">
        <f aca="false">AS27*f_stroke_fatal_recur</f>
        <v>0.000319627310024578</v>
      </c>
      <c r="AZ27" s="57" t="n">
        <f aca="false">AS27*(1-f_stroke_fatal_recur)*f_stroke_major</f>
        <v>0.000179612895673354</v>
      </c>
      <c r="BA27" s="57" t="n">
        <f aca="false">AS27*(1-f_stroke_fatal_recur)*(1-f_stroke_major)</f>
        <v>0.000359765169411793</v>
      </c>
      <c r="BB27" s="57" t="n">
        <f aca="false">AT27*(1-f_bleed_fatal)</f>
        <v>4.57008292682162E-005</v>
      </c>
      <c r="BC27" s="57" t="n">
        <f aca="false">AU27*(1-f_bleed_fatal)</f>
        <v>0.000424965220363888</v>
      </c>
      <c r="BD27" s="57" t="n">
        <f aca="false">AV27*f_mi_fatal</f>
        <v>1.25867930801599E-005</v>
      </c>
      <c r="BE27" s="57" t="n">
        <f aca="false">AV27-BD27</f>
        <v>9.14362902269466E-005</v>
      </c>
      <c r="BF27" s="57" t="n">
        <f aca="false">AL27-AS27-AT27-AU27-BD27</f>
        <v>0.0473570803037339</v>
      </c>
      <c r="BG27" s="19" t="n">
        <f aca="false">AY27*c_stroke_fatal+AZ27*c_stroke_major+BA27*c_stroke_minor+AT27*c_ich+AU27*c_major_bleed+BD27*c_mi_fatal+BE27*c_mi_nonfatal+AW27*c_tia+AX27*c_minor_bleed</f>
        <v>36.1816190903964</v>
      </c>
      <c r="BH27" s="57" t="n">
        <f aca="false">dt*(BE27*dec_mi+BC27*dec_major_bleed+AX27*dec_minor_bleed+AW27*dec_tia)</f>
        <v>2.0963920014338E-005</v>
      </c>
      <c r="BI27" s="57" t="n">
        <f aca="false">H27*AK27+AY27+AT27-BB27+AU27-BC27+BD27</f>
        <v>0.00200787649532549</v>
      </c>
      <c r="BJ27" s="57" t="n">
        <f aca="false">1-EXP(LN(1-E27)*hr_death_prior_stroke*dt)</f>
        <v>0.0324069647074854</v>
      </c>
      <c r="BK27" s="57" t="n">
        <f aca="false">I27*(1-BJ27)</f>
        <v>0.0160230219819698</v>
      </c>
      <c r="BL27" s="57" t="n">
        <f aca="false">(1-EXP(-r_stroke*F27*rr_stroke_prior*rr_asa_stroke*dt))</f>
        <v>0.0176233343479968</v>
      </c>
      <c r="BM27" s="57" t="n">
        <f aca="false">(1-EXP(-r_ich*rr_asa_ich*dt))</f>
        <v>0.00102357767802375</v>
      </c>
      <c r="BN27" s="57" t="n">
        <f aca="false">(1-EXP(-r_mb*rr_asa_mb*dt))</f>
        <v>0.00951809672747972</v>
      </c>
      <c r="BO27" s="57" t="n">
        <f aca="false">(1-EXP(-r_mi*rr_asa_mi*dt))</f>
        <v>0.00213413516393479</v>
      </c>
      <c r="BP27" s="57" t="n">
        <f aca="false">(1-EXP(-r_tia*rr_asa_tia*dt))</f>
        <v>0.00312764565589152</v>
      </c>
      <c r="BQ27" s="57" t="n">
        <f aca="false">(1-EXP(-r_minor*rr_asa_minor*dt))</f>
        <v>0.0278181950466747</v>
      </c>
      <c r="BR27" s="57" t="n">
        <f aca="false">BK27*BL27</f>
        <v>0.000282379073653555</v>
      </c>
      <c r="BS27" s="57" t="n">
        <f aca="false">BK27*BM27</f>
        <v>1.6400807635228E-005</v>
      </c>
      <c r="BT27" s="57" t="n">
        <f aca="false">BK27*BN27</f>
        <v>0.000152508673090922</v>
      </c>
      <c r="BU27" s="57" t="n">
        <f aca="false">BK27*BO27</f>
        <v>3.41952946442218E-005</v>
      </c>
      <c r="BV27" s="57" t="n">
        <f aca="false">BK27*BP27</f>
        <v>5.0114335096162E-005</v>
      </c>
      <c r="BW27" s="57" t="n">
        <f aca="false">BK27*BQ27</f>
        <v>0.000445731550731591</v>
      </c>
      <c r="BX27" s="57" t="n">
        <f aca="false">BR27*f_stroke_fatal_recur</f>
        <v>0.000105070429515751</v>
      </c>
      <c r="BY27" s="57" t="n">
        <f aca="false">BR27*(1-f_stroke_fatal_recur)*f_stroke_major</f>
        <v>5.90437784978887E-005</v>
      </c>
      <c r="BZ27" s="57" t="n">
        <f aca="false">BR27*(1-f_stroke_fatal_recur)*(1-f_stroke_major)</f>
        <v>0.000118264865639915</v>
      </c>
      <c r="CA27" s="57" t="n">
        <f aca="false">BS27*(1-f_bleed_fatal)</f>
        <v>1.50231397938689E-005</v>
      </c>
      <c r="CB27" s="57" t="n">
        <f aca="false">BT27*(1-f_bleed_fatal)</f>
        <v>0.000139697944551285</v>
      </c>
      <c r="CC27" s="57" t="n">
        <f aca="false">BU27*f_mi_fatal</f>
        <v>4.13763065195084E-006</v>
      </c>
      <c r="CD27" s="57" t="n">
        <f aca="false">BU27-CC27</f>
        <v>3.0057663992271E-005</v>
      </c>
      <c r="CE27" s="57" t="n">
        <f aca="false">BK27-BR27-BS27-BT27-CC27</f>
        <v>0.0155675957969381</v>
      </c>
      <c r="CF27" s="19" t="n">
        <f aca="false">BX27*c_stroke_fatal+BY27*c_stroke_major+BZ27*c_stroke_minor+BS27*c_ich+BT27*c_major_bleed+CC27*c_mi_fatal+CD27*c_mi_nonfatal+BV27*c_tia+BW27*c_minor_bleed</f>
        <v>11.8939093724843</v>
      </c>
      <c r="CG27" s="57" t="n">
        <f aca="false">dt*(CD27*dec_mi+CB27*dec_major_bleed+BW27*dec_minor_bleed+BV27*dec_tia)</f>
        <v>6.89142639304186E-006</v>
      </c>
      <c r="CH27" s="57" t="n">
        <f aca="false">I27*BJ27+BX27+BS27-CA27+BT27-CB27+CC27</f>
        <v>0.000660045118679652</v>
      </c>
      <c r="CI27" s="57" t="n">
        <f aca="false">1-EXP(LN(1-E27)*dt)</f>
        <v>0.0142212559150164</v>
      </c>
      <c r="CJ27" s="57" t="n">
        <f aca="false">J27*(1-CI27)</f>
        <v>0.0990672771963755</v>
      </c>
      <c r="CK27" s="57" t="n">
        <f aca="false">(1-EXP(-r_stroke*F27*rr_asa_stroke*dt))</f>
        <v>0.00804946192831324</v>
      </c>
      <c r="CL27" s="57" t="n">
        <f aca="false">(1-EXP(-r_ich*rr_asa_ich*dt))</f>
        <v>0.00102357767802375</v>
      </c>
      <c r="CM27" s="57" t="n">
        <f aca="false">(1-EXP(-r_mb*rr_asa_mb*dt))</f>
        <v>0.00951809672747972</v>
      </c>
      <c r="CN27" s="57" t="n">
        <f aca="false">(1-EXP(-r_mi*rr_asa_mi*dt))</f>
        <v>0.00213413516393479</v>
      </c>
      <c r="CO27" s="57" t="n">
        <f aca="false">(1-EXP(-r_tia*rr_asa_tia*dt))</f>
        <v>0.00312764565589152</v>
      </c>
      <c r="CP27" s="57" t="n">
        <f aca="false">(1-EXP(-r_minor*rr_asa_minor*dt))</f>
        <v>0.0278181950466747</v>
      </c>
      <c r="CQ27" s="57" t="n">
        <f aca="false">CJ27*CK27</f>
        <v>0.000797438276133879</v>
      </c>
      <c r="CR27" s="57" t="n">
        <f aca="false">CJ27*CL27</f>
        <v>0.000101403053560801</v>
      </c>
      <c r="CS27" s="57" t="n">
        <f aca="false">CJ27*CM27</f>
        <v>0.000942931926883147</v>
      </c>
      <c r="CT27" s="57" t="n">
        <f aca="false">CJ27*CN27</f>
        <v>0.00021142295986006</v>
      </c>
      <c r="CU27" s="57" t="n">
        <f aca="false">CJ27*CO27</f>
        <v>0.000309847339164245</v>
      </c>
      <c r="CV27" s="57" t="n">
        <f aca="false">CJ27*CP27</f>
        <v>0.00275587283979176</v>
      </c>
      <c r="CW27" s="57" t="n">
        <f aca="false">CQ27*f_stroke_fatal</f>
        <v>0.000188992871443729</v>
      </c>
      <c r="CX27" s="57" t="n">
        <f aca="false">CQ27*(1-f_stroke_fatal)*f_stroke_major</f>
        <v>0.00020261231976182</v>
      </c>
      <c r="CY27" s="57" t="n">
        <f aca="false">CQ27*(1-f_stroke_fatal)*(1-f_stroke_major)</f>
        <v>0.00040583308492833</v>
      </c>
      <c r="CZ27" s="57" t="n">
        <f aca="false">CR27*(1-f_bleed_fatal)</f>
        <v>9.28851970616935E-005</v>
      </c>
      <c r="DA27" s="57" t="n">
        <f aca="false">CS27*(1-f_bleed_fatal)</f>
        <v>0.000863725645024963</v>
      </c>
      <c r="DB27" s="57" t="n">
        <f aca="false">CT27*f_mi_fatal</f>
        <v>2.55821781430673E-005</v>
      </c>
      <c r="DC27" s="57" t="n">
        <f aca="false">CT27-DB27</f>
        <v>0.000185840781716993</v>
      </c>
      <c r="DD27" s="57" t="n">
        <f aca="false">CJ27-CQ27-CR27-CS27-DB27</f>
        <v>0.0971999217616546</v>
      </c>
      <c r="DE27" s="19" t="n">
        <f aca="false">CW27*c_stroke_fatal+CX27*c_stroke_major+CY27*c_stroke_minor+CR27*c_ich+CS27*c_major_bleed+DB27*c_mi_fatal+DC27*c_mi_nonfatal+CU27*c_tia+CV27*c_minor_bleed</f>
        <v>42.8036817962826</v>
      </c>
      <c r="DF27" s="57" t="n">
        <f aca="false">dt*(DC27*dec_mi+DA27*dec_major_bleed+CV27*dec_minor_bleed+CU27*dec_tia)</f>
        <v>4.26083699770327E-005</v>
      </c>
      <c r="DG27" s="57" t="n">
        <f aca="false">J27*CI27+CW27+CR27-CZ27+CS27-DA27+DB27</f>
        <v>0.00173148510848375</v>
      </c>
      <c r="DH27" s="57" t="n">
        <f aca="false">AG27</f>
        <v>0.564492867005235</v>
      </c>
      <c r="DI27" s="57" t="n">
        <f aca="false">AB27+AC27+BF27+BA27+BB27+BC27+CY27+CZ27</f>
        <v>0.0511920403958233</v>
      </c>
      <c r="DJ27" s="57" t="n">
        <f aca="false">AA27+AZ27+BY27+CX27+CE27+BZ27+CA27+CB27</f>
        <v>0.0170068581601838</v>
      </c>
      <c r="DK27" s="57" t="n">
        <f aca="false">AD27+DD27+DA27</f>
        <v>0.1024514421459</v>
      </c>
      <c r="DL27" s="57" t="n">
        <f aca="false">K27+AJ27+BI27+CH27+DG27</f>
        <v>0.264856792292859</v>
      </c>
      <c r="DM27" s="58" t="n">
        <f aca="false">SUM(DH27:DL27)</f>
        <v>1</v>
      </c>
      <c r="DN27" s="19" t="n">
        <f aca="false">dt*(G27*Warfarin!$H$2+(H27+I27+J27)*c_aspirin)</f>
        <v>57.5070547037531</v>
      </c>
      <c r="DO27" s="19" t="n">
        <f aca="false">dt*(H27*c_lt_minor_stroke+I27*c_lt_major_stroke)</f>
        <v>244.292818216559</v>
      </c>
      <c r="DP27" s="19" t="n">
        <f aca="false">AH27+BG27+CF27+DE27</f>
        <v>274.406412489363</v>
      </c>
      <c r="DQ27" s="19" t="n">
        <f aca="false">DN27+DO27+DP27</f>
        <v>576.206285409674</v>
      </c>
      <c r="DR27" s="57" t="n">
        <f aca="false">dt*(G27*(u_af-dec_per_year_over_70*MAX(B27-ref_age,0))+H27*(u_minor_stroke-dec_per_year_over_70*MAX(B27-ref_age,0))+I27*(u_major_stroke-dec_per_year_over_70*MAX(B27-ref_age,0))+J27*(u_af-dec_per_year_over_70*MAX(B27-ref_age,0)))-AI27-BH27-CG27-DF27</f>
        <v>0.148368131832613</v>
      </c>
      <c r="DS27" s="57" t="n">
        <f aca="false">dt*(G27+H27+I27+J27)</f>
        <v>0.187273541476623</v>
      </c>
      <c r="DT27" s="19" t="n">
        <f aca="false">DQ27*C27</f>
        <v>532.882268621935</v>
      </c>
      <c r="DU27" s="19" t="n">
        <f aca="false">DN27*C27</f>
        <v>53.1831924577391</v>
      </c>
      <c r="DV27" s="19" t="n">
        <f aca="false">DP27*C27</f>
        <v>253.774239043181</v>
      </c>
      <c r="DW27" s="19" t="n">
        <f aca="false">DO27*C27</f>
        <v>225.924837121015</v>
      </c>
      <c r="DX27" s="57" t="n">
        <f aca="false">DR27*C27</f>
        <v>0.137212572448682</v>
      </c>
      <c r="DY27" s="57" t="n">
        <f aca="false">DS27*C27</f>
        <v>0.173192747392497</v>
      </c>
      <c r="DZ27" s="57" t="n">
        <f aca="false">T27+AS27+BR27+CQ27</f>
        <v>0.00479229514618174</v>
      </c>
      <c r="EA27" s="57" t="n">
        <f aca="false">U27+AT27+BS27+CR27</f>
        <v>0.00131793419112083</v>
      </c>
      <c r="EB27" s="57" t="n">
        <f aca="false">V27+AU27+BT27+CS27</f>
        <v>0.00634954535934513</v>
      </c>
      <c r="EC27" s="57" t="n">
        <f aca="false">G27*dt*C27</f>
        <v>0.13448218264223</v>
      </c>
    </row>
    <row r="28" customFormat="false" ht="15" hidden="false" customHeight="false" outlineLevel="0" collapsed="false">
      <c r="A28" s="8" t="n">
        <v>22</v>
      </c>
      <c r="B28" s="54" t="n">
        <f aca="false">start_age+A28*dt</f>
        <v>75.5</v>
      </c>
      <c r="C28" s="16" t="n">
        <f aca="false">(1+disc_rate)^-(A28*dt)</f>
        <v>0.921375728584071</v>
      </c>
      <c r="D28" s="55" t="n">
        <f aca="false">IF(A28*dt&gt;=wane_start,(1-wane_decay)^(A28*dt-wane_start),1)</f>
        <v>1</v>
      </c>
      <c r="E28" s="25" t="n">
        <f aca="false">MIN(p_nonvasc_death*MIN(EXP(gomp_int+gomp_slope*INT(B28)),1)/qx_ref,0.999)</f>
        <v>0.0556830227001195</v>
      </c>
      <c r="F28" s="55" t="n">
        <f aca="false">rr_stroke_per_decade^((B28-ref_age)/10)</f>
        <v>1.24982783453907</v>
      </c>
      <c r="G28" s="57" t="n">
        <f aca="false">DH27</f>
        <v>0.564492867005235</v>
      </c>
      <c r="H28" s="57" t="n">
        <f aca="false">DI27</f>
        <v>0.0511920403958233</v>
      </c>
      <c r="I28" s="57" t="n">
        <f aca="false">DJ27</f>
        <v>0.0170068581601838</v>
      </c>
      <c r="J28" s="57" t="n">
        <f aca="false">DK27</f>
        <v>0.1024514421459</v>
      </c>
      <c r="K28" s="57" t="n">
        <f aca="false">DL27</f>
        <v>0.264856792292859</v>
      </c>
      <c r="L28" s="57" t="n">
        <f aca="false">1-EXP(LN(1-E28)*dt)</f>
        <v>0.0142212559150164</v>
      </c>
      <c r="M28" s="57" t="n">
        <f aca="false">G28*(1-L28)</f>
        <v>0.556465069481352</v>
      </c>
      <c r="N28" s="57" t="n">
        <f aca="false">IF(Warfarin!$B$2=1,EXP(LN(or_apx_stroke)*D28)*(1-EXP(-r_stroke*F28*dt))/(1-(1-EXP(-r_stroke*F28*dt))+EXP(LN(or_apx_stroke)*D28)*(1-EXP(-r_stroke*F28*dt))),(1-EXP(-r_stroke*F28*dt)))</f>
        <v>0.00502705945197768</v>
      </c>
      <c r="O28" s="57" t="n">
        <f aca="false">IF(Warfarin!$B$2=1,EXP(LN(or_apx_ich)*D28)*(1-EXP(-r_ich*dt))/(1-(1-EXP(-r_ich*dt))+EXP(LN(or_apx_ich)*D28)*(1-EXP(-r_ich*dt))),(1-EXP(-r_ich*dt)))</f>
        <v>0.0020060281549299</v>
      </c>
      <c r="P28" s="57" t="n">
        <f aca="false">IF(Warfarin!$B$2=1,EXP(LN(or_apx_mb)*D28)*(1-EXP(-r_mb*dt))/(1-(1-EXP(-r_mb*dt))+EXP(LN(or_apx_mb)*D28)*(1-EXP(-r_mb*dt))),(1-EXP(-r_mb*dt)))</f>
        <v>0.00835410477572107</v>
      </c>
      <c r="Q28" s="57" t="n">
        <f aca="false">IF(Warfarin!$B$2=1,EXP(LN(or_apx_mi)*D28)*(1-EXP(-r_mi*dt))/(1-(1-EXP(-r_mi*dt))+EXP(LN(or_apx_mi)*D28)*(1-EXP(-r_mi*dt))),(1-EXP(-r_mi*dt)))</f>
        <v>0.00150338686144691</v>
      </c>
      <c r="R28" s="57" t="n">
        <f aca="false">(1-EXP(-r_tia*dt))</f>
        <v>0.0020060281549299</v>
      </c>
      <c r="S28" s="57" t="n">
        <f aca="false">(1-EXP(-r_minor*dt))</f>
        <v>0.0437937690785545</v>
      </c>
      <c r="T28" s="57" t="n">
        <f aca="false">M28*N28</f>
        <v>0.00279738298723164</v>
      </c>
      <c r="U28" s="57" t="n">
        <f aca="false">M28*O28</f>
        <v>0.00111628459661461</v>
      </c>
      <c r="V28" s="57" t="n">
        <f aca="false">M28*P28</f>
        <v>0.00464876749447612</v>
      </c>
      <c r="W28" s="57" t="n">
        <f aca="false">M28*Q28</f>
        <v>0.000836582274312406</v>
      </c>
      <c r="X28" s="57" t="n">
        <f aca="false">M28*R28</f>
        <v>0.00111628459661461</v>
      </c>
      <c r="Y28" s="57" t="n">
        <f aca="false">M28*S28</f>
        <v>0.0243697027531481</v>
      </c>
      <c r="Z28" s="57" t="n">
        <f aca="false">T28*f_stroke_fatal</f>
        <v>0.0006629797679739</v>
      </c>
      <c r="AA28" s="57" t="n">
        <f aca="false">T28*(1-f_stroke_fatal)*f_stroke_major</f>
        <v>0.000710756272012829</v>
      </c>
      <c r="AB28" s="57" t="n">
        <f aca="false">T28*(1-f_stroke_fatal)*(1-f_stroke_major)</f>
        <v>0.00142364694724492</v>
      </c>
      <c r="AC28" s="57" t="n">
        <f aca="false">U28*(1-f_bleed_fatal)</f>
        <v>0.00102251669049898</v>
      </c>
      <c r="AD28" s="57" t="n">
        <f aca="false">V28*(1-f_bleed_fatal)</f>
        <v>0.00425827102494013</v>
      </c>
      <c r="AE28" s="57" t="n">
        <f aca="false">W28*f_mi_fatal</f>
        <v>0.000101226455191801</v>
      </c>
      <c r="AF28" s="57" t="n">
        <f aca="false">W28-AE28</f>
        <v>0.000735355819120605</v>
      </c>
      <c r="AG28" s="57" t="n">
        <f aca="false">M28-T28-U28-V28-AE28</f>
        <v>0.547801407947838</v>
      </c>
      <c r="AH28" s="19" t="n">
        <f aca="false">Z28*c_stroke_fatal+AA28*c_stroke_major+AB28*c_stroke_minor+U28*c_ich+V28*c_major_bleed+AE28*c_mi_fatal+AF28*c_mi_nonfatal+X28*c_tia+Y28*c_minor_bleed</f>
        <v>179.149443898124</v>
      </c>
      <c r="AI28" s="57" t="n">
        <f aca="false">dt*(AF28*dec_mi+AD28*dec_major_bleed+Y28*dec_minor_bleed+X28*dec_tia)</f>
        <v>0.000228865965231699</v>
      </c>
      <c r="AJ28" s="57" t="n">
        <f aca="false">G28*L28+Z28+U28-AC28+V28-AD28+AE28</f>
        <v>0.0092762681227001</v>
      </c>
      <c r="AK28" s="57" t="n">
        <f aca="false">1-EXP(LN(1-E28)*hr_death_prior_stroke*dt)</f>
        <v>0.0324069647074854</v>
      </c>
      <c r="AL28" s="57" t="n">
        <f aca="false">H28*(1-AK28)</f>
        <v>0.0495330617494116</v>
      </c>
      <c r="AM28" s="57" t="n">
        <f aca="false">(1-EXP(-r_stroke*F28*rr_stroke_prior*rr_asa_stroke*dt))</f>
        <v>0.017801276377392</v>
      </c>
      <c r="AN28" s="57" t="n">
        <f aca="false">(1-EXP(-r_ich*rr_asa_ich*dt))</f>
        <v>0.00102357767802375</v>
      </c>
      <c r="AO28" s="57" t="n">
        <f aca="false">(1-EXP(-r_mb*rr_asa_mb*dt))</f>
        <v>0.00951809672747972</v>
      </c>
      <c r="AP28" s="57" t="n">
        <f aca="false">(1-EXP(-r_mi*rr_asa_mi*dt))</f>
        <v>0.00213413516393479</v>
      </c>
      <c r="AQ28" s="57" t="n">
        <f aca="false">(1-EXP(-r_tia*rr_asa_tia*dt))</f>
        <v>0.00312764565589152</v>
      </c>
      <c r="AR28" s="57" t="n">
        <f aca="false">(1-EXP(-r_minor*rr_asa_minor*dt))</f>
        <v>0.0278181950466747</v>
      </c>
      <c r="AS28" s="57" t="n">
        <f aca="false">AL28*AM28</f>
        <v>0.000881751722019703</v>
      </c>
      <c r="AT28" s="57" t="n">
        <f aca="false">AL28*AN28</f>
        <v>5.07009363308696E-005</v>
      </c>
      <c r="AU28" s="57" t="n">
        <f aca="false">AL28*AO28</f>
        <v>0.000471460472939126</v>
      </c>
      <c r="AV28" s="57" t="n">
        <f aca="false">AL28*AP28</f>
        <v>0.000105710248856773</v>
      </c>
      <c r="AW28" s="57" t="n">
        <f aca="false">AL28*AQ28</f>
        <v>0.000154921865403554</v>
      </c>
      <c r="AX28" s="57" t="n">
        <f aca="false">AL28*AR28</f>
        <v>0.00137792037300412</v>
      </c>
      <c r="AY28" s="57" t="n">
        <f aca="false">AS28*f_stroke_fatal_recur</f>
        <v>0.000328090998246311</v>
      </c>
      <c r="AZ28" s="57" t="n">
        <f aca="false">AS28*(1-f_stroke_fatal_recur)*f_stroke_major</f>
        <v>0.000184369021016539</v>
      </c>
      <c r="BA28" s="57" t="n">
        <f aca="false">AS28*(1-f_stroke_fatal_recur)*(1-f_stroke_major)</f>
        <v>0.000369291702756852</v>
      </c>
      <c r="BB28" s="57" t="n">
        <f aca="false">AT28*(1-f_bleed_fatal)</f>
        <v>4.64420576790766E-005</v>
      </c>
      <c r="BC28" s="57" t="n">
        <f aca="false">AU28*(1-f_bleed_fatal)</f>
        <v>0.000431857793212239</v>
      </c>
      <c r="BD28" s="57" t="n">
        <f aca="false">AV28*f_mi_fatal</f>
        <v>1.27909401116695E-005</v>
      </c>
      <c r="BE28" s="57" t="n">
        <f aca="false">AV28-BD28</f>
        <v>9.29193087451033E-005</v>
      </c>
      <c r="BF28" s="57" t="n">
        <f aca="false">AL28-AS28-AT28-AU28-BD28</f>
        <v>0.0481163576780103</v>
      </c>
      <c r="BG28" s="19" t="n">
        <f aca="false">AY28*c_stroke_fatal+AZ28*c_stroke_major+BA28*c_stroke_minor+AT28*c_ich+AU28*c_major_bleed+BD28*c_mi_fatal+BE28*c_mi_nonfatal+AW28*c_tia+AX28*c_minor_bleed</f>
        <v>37.0723564460678</v>
      </c>
      <c r="BH28" s="57" t="n">
        <f aca="false">dt*(BE28*dec_mi+BC28*dec_major_bleed+AX28*dec_minor_bleed+AW28*dec_tia)</f>
        <v>2.13039368885709E-005</v>
      </c>
      <c r="BI28" s="57" t="n">
        <f aca="false">H28*AK28+AY28+AT28-BB28+AU28-BC28+BD28</f>
        <v>0.00204372214314827</v>
      </c>
      <c r="BJ28" s="57" t="n">
        <f aca="false">1-EXP(LN(1-E28)*hr_death_prior_stroke*dt)</f>
        <v>0.0324069647074854</v>
      </c>
      <c r="BK28" s="57" t="n">
        <f aca="false">I28*(1-BJ28)</f>
        <v>0.0164557175080015</v>
      </c>
      <c r="BL28" s="57" t="n">
        <f aca="false">(1-EXP(-r_stroke*F28*rr_stroke_prior*rr_asa_stroke*dt))</f>
        <v>0.017801276377392</v>
      </c>
      <c r="BM28" s="57" t="n">
        <f aca="false">(1-EXP(-r_ich*rr_asa_ich*dt))</f>
        <v>0.00102357767802375</v>
      </c>
      <c r="BN28" s="57" t="n">
        <f aca="false">(1-EXP(-r_mb*rr_asa_mb*dt))</f>
        <v>0.00951809672747972</v>
      </c>
      <c r="BO28" s="57" t="n">
        <f aca="false">(1-EXP(-r_mi*rr_asa_mi*dt))</f>
        <v>0.00213413516393479</v>
      </c>
      <c r="BP28" s="57" t="n">
        <f aca="false">(1-EXP(-r_tia*rr_asa_tia*dt))</f>
        <v>0.00312764565589152</v>
      </c>
      <c r="BQ28" s="57" t="n">
        <f aca="false">(1-EXP(-r_minor*rr_asa_minor*dt))</f>
        <v>0.0278181950466747</v>
      </c>
      <c r="BR28" s="57" t="n">
        <f aca="false">BK28*BL28</f>
        <v>0.000292932775348224</v>
      </c>
      <c r="BS28" s="57" t="n">
        <f aca="false">BK28*BM28</f>
        <v>1.68437051170549E-005</v>
      </c>
      <c r="BT28" s="57" t="n">
        <f aca="false">BK28*BN28</f>
        <v>0.00015662711096124</v>
      </c>
      <c r="BU28" s="57" t="n">
        <f aca="false">BK28*BO28</f>
        <v>3.51187253816034E-005</v>
      </c>
      <c r="BV28" s="57" t="n">
        <f aca="false">BK28*BP28</f>
        <v>5.1467653378479E-005</v>
      </c>
      <c r="BW28" s="57" t="n">
        <f aca="false">BK28*BQ28</f>
        <v>0.000457768359270566</v>
      </c>
      <c r="BX28" s="57" t="n">
        <f aca="false">BR28*f_stroke_fatal_recur</f>
        <v>0.000108997356379321</v>
      </c>
      <c r="BY28" s="57" t="n">
        <f aca="false">BR28*(1-f_stroke_fatal_recur)*f_stroke_major</f>
        <v>6.12504945166448E-005</v>
      </c>
      <c r="BZ28" s="57" t="n">
        <f aca="false">BR28*(1-f_stroke_fatal_recur)*(1-f_stroke_major)</f>
        <v>0.000122684924452258</v>
      </c>
      <c r="CA28" s="57" t="n">
        <f aca="false">BS28*(1-f_bleed_fatal)</f>
        <v>1.54288338872223E-005</v>
      </c>
      <c r="CB28" s="57" t="n">
        <f aca="false">BT28*(1-f_bleed_fatal)</f>
        <v>0.000143470433640496</v>
      </c>
      <c r="CC28" s="57" t="n">
        <f aca="false">BU28*f_mi_fatal</f>
        <v>4.24936577117401E-006</v>
      </c>
      <c r="CD28" s="57" t="n">
        <f aca="false">BU28-CC28</f>
        <v>3.08693596104294E-005</v>
      </c>
      <c r="CE28" s="57" t="n">
        <f aca="false">BK28-BR28-BS28-BT28-CC28</f>
        <v>0.0159850645508038</v>
      </c>
      <c r="CF28" s="19" t="n">
        <f aca="false">BX28*c_stroke_fatal+BY28*c_stroke_major+BZ28*c_stroke_minor+BS28*c_ich+BT28*c_major_bleed+CC28*c_mi_fatal+CD28*c_mi_nonfatal+BV28*c_tia+BW28*c_minor_bleed</f>
        <v>12.3160613030281</v>
      </c>
      <c r="CG28" s="57" t="n">
        <f aca="false">dt*(CD28*dec_mi+CB28*dec_major_bleed+BW28*dec_minor_bleed+BV28*dec_tia)</f>
        <v>7.07752670368249E-006</v>
      </c>
      <c r="CH28" s="57" t="n">
        <f aca="false">I28*BJ28+BX28+BS28-CA28+BT28-CB28+CC28</f>
        <v>0.000678958922883358</v>
      </c>
      <c r="CI28" s="57" t="n">
        <f aca="false">1-EXP(LN(1-E28)*dt)</f>
        <v>0.0142212559150164</v>
      </c>
      <c r="CJ28" s="57" t="n">
        <f aca="false">J28*(1-CI28)</f>
        <v>0.10099445396828</v>
      </c>
      <c r="CK28" s="57" t="n">
        <f aca="false">(1-EXP(-r_stroke*F28*rr_asa_stroke*dt))</f>
        <v>0.00813113695657108</v>
      </c>
      <c r="CL28" s="57" t="n">
        <f aca="false">(1-EXP(-r_ich*rr_asa_ich*dt))</f>
        <v>0.00102357767802375</v>
      </c>
      <c r="CM28" s="57" t="n">
        <f aca="false">(1-EXP(-r_mb*rr_asa_mb*dt))</f>
        <v>0.00951809672747972</v>
      </c>
      <c r="CN28" s="57" t="n">
        <f aca="false">(1-EXP(-r_mi*rr_asa_mi*dt))</f>
        <v>0.00213413516393479</v>
      </c>
      <c r="CO28" s="57" t="n">
        <f aca="false">(1-EXP(-r_tia*rr_asa_tia*dt))</f>
        <v>0.00312764565589152</v>
      </c>
      <c r="CP28" s="57" t="n">
        <f aca="false">(1-EXP(-r_minor*rr_asa_minor*dt))</f>
        <v>0.0278181950466747</v>
      </c>
      <c r="CQ28" s="57" t="n">
        <f aca="false">CJ28*CK28</f>
        <v>0.0008211997370702</v>
      </c>
      <c r="CR28" s="57" t="n">
        <f aca="false">CJ28*CL28</f>
        <v>0.000103375668686128</v>
      </c>
      <c r="CS28" s="57" t="n">
        <f aca="false">CJ28*CM28</f>
        <v>0.000961274981809089</v>
      </c>
      <c r="CT28" s="57" t="n">
        <f aca="false">CJ28*CN28</f>
        <v>0.0002155358155761</v>
      </c>
      <c r="CU28" s="57" t="n">
        <f aca="false">CJ28*CO28</f>
        <v>0.000315874865223028</v>
      </c>
      <c r="CV28" s="57" t="n">
        <f aca="false">CJ28*CP28</f>
        <v>0.00280948341912203</v>
      </c>
      <c r="CW28" s="57" t="n">
        <f aca="false">CQ28*f_stroke_fatal</f>
        <v>0.000194624337685637</v>
      </c>
      <c r="CX28" s="57" t="n">
        <f aca="false">CQ28*(1-f_stroke_fatal)*f_stroke_major</f>
        <v>0.000208649607995059</v>
      </c>
      <c r="CY28" s="57" t="n">
        <f aca="false">CQ28*(1-f_stroke_fatal)*(1-f_stroke_major)</f>
        <v>0.000417925791389503</v>
      </c>
      <c r="CZ28" s="57" t="n">
        <f aca="false">CR28*(1-f_bleed_fatal)</f>
        <v>9.46921125164936E-005</v>
      </c>
      <c r="DA28" s="57" t="n">
        <f aca="false">CS28*(1-f_bleed_fatal)</f>
        <v>0.000880527883337125</v>
      </c>
      <c r="DB28" s="57" t="n">
        <f aca="false">CT28*f_mi_fatal</f>
        <v>2.60798336847081E-005</v>
      </c>
      <c r="DC28" s="57" t="n">
        <f aca="false">CT28-DB28</f>
        <v>0.000189455981891392</v>
      </c>
      <c r="DD28" s="57" t="n">
        <f aca="false">CJ28-CQ28-CR28-CS28-DB28</f>
        <v>0.0990825237470301</v>
      </c>
      <c r="DE28" s="19" t="n">
        <f aca="false">CW28*c_stroke_fatal+CX28*c_stroke_major+CY28*c_stroke_minor+CR28*c_ich+CS28*c_major_bleed+DB28*c_mi_fatal+DC28*c_mi_nonfatal+CU28*c_tia+CV28*c_minor_bleed</f>
        <v>43.9411217458366</v>
      </c>
      <c r="DF28" s="57" t="n">
        <f aca="false">dt*(DC28*dec_mi+DA28*dec_major_bleed+CV28*dec_minor_bleed+CU28*dec_tia)</f>
        <v>4.34372396424994E-005</v>
      </c>
      <c r="DG28" s="57" t="n">
        <f aca="false">J28*CI28+CW28+CR28-CZ28+CS28-DA28+DB28</f>
        <v>0.00176712300363128</v>
      </c>
      <c r="DH28" s="57" t="n">
        <f aca="false">AG28</f>
        <v>0.547801407947838</v>
      </c>
      <c r="DI28" s="57" t="n">
        <f aca="false">AB28+AC28+BF28+BA28+BB28+BC28+CY28+CZ28</f>
        <v>0.0519227307733084</v>
      </c>
      <c r="DJ28" s="57" t="n">
        <f aca="false">AA28+AZ28+BY28+CX28+CE28+BZ28+CA28+CB28</f>
        <v>0.0174316741383249</v>
      </c>
      <c r="DK28" s="57" t="n">
        <f aca="false">AD28+DD28+DA28</f>
        <v>0.104221322655307</v>
      </c>
      <c r="DL28" s="57" t="n">
        <f aca="false">K28+AJ28+BI28+CH28+DG28</f>
        <v>0.278622864485223</v>
      </c>
      <c r="DM28" s="58" t="n">
        <f aca="false">SUM(DH28:DL28)</f>
        <v>1</v>
      </c>
      <c r="DN28" s="19" t="n">
        <f aca="false">dt*(G28*Warfarin!$H$2+(H28+I28+J28)*c_aspirin)</f>
        <v>55.8891561165355</v>
      </c>
      <c r="DO28" s="19" t="n">
        <f aca="false">dt*(H28*c_lt_minor_stroke+I28*c_lt_major_stroke)</f>
        <v>249.421076768654</v>
      </c>
      <c r="DP28" s="19" t="n">
        <f aca="false">AH28+BG28+CF28+DE28</f>
        <v>272.478983393057</v>
      </c>
      <c r="DQ28" s="19" t="n">
        <f aca="false">DN28+DO28+DP28</f>
        <v>577.789216278247</v>
      </c>
      <c r="DR28" s="57" t="n">
        <f aca="false">dt*(G28*(u_af-dec_per_year_over_70*MAX(B28-ref_age,0))+H28*(u_minor_stroke-dec_per_year_over_70*MAX(B28-ref_age,0))+I28*(u_major_stroke-dec_per_year_over_70*MAX(B28-ref_age,0))+J28*(u_af-dec_per_year_over_70*MAX(B28-ref_age,0)))-AI28-BH28-CG28-DF28</f>
        <v>0.145475027410801</v>
      </c>
      <c r="DS28" s="57" t="n">
        <f aca="false">dt*(G28+H28+I28+J28)</f>
        <v>0.183785801926785</v>
      </c>
      <c r="DT28" s="19" t="n">
        <f aca="false">DQ28*C28</f>
        <v>532.360960116389</v>
      </c>
      <c r="DU28" s="19" t="n">
        <f aca="false">DN28*C28</f>
        <v>51.4949119368218</v>
      </c>
      <c r="DV28" s="19" t="n">
        <f aca="false">DP28*C28</f>
        <v>251.055521847625</v>
      </c>
      <c r="DW28" s="19" t="n">
        <f aca="false">DO28*C28</f>
        <v>229.810526331942</v>
      </c>
      <c r="DX28" s="57" t="n">
        <f aca="false">DR28*C28</f>
        <v>0.134037159371415</v>
      </c>
      <c r="DY28" s="57" t="n">
        <f aca="false">DS28*C28</f>
        <v>0.1693357771537</v>
      </c>
      <c r="DZ28" s="57" t="n">
        <f aca="false">T28+AS28+BR28+CQ28</f>
        <v>0.00479326722166977</v>
      </c>
      <c r="EA28" s="57" t="n">
        <f aca="false">U28+AT28+BS28+CR28</f>
        <v>0.00128720490674867</v>
      </c>
      <c r="EB28" s="57" t="n">
        <f aca="false">V28+AU28+BT28+CS28</f>
        <v>0.00623813006018557</v>
      </c>
      <c r="EC28" s="57" t="n">
        <f aca="false">G28*dt*C28</f>
        <v>0.130027506654365</v>
      </c>
    </row>
    <row r="29" customFormat="false" ht="15" hidden="false" customHeight="false" outlineLevel="0" collapsed="false">
      <c r="A29" s="8" t="n">
        <v>23</v>
      </c>
      <c r="B29" s="54" t="n">
        <f aca="false">start_age+A29*dt</f>
        <v>75.75</v>
      </c>
      <c r="C29" s="16" t="n">
        <f aca="false">(1+disc_rate)^-(A29*dt)</f>
        <v>0.91795260169141</v>
      </c>
      <c r="D29" s="55" t="n">
        <f aca="false">IF(A29*dt&gt;=wane_start,(1-wane_decay)^(A29*dt-wane_start),1)</f>
        <v>1</v>
      </c>
      <c r="E29" s="25" t="n">
        <f aca="false">MIN(p_nonvasc_death*MIN(EXP(gomp_int+gomp_slope*INT(B29)),1)/qx_ref,0.999)</f>
        <v>0.0556830227001195</v>
      </c>
      <c r="F29" s="55" t="n">
        <f aca="false">rr_stroke_per_decade^((B29-ref_age)/10)</f>
        <v>1.26256130216921</v>
      </c>
      <c r="G29" s="57" t="n">
        <f aca="false">DH28</f>
        <v>0.547801407947838</v>
      </c>
      <c r="H29" s="57" t="n">
        <f aca="false">DI28</f>
        <v>0.0519227307733084</v>
      </c>
      <c r="I29" s="57" t="n">
        <f aca="false">DJ28</f>
        <v>0.0174316741383249</v>
      </c>
      <c r="J29" s="57" t="n">
        <f aca="false">DK28</f>
        <v>0.104221322655307</v>
      </c>
      <c r="K29" s="57" t="n">
        <f aca="false">DL28</f>
        <v>0.278622864485223</v>
      </c>
      <c r="L29" s="57" t="n">
        <f aca="false">1-EXP(LN(1-E29)*dt)</f>
        <v>0.0142212559150164</v>
      </c>
      <c r="M29" s="57" t="n">
        <f aca="false">G29*(1-L29)</f>
        <v>0.540010983934805</v>
      </c>
      <c r="N29" s="57" t="n">
        <f aca="false">IF(Warfarin!$B$2=1,EXP(LN(or_apx_stroke)*D29)*(1-EXP(-r_stroke*F29*dt))/(1-(1-EXP(-r_stroke*F29*dt))+EXP(LN(or_apx_stroke)*D29)*(1-EXP(-r_stroke*F29*dt))),(1-EXP(-r_stroke*F29*dt)))</f>
        <v>0.00507814576301791</v>
      </c>
      <c r="O29" s="57" t="n">
        <f aca="false">IF(Warfarin!$B$2=1,EXP(LN(or_apx_ich)*D29)*(1-EXP(-r_ich*dt))/(1-(1-EXP(-r_ich*dt))+EXP(LN(or_apx_ich)*D29)*(1-EXP(-r_ich*dt))),(1-EXP(-r_ich*dt)))</f>
        <v>0.0020060281549299</v>
      </c>
      <c r="P29" s="57" t="n">
        <f aca="false">IF(Warfarin!$B$2=1,EXP(LN(or_apx_mb)*D29)*(1-EXP(-r_mb*dt))/(1-(1-EXP(-r_mb*dt))+EXP(LN(or_apx_mb)*D29)*(1-EXP(-r_mb*dt))),(1-EXP(-r_mb*dt)))</f>
        <v>0.00835410477572107</v>
      </c>
      <c r="Q29" s="57" t="n">
        <f aca="false">IF(Warfarin!$B$2=1,EXP(LN(or_apx_mi)*D29)*(1-EXP(-r_mi*dt))/(1-(1-EXP(-r_mi*dt))+EXP(LN(or_apx_mi)*D29)*(1-EXP(-r_mi*dt))),(1-EXP(-r_mi*dt)))</f>
        <v>0.00150338686144691</v>
      </c>
      <c r="R29" s="57" t="n">
        <f aca="false">(1-EXP(-r_tia*dt))</f>
        <v>0.0020060281549299</v>
      </c>
      <c r="S29" s="57" t="n">
        <f aca="false">(1-EXP(-r_minor*dt))</f>
        <v>0.0437937690785545</v>
      </c>
      <c r="T29" s="57" t="n">
        <f aca="false">M29*N29</f>
        <v>0.00274225449005166</v>
      </c>
      <c r="U29" s="57" t="n">
        <f aca="false">M29*O29</f>
        <v>0.00108327723774461</v>
      </c>
      <c r="V29" s="57" t="n">
        <f aca="false">M29*P29</f>
        <v>0.00451130833983159</v>
      </c>
      <c r="W29" s="57" t="n">
        <f aca="false">M29*Q29</f>
        <v>0.000811845418284604</v>
      </c>
      <c r="X29" s="57" t="n">
        <f aca="false">M29*R29</f>
        <v>0.00108327723774461</v>
      </c>
      <c r="Y29" s="57" t="n">
        <f aca="false">M29*S29</f>
        <v>0.0236491163303238</v>
      </c>
      <c r="Z29" s="57" t="n">
        <f aca="false">T29*f_stroke_fatal</f>
        <v>0.000649914314142244</v>
      </c>
      <c r="AA29" s="57" t="n">
        <f aca="false">T29*(1-f_stroke_fatal)*f_stroke_major</f>
        <v>0.000696749278577836</v>
      </c>
      <c r="AB29" s="57" t="n">
        <f aca="false">T29*(1-f_stroke_fatal)*(1-f_stroke_major)</f>
        <v>0.00139559089733158</v>
      </c>
      <c r="AC29" s="57" t="n">
        <f aca="false">U29*(1-f_bleed_fatal)</f>
        <v>0.000992281949774067</v>
      </c>
      <c r="AD29" s="57" t="n">
        <f aca="false">V29*(1-f_bleed_fatal)</f>
        <v>0.00413235843928574</v>
      </c>
      <c r="AE29" s="57" t="n">
        <f aca="false">W29*f_mi_fatal</f>
        <v>9.82332956124371E-005</v>
      </c>
      <c r="AF29" s="57" t="n">
        <f aca="false">W29-AE29</f>
        <v>0.000713612122672167</v>
      </c>
      <c r="AG29" s="57" t="n">
        <f aca="false">M29-T29-U29-V29-AE29</f>
        <v>0.531575910571565</v>
      </c>
      <c r="AH29" s="19" t="n">
        <f aca="false">Z29*c_stroke_fatal+AA29*c_stroke_major+AB29*c_stroke_minor+U29*c_ich+V29*c_major_bleed+AE29*c_mi_fatal+AF29*c_mi_nonfatal+X29*c_tia+Y29*c_minor_bleed</f>
        <v>174.871464219083</v>
      </c>
      <c r="AI29" s="57" t="n">
        <f aca="false">dt*(AF29*dec_mi+AD29*dec_major_bleed+Y29*dec_minor_bleed+X29*dec_tia)</f>
        <v>0.000222098639882554</v>
      </c>
      <c r="AJ29" s="57" t="n">
        <f aca="false">G29*L29+Z29+U29-AC29+V29-AD29+AE29</f>
        <v>0.0090085168113036</v>
      </c>
      <c r="AK29" s="57" t="n">
        <f aca="false">1-EXP(LN(1-E29)*hr_death_prior_stroke*dt)</f>
        <v>0.0324069647074854</v>
      </c>
      <c r="AL29" s="57" t="n">
        <f aca="false">H29*(1-AK29)</f>
        <v>0.0502400726696215</v>
      </c>
      <c r="AM29" s="57" t="n">
        <f aca="false">(1-EXP(-r_stroke*F29*rr_stroke_prior*rr_asa_stroke*dt))</f>
        <v>0.0179809985861282</v>
      </c>
      <c r="AN29" s="57" t="n">
        <f aca="false">(1-EXP(-r_ich*rr_asa_ich*dt))</f>
        <v>0.00102357767802375</v>
      </c>
      <c r="AO29" s="57" t="n">
        <f aca="false">(1-EXP(-r_mb*rr_asa_mb*dt))</f>
        <v>0.00951809672747972</v>
      </c>
      <c r="AP29" s="57" t="n">
        <f aca="false">(1-EXP(-r_mi*rr_asa_mi*dt))</f>
        <v>0.00213413516393479</v>
      </c>
      <c r="AQ29" s="57" t="n">
        <f aca="false">(1-EXP(-r_tia*rr_asa_tia*dt))</f>
        <v>0.00312764565589152</v>
      </c>
      <c r="AR29" s="57" t="n">
        <f aca="false">(1-EXP(-r_minor*rr_asa_minor*dt))</f>
        <v>0.0278181950466747</v>
      </c>
      <c r="AS29" s="57" t="n">
        <f aca="false">AL29*AM29</f>
        <v>0.000903366675639443</v>
      </c>
      <c r="AT29" s="57" t="n">
        <f aca="false">AL29*AN29</f>
        <v>5.14246169269154E-005</v>
      </c>
      <c r="AU29" s="57" t="n">
        <f aca="false">AL29*AO29</f>
        <v>0.000478189871265068</v>
      </c>
      <c r="AV29" s="57" t="n">
        <f aca="false">AL29*AP29</f>
        <v>0.000107219105722878</v>
      </c>
      <c r="AW29" s="57" t="n">
        <f aca="false">AL29*AQ29</f>
        <v>0.000157133145036816</v>
      </c>
      <c r="AX29" s="57" t="n">
        <f aca="false">AL29*AR29</f>
        <v>0.00139758814068264</v>
      </c>
      <c r="AY29" s="57" t="n">
        <f aca="false">AS29*f_stroke_fatal_recur</f>
        <v>0.00033613370633868</v>
      </c>
      <c r="AZ29" s="57" t="n">
        <f aca="false">AS29*(1-f_stroke_fatal_recur)*f_stroke_major</f>
        <v>0.000188888578777154</v>
      </c>
      <c r="BA29" s="57" t="n">
        <f aca="false">AS29*(1-f_stroke_fatal_recur)*(1-f_stroke_major)</f>
        <v>0.000378344390523609</v>
      </c>
      <c r="BB29" s="57" t="n">
        <f aca="false">AT29*(1-f_bleed_fatal)</f>
        <v>4.71049491050545E-005</v>
      </c>
      <c r="BC29" s="57" t="n">
        <f aca="false">AU29*(1-f_bleed_fatal)</f>
        <v>0.000438021922078802</v>
      </c>
      <c r="BD29" s="57" t="n">
        <f aca="false">AV29*f_mi_fatal</f>
        <v>1.29735117924683E-005</v>
      </c>
      <c r="BE29" s="57" t="n">
        <f aca="false">AV29-BD29</f>
        <v>9.42455939304102E-005</v>
      </c>
      <c r="BF29" s="57" t="n">
        <f aca="false">AL29-AS29-AT29-AU29-BD29</f>
        <v>0.0487941179939976</v>
      </c>
      <c r="BG29" s="19" t="n">
        <f aca="false">AY29*c_stroke_fatal+AZ29*c_stroke_major+BA29*c_stroke_minor+AT29*c_ich+AU29*c_major_bleed+BD29*c_mi_fatal+BE29*c_mi_nonfatal+AW29*c_tia+AX29*c_minor_bleed</f>
        <v>37.9128331712847</v>
      </c>
      <c r="BH29" s="57" t="n">
        <f aca="false">dt*(BE29*dec_mi+BC29*dec_major_bleed+AX29*dec_minor_bleed+AW29*dec_tia)</f>
        <v>2.16080189600544E-005</v>
      </c>
      <c r="BI29" s="57" t="n">
        <f aca="false">H29*AK29+AY29+AT29-BB29+AU29-BC29+BD29</f>
        <v>0.00207625293882614</v>
      </c>
      <c r="BJ29" s="57" t="n">
        <f aca="false">1-EXP(LN(1-E29)*hr_death_prior_stroke*dt)</f>
        <v>0.0324069647074854</v>
      </c>
      <c r="BK29" s="57" t="n">
        <f aca="false">I29*(1-BJ29)</f>
        <v>0.0168667664897318</v>
      </c>
      <c r="BL29" s="57" t="n">
        <f aca="false">(1-EXP(-r_stroke*F29*rr_stroke_prior*rr_asa_stroke*dt))</f>
        <v>0.0179809985861282</v>
      </c>
      <c r="BM29" s="57" t="n">
        <f aca="false">(1-EXP(-r_ich*rr_asa_ich*dt))</f>
        <v>0.00102357767802375</v>
      </c>
      <c r="BN29" s="57" t="n">
        <f aca="false">(1-EXP(-r_mb*rr_asa_mb*dt))</f>
        <v>0.00951809672747972</v>
      </c>
      <c r="BO29" s="57" t="n">
        <f aca="false">(1-EXP(-r_mi*rr_asa_mi*dt))</f>
        <v>0.00213413516393479</v>
      </c>
      <c r="BP29" s="57" t="n">
        <f aca="false">(1-EXP(-r_tia*rr_asa_tia*dt))</f>
        <v>0.00312764565589152</v>
      </c>
      <c r="BQ29" s="57" t="n">
        <f aca="false">(1-EXP(-r_minor*rr_asa_minor*dt))</f>
        <v>0.0278181950466747</v>
      </c>
      <c r="BR29" s="57" t="n">
        <f aca="false">BK29*BL29</f>
        <v>0.000303281304404422</v>
      </c>
      <c r="BS29" s="57" t="n">
        <f aca="false">BK29*BM29</f>
        <v>1.72644456793284E-005</v>
      </c>
      <c r="BT29" s="57" t="n">
        <f aca="false">BK29*BN29</f>
        <v>0.000160539514929081</v>
      </c>
      <c r="BU29" s="57" t="n">
        <f aca="false">BK29*BO29</f>
        <v>3.59959594676136E-005</v>
      </c>
      <c r="BV29" s="57" t="n">
        <f aca="false">BK29*BP29</f>
        <v>5.27532689405463E-005</v>
      </c>
      <c r="BW29" s="57" t="n">
        <f aca="false">BK29*BQ29</f>
        <v>0.000469203000018076</v>
      </c>
      <c r="BX29" s="57" t="n">
        <f aca="false">BR29*f_stroke_fatal_recur</f>
        <v>0.000112847940555841</v>
      </c>
      <c r="BY29" s="57" t="n">
        <f aca="false">BR29*(1-f_stroke_fatal_recur)*f_stroke_major</f>
        <v>6.34143101615774E-005</v>
      </c>
      <c r="BZ29" s="57" t="n">
        <f aca="false">BR29*(1-f_stroke_fatal_recur)*(1-f_stroke_major)</f>
        <v>0.000127019053687003</v>
      </c>
      <c r="CA29" s="57" t="n">
        <f aca="false">BS29*(1-f_bleed_fatal)</f>
        <v>1.58142322422648E-005</v>
      </c>
      <c r="CB29" s="57" t="n">
        <f aca="false">BT29*(1-f_bleed_fatal)</f>
        <v>0.000147054195675038</v>
      </c>
      <c r="CC29" s="57" t="n">
        <f aca="false">BU29*f_mi_fatal</f>
        <v>4.35551109558125E-006</v>
      </c>
      <c r="CD29" s="57" t="n">
        <f aca="false">BU29-CC29</f>
        <v>3.16404483720324E-005</v>
      </c>
      <c r="CE29" s="57" t="n">
        <f aca="false">BK29-BR29-BS29-BT29-CC29</f>
        <v>0.0163813257136234</v>
      </c>
      <c r="CF29" s="19" t="n">
        <f aca="false">BX29*c_stroke_fatal+BY29*c_stroke_major+BZ29*c_stroke_minor+BS29*c_ich+BT29*c_major_bleed+CC29*c_mi_fatal+CD29*c_mi_nonfatal+BV29*c_tia+BW29*c_minor_bleed</f>
        <v>12.7282241064687</v>
      </c>
      <c r="CG29" s="57" t="n">
        <f aca="false">dt*(CD29*dec_mi+CB29*dec_major_bleed+BW29*dec_minor_bleed+BV29*dec_tia)</f>
        <v>7.2543169374297E-006</v>
      </c>
      <c r="CH29" s="57" t="n">
        <f aca="false">I29*BJ29+BX29+BS29-CA29+BT29-CB29+CC29</f>
        <v>0.000697046632935609</v>
      </c>
      <c r="CI29" s="57" t="n">
        <f aca="false">1-EXP(LN(1-E29)*dt)</f>
        <v>0.0142212559150164</v>
      </c>
      <c r="CJ29" s="57" t="n">
        <f aca="false">J29*(1-CI29)</f>
        <v>0.102739164554025</v>
      </c>
      <c r="CK29" s="57" t="n">
        <f aca="false">(1-EXP(-r_stroke*F29*rr_asa_stroke*dt))</f>
        <v>0.00821363727643965</v>
      </c>
      <c r="CL29" s="57" t="n">
        <f aca="false">(1-EXP(-r_ich*rr_asa_ich*dt))</f>
        <v>0.00102357767802375</v>
      </c>
      <c r="CM29" s="57" t="n">
        <f aca="false">(1-EXP(-r_mb*rr_asa_mb*dt))</f>
        <v>0.00951809672747972</v>
      </c>
      <c r="CN29" s="57" t="n">
        <f aca="false">(1-EXP(-r_mi*rr_asa_mi*dt))</f>
        <v>0.00213413516393479</v>
      </c>
      <c r="CO29" s="57" t="n">
        <f aca="false">(1-EXP(-r_tia*rr_asa_tia*dt))</f>
        <v>0.00312764565589152</v>
      </c>
      <c r="CP29" s="57" t="n">
        <f aca="false">(1-EXP(-r_minor*rr_asa_minor*dt))</f>
        <v>0.0278181950466747</v>
      </c>
      <c r="CQ29" s="57" t="n">
        <f aca="false">CJ29*CK29</f>
        <v>0.000843862231731204</v>
      </c>
      <c r="CR29" s="57" t="n">
        <f aca="false">CJ29*CL29</f>
        <v>0.000105161515496308</v>
      </c>
      <c r="CS29" s="57" t="n">
        <f aca="false">CJ29*CM29</f>
        <v>0.000977881305925663</v>
      </c>
      <c r="CT29" s="57" t="n">
        <f aca="false">CJ29*CN29</f>
        <v>0.000219259263788027</v>
      </c>
      <c r="CU29" s="57" t="n">
        <f aca="false">CJ29*CO29</f>
        <v>0.000321331701707319</v>
      </c>
      <c r="CV29" s="57" t="n">
        <f aca="false">CJ29*CP29</f>
        <v>0.00285801811849627</v>
      </c>
      <c r="CW29" s="57" t="n">
        <f aca="false">CQ29*f_stroke_fatal</f>
        <v>0.000199995348920295</v>
      </c>
      <c r="CX29" s="57" t="n">
        <f aca="false">CQ29*(1-f_stroke_fatal)*f_stroke_major</f>
        <v>0.000214407671976033</v>
      </c>
      <c r="CY29" s="57" t="n">
        <f aca="false">CQ29*(1-f_stroke_fatal)*(1-f_stroke_major)</f>
        <v>0.000429459210834876</v>
      </c>
      <c r="CZ29" s="57" t="n">
        <f aca="false">CR29*(1-f_bleed_fatal)</f>
        <v>9.63279481946183E-005</v>
      </c>
      <c r="DA29" s="57" t="n">
        <f aca="false">CS29*(1-f_bleed_fatal)</f>
        <v>0.000895739276227907</v>
      </c>
      <c r="DB29" s="57" t="n">
        <f aca="false">CT29*f_mi_fatal</f>
        <v>2.65303709183513E-005</v>
      </c>
      <c r="DC29" s="57" t="n">
        <f aca="false">CT29-DB29</f>
        <v>0.000192728892869676</v>
      </c>
      <c r="DD29" s="57" t="n">
        <f aca="false">CJ29-CQ29-CR29-CS29-DB29</f>
        <v>0.100785729129953</v>
      </c>
      <c r="DE29" s="19" t="n">
        <f aca="false">CW29*c_stroke_fatal+CX29*c_stroke_major+CY29*c_stroke_minor+CR29*c_ich+CS29*c_major_bleed+DB29*c_mi_fatal+DC29*c_mi_nonfatal+CU29*c_tia+CV29*c_minor_bleed</f>
        <v>45.0133869167766</v>
      </c>
      <c r="DF29" s="57" t="n">
        <f aca="false">dt*(DC29*dec_mi+DA29*dec_major_bleed+CV29*dec_minor_bleed+CU29*dec_tia)</f>
        <v>4.41876314594956E-005</v>
      </c>
      <c r="DG29" s="57" t="n">
        <f aca="false">J29*CI29+CW29+CR29-CZ29+CS29-DA29+DB29</f>
        <v>0.00179965941812072</v>
      </c>
      <c r="DH29" s="57" t="n">
        <f aca="false">AG29</f>
        <v>0.531575910571565</v>
      </c>
      <c r="DI29" s="57" t="n">
        <f aca="false">AB29+AC29+BF29+BA29+BB29+BC29+CY29+CZ29</f>
        <v>0.0525712492618402</v>
      </c>
      <c r="DJ29" s="57" t="n">
        <f aca="false">AA29+AZ29+BY29+CX29+CE29+BZ29+CA29+CB29</f>
        <v>0.0178346730347203</v>
      </c>
      <c r="DK29" s="57" t="n">
        <f aca="false">AD29+DD29+DA29</f>
        <v>0.105813826845467</v>
      </c>
      <c r="DL29" s="57" t="n">
        <f aca="false">K29+AJ29+BI29+CH29+DG29</f>
        <v>0.292204340286409</v>
      </c>
      <c r="DM29" s="58" t="n">
        <f aca="false">SUM(DH29:DL29)</f>
        <v>1</v>
      </c>
      <c r="DN29" s="19" t="n">
        <f aca="false">dt*(G29*Warfarin!$H$2+(H29+I29+J29)*c_aspirin)</f>
        <v>54.3143729363349</v>
      </c>
      <c r="DO29" s="19" t="n">
        <f aca="false">dt*(H29*c_lt_minor_stroke+I29*c_lt_major_stroke)</f>
        <v>254.169848651682</v>
      </c>
      <c r="DP29" s="19" t="n">
        <f aca="false">AH29+BG29+CF29+DE29</f>
        <v>270.525908413613</v>
      </c>
      <c r="DQ29" s="19" t="n">
        <f aca="false">DN29+DO29+DP29</f>
        <v>579.010130001629</v>
      </c>
      <c r="DR29" s="57" t="n">
        <f aca="false">dt*(G29*(u_af-dec_per_year_over_70*MAX(B29-ref_age,0))+H29*(u_minor_stroke-dec_per_year_over_70*MAX(B29-ref_age,0))+I29*(u_major_stroke-dec_per_year_over_70*MAX(B29-ref_age,0))+J29*(u_af-dec_per_year_over_70*MAX(B29-ref_age,0)))-AI29-BH29-CG29-DF29</f>
        <v>0.142623685971127</v>
      </c>
      <c r="DS29" s="57" t="n">
        <f aca="false">dt*(G29+H29+I29+J29)</f>
        <v>0.180344283878695</v>
      </c>
      <c r="DT29" s="19" t="n">
        <f aca="false">DQ29*C29</f>
        <v>531.503855240677</v>
      </c>
      <c r="DU29" s="19" t="n">
        <f aca="false">DN29*C29</f>
        <v>49.8580199461461</v>
      </c>
      <c r="DV29" s="19" t="n">
        <f aca="false">DP29*C29</f>
        <v>248.329961453208</v>
      </c>
      <c r="DW29" s="19" t="n">
        <f aca="false">DO29*C29</f>
        <v>233.315873841323</v>
      </c>
      <c r="DX29" s="57" t="n">
        <f aca="false">DR29*C29</f>
        <v>0.130921783600014</v>
      </c>
      <c r="DY29" s="57" t="n">
        <f aca="false">DS29*C29</f>
        <v>0.165547504586622</v>
      </c>
      <c r="DZ29" s="57" t="n">
        <f aca="false">T29+AS29+BR29+CQ29</f>
        <v>0.00479276470182673</v>
      </c>
      <c r="EA29" s="57" t="n">
        <f aca="false">U29+AT29+BS29+CR29</f>
        <v>0.00125712781584717</v>
      </c>
      <c r="EB29" s="57" t="n">
        <f aca="false">V29+AU29+BT29+CS29</f>
        <v>0.0061279190319514</v>
      </c>
      <c r="EC29" s="57" t="n">
        <f aca="false">G29*dt*C29</f>
        <v>0.125713931908984</v>
      </c>
    </row>
    <row r="30" customFormat="false" ht="15" hidden="false" customHeight="false" outlineLevel="0" collapsed="false">
      <c r="A30" s="8" t="n">
        <v>24</v>
      </c>
      <c r="B30" s="54" t="n">
        <f aca="false">start_age+A30*dt</f>
        <v>76</v>
      </c>
      <c r="C30" s="16" t="n">
        <f aca="false">(1+disc_rate)^-(A30*dt)</f>
        <v>0.914542192517872</v>
      </c>
      <c r="D30" s="55" t="n">
        <f aca="false">IF(A30*dt&gt;=wane_start,(1-wane_decay)^(A30*dt-wane_start),1)</f>
        <v>1</v>
      </c>
      <c r="E30" s="25" t="n">
        <f aca="false">MIN(p_nonvasc_death*MIN(EXP(gomp_int+gomp_slope*INT(B30)),1)/qx_ref,0.999)</f>
        <v>0.061825064060722</v>
      </c>
      <c r="F30" s="55" t="n">
        <f aca="false">rr_stroke_per_decade^((B30-ref_age)/10)</f>
        <v>1.27542450062579</v>
      </c>
      <c r="G30" s="57" t="n">
        <f aca="false">DH29</f>
        <v>0.531575910571565</v>
      </c>
      <c r="H30" s="57" t="n">
        <f aca="false">DI29</f>
        <v>0.0525712492618402</v>
      </c>
      <c r="I30" s="57" t="n">
        <f aca="false">DJ29</f>
        <v>0.0178346730347203</v>
      </c>
      <c r="J30" s="57" t="n">
        <f aca="false">DK29</f>
        <v>0.105813826845467</v>
      </c>
      <c r="K30" s="57" t="n">
        <f aca="false">DL29</f>
        <v>0.292204340286409</v>
      </c>
      <c r="L30" s="57" t="n">
        <f aca="false">1-EXP(LN(1-E30)*dt)</f>
        <v>0.0158281098993188</v>
      </c>
      <c r="M30" s="57" t="n">
        <f aca="false">G30*(1-L30)</f>
        <v>0.523162068639208</v>
      </c>
      <c r="N30" s="57" t="n">
        <f aca="false">IF(Warfarin!$B$2=1,EXP(LN(or_apx_stroke)*D30)*(1-EXP(-r_stroke*F30*dt))/(1-(1-EXP(-r_stroke*F30*dt))+EXP(LN(or_apx_stroke)*D30)*(1-EXP(-r_stroke*F30*dt))),(1-EXP(-r_stroke*F30*dt)))</f>
        <v>0.00512974988723669</v>
      </c>
      <c r="O30" s="57" t="n">
        <f aca="false">IF(Warfarin!$B$2=1,EXP(LN(or_apx_ich)*D30)*(1-EXP(-r_ich*dt))/(1-(1-EXP(-r_ich*dt))+EXP(LN(or_apx_ich)*D30)*(1-EXP(-r_ich*dt))),(1-EXP(-r_ich*dt)))</f>
        <v>0.0020060281549299</v>
      </c>
      <c r="P30" s="57" t="n">
        <f aca="false">IF(Warfarin!$B$2=1,EXP(LN(or_apx_mb)*D30)*(1-EXP(-r_mb*dt))/(1-(1-EXP(-r_mb*dt))+EXP(LN(or_apx_mb)*D30)*(1-EXP(-r_mb*dt))),(1-EXP(-r_mb*dt)))</f>
        <v>0.00835410477572107</v>
      </c>
      <c r="Q30" s="57" t="n">
        <f aca="false">IF(Warfarin!$B$2=1,EXP(LN(or_apx_mi)*D30)*(1-EXP(-r_mi*dt))/(1-(1-EXP(-r_mi*dt))+EXP(LN(or_apx_mi)*D30)*(1-EXP(-r_mi*dt))),(1-EXP(-r_mi*dt)))</f>
        <v>0.00150338686144691</v>
      </c>
      <c r="R30" s="57" t="n">
        <f aca="false">(1-EXP(-r_tia*dt))</f>
        <v>0.0020060281549299</v>
      </c>
      <c r="S30" s="57" t="n">
        <f aca="false">(1-EXP(-r_minor*dt))</f>
        <v>0.0437937690785545</v>
      </c>
      <c r="T30" s="57" t="n">
        <f aca="false">M30*N30</f>
        <v>0.00268369056260849</v>
      </c>
      <c r="U30" s="57" t="n">
        <f aca="false">M30*O30</f>
        <v>0.00104947783928162</v>
      </c>
      <c r="V30" s="57" t="n">
        <f aca="false">M30*P30</f>
        <v>0.00437055073609492</v>
      </c>
      <c r="W30" s="57" t="n">
        <f aca="false">M30*Q30</f>
        <v>0.000786514980399571</v>
      </c>
      <c r="X30" s="57" t="n">
        <f aca="false">M30*R30</f>
        <v>0.00104947783928162</v>
      </c>
      <c r="Y30" s="57" t="n">
        <f aca="false">M30*S30</f>
        <v>0.0229112388246443</v>
      </c>
      <c r="Z30" s="57" t="n">
        <f aca="false">T30*f_stroke_fatal</f>
        <v>0.000636034663338212</v>
      </c>
      <c r="AA30" s="57" t="n">
        <f aca="false">T30*(1-f_stroke_fatal)*f_stroke_major</f>
        <v>0.000681869414457002</v>
      </c>
      <c r="AB30" s="57" t="n">
        <f aca="false">T30*(1-f_stroke_fatal)*(1-f_stroke_major)</f>
        <v>0.00136578648481327</v>
      </c>
      <c r="AC30" s="57" t="n">
        <f aca="false">U30*(1-f_bleed_fatal)</f>
        <v>0.000961321700781961</v>
      </c>
      <c r="AD30" s="57" t="n">
        <f aca="false">V30*(1-f_bleed_fatal)</f>
        <v>0.00400342447426295</v>
      </c>
      <c r="AE30" s="57" t="n">
        <f aca="false">W30*f_mi_fatal</f>
        <v>9.51683126283481E-005</v>
      </c>
      <c r="AF30" s="57" t="n">
        <f aca="false">W30-AE30</f>
        <v>0.000691346667771223</v>
      </c>
      <c r="AG30" s="57" t="n">
        <f aca="false">M30-T30-U30-V30-AE30</f>
        <v>0.514963181188594</v>
      </c>
      <c r="AH30" s="19" t="n">
        <f aca="false">Z30*c_stroke_fatal+AA30*c_stroke_major+AB30*c_stroke_minor+U30*c_ich+V30*c_major_bleed+AE30*c_mi_fatal+AF30*c_mi_nonfatal+X30*c_tia+Y30*c_minor_bleed</f>
        <v>170.412776138598</v>
      </c>
      <c r="AI30" s="57" t="n">
        <f aca="false">dt*(AF30*dec_mi+AD30*dec_major_bleed+Y30*dec_minor_bleed+X30*dec_tia)</f>
        <v>0.000215168926817494</v>
      </c>
      <c r="AJ30" s="57" t="n">
        <f aca="false">G30*L30+Z30+U30-AC30+V30-AD30+AE30</f>
        <v>0.00960032730865539</v>
      </c>
      <c r="AK30" s="57" t="n">
        <f aca="false">1-EXP(LN(1-E30)*hr_death_prior_stroke*dt)</f>
        <v>0.0360307062977862</v>
      </c>
      <c r="AL30" s="57" t="n">
        <f aca="false">H30*(1-AK30)</f>
        <v>0.0506770700199791</v>
      </c>
      <c r="AM30" s="57" t="n">
        <f aca="false">(1-EXP(-r_stroke*F30*rr_stroke_prior*rr_asa_stroke*dt))</f>
        <v>0.0181625184468738</v>
      </c>
      <c r="AN30" s="57" t="n">
        <f aca="false">(1-EXP(-r_ich*rr_asa_ich*dt))</f>
        <v>0.00102357767802375</v>
      </c>
      <c r="AO30" s="57" t="n">
        <f aca="false">(1-EXP(-r_mb*rr_asa_mb*dt))</f>
        <v>0.00951809672747972</v>
      </c>
      <c r="AP30" s="57" t="n">
        <f aca="false">(1-EXP(-r_mi*rr_asa_mi*dt))</f>
        <v>0.00213413516393479</v>
      </c>
      <c r="AQ30" s="57" t="n">
        <f aca="false">(1-EXP(-r_tia*rr_asa_tia*dt))</f>
        <v>0.00312764565589152</v>
      </c>
      <c r="AR30" s="57" t="n">
        <f aca="false">(1-EXP(-r_minor*rr_asa_minor*dt))</f>
        <v>0.0278181950466747</v>
      </c>
      <c r="AS30" s="57" t="n">
        <f aca="false">AL30*AM30</f>
        <v>0.000920423219071385</v>
      </c>
      <c r="AT30" s="57" t="n">
        <f aca="false">AL30*AN30</f>
        <v>5.1871917660097E-005</v>
      </c>
      <c r="AU30" s="57" t="n">
        <f aca="false">AL30*AO30</f>
        <v>0.000482349254315424</v>
      </c>
      <c r="AV30" s="57" t="n">
        <f aca="false">AL30*AP30</f>
        <v>0.000108151717134823</v>
      </c>
      <c r="AW30" s="57" t="n">
        <f aca="false">AL30*AQ30</f>
        <v>0.000158499917901298</v>
      </c>
      <c r="AX30" s="57" t="n">
        <f aca="false">AL30*AR30</f>
        <v>0.00140974461820977</v>
      </c>
      <c r="AY30" s="57" t="n">
        <f aca="false">AS30*f_stroke_fatal_recur</f>
        <v>0.000342480275584272</v>
      </c>
      <c r="AZ30" s="57" t="n">
        <f aca="false">AS30*(1-f_stroke_fatal_recur)*f_stroke_major</f>
        <v>0.000192455000181209</v>
      </c>
      <c r="BA30" s="57" t="n">
        <f aca="false">AS30*(1-f_stroke_fatal_recur)*(1-f_stroke_major)</f>
        <v>0.000385487943305905</v>
      </c>
      <c r="BB30" s="57" t="n">
        <f aca="false">AT30*(1-f_bleed_fatal)</f>
        <v>4.75146765766489E-005</v>
      </c>
      <c r="BC30" s="57" t="n">
        <f aca="false">AU30*(1-f_bleed_fatal)</f>
        <v>0.000441831916952928</v>
      </c>
      <c r="BD30" s="57" t="n">
        <f aca="false">AV30*f_mi_fatal</f>
        <v>1.30863577733136E-005</v>
      </c>
      <c r="BE30" s="57" t="n">
        <f aca="false">AV30-BD30</f>
        <v>9.50653593615095E-005</v>
      </c>
      <c r="BF30" s="57" t="n">
        <f aca="false">AL30-AS30-AT30-AU30-BD30</f>
        <v>0.0492093392711589</v>
      </c>
      <c r="BG30" s="19" t="n">
        <f aca="false">AY30*c_stroke_fatal+AZ30*c_stroke_major+BA30*c_stroke_minor+AT30*c_ich+AU30*c_major_bleed+BD30*c_mi_fatal+BE30*c_mi_nonfatal+AW30*c_tia+AX30*c_minor_bleed</f>
        <v>38.5597788312448</v>
      </c>
      <c r="BH30" s="57" t="n">
        <f aca="false">dt*(BE30*dec_mi+BC30*dec_major_bleed+AX30*dec_minor_bleed+AW30*dec_tia)</f>
        <v>2.17959694651047E-005</v>
      </c>
      <c r="BI30" s="57" t="n">
        <f aca="false">H30*AK30+AY30+AT30-BB30+AU30-BC30+BD30</f>
        <v>0.0022946204536646</v>
      </c>
      <c r="BJ30" s="57" t="n">
        <f aca="false">1-EXP(LN(1-E30)*hr_death_prior_stroke*dt)</f>
        <v>0.0360307062977862</v>
      </c>
      <c r="BK30" s="57" t="n">
        <f aca="false">I30*(1-BJ30)</f>
        <v>0.0171920771686892</v>
      </c>
      <c r="BL30" s="57" t="n">
        <f aca="false">(1-EXP(-r_stroke*F30*rr_stroke_prior*rr_asa_stroke*dt))</f>
        <v>0.0181625184468738</v>
      </c>
      <c r="BM30" s="57" t="n">
        <f aca="false">(1-EXP(-r_ich*rr_asa_ich*dt))</f>
        <v>0.00102357767802375</v>
      </c>
      <c r="BN30" s="57" t="n">
        <f aca="false">(1-EXP(-r_mb*rr_asa_mb*dt))</f>
        <v>0.00951809672747972</v>
      </c>
      <c r="BO30" s="57" t="n">
        <f aca="false">(1-EXP(-r_mi*rr_asa_mi*dt))</f>
        <v>0.00213413516393479</v>
      </c>
      <c r="BP30" s="57" t="n">
        <f aca="false">(1-EXP(-r_tia*rr_asa_tia*dt))</f>
        <v>0.00312764565589152</v>
      </c>
      <c r="BQ30" s="57" t="n">
        <f aca="false">(1-EXP(-r_minor*rr_asa_minor*dt))</f>
        <v>0.0278181950466747</v>
      </c>
      <c r="BR30" s="57" t="n">
        <f aca="false">BK30*BL30</f>
        <v>0.000312251418716396</v>
      </c>
      <c r="BS30" s="57" t="n">
        <f aca="false">BK30*BM30</f>
        <v>1.7597426428732E-005</v>
      </c>
      <c r="BT30" s="57" t="n">
        <f aca="false">BK30*BN30</f>
        <v>0.00016363585343788</v>
      </c>
      <c r="BU30" s="57" t="n">
        <f aca="false">BK30*BO30</f>
        <v>3.66902164267802E-005</v>
      </c>
      <c r="BV30" s="57" t="n">
        <f aca="false">BK30*BP30</f>
        <v>5.37707254724027E-005</v>
      </c>
      <c r="BW30" s="57" t="n">
        <f aca="false">BK30*BQ30</f>
        <v>0.00047825255593608</v>
      </c>
      <c r="BX30" s="57" t="n">
        <f aca="false">BR30*f_stroke_fatal_recur</f>
        <v>0.000116185630390184</v>
      </c>
      <c r="BY30" s="57" t="n">
        <f aca="false">BR30*(1-f_stroke_fatal_recur)*f_stroke_major</f>
        <v>6.52899075126286E-005</v>
      </c>
      <c r="BZ30" s="57" t="n">
        <f aca="false">BR30*(1-f_stroke_fatal_recur)*(1-f_stroke_major)</f>
        <v>0.000130775880813583</v>
      </c>
      <c r="CA30" s="57" t="n">
        <f aca="false">BS30*(1-f_bleed_fatal)</f>
        <v>1.61192426087185E-005</v>
      </c>
      <c r="CB30" s="57" t="n">
        <f aca="false">BT30*(1-f_bleed_fatal)</f>
        <v>0.000149890441749098</v>
      </c>
      <c r="CC30" s="57" t="n">
        <f aca="false">BU30*f_mi_fatal</f>
        <v>4.4395161876404E-006</v>
      </c>
      <c r="CD30" s="57" t="n">
        <f aca="false">BU30-CC30</f>
        <v>3.22507002391398E-005</v>
      </c>
      <c r="CE30" s="57" t="n">
        <f aca="false">BK30-BR30-BS30-BT30-CC30</f>
        <v>0.0166941529539186</v>
      </c>
      <c r="CF30" s="19" t="n">
        <f aca="false">BX30*c_stroke_fatal+BY30*c_stroke_major+BZ30*c_stroke_minor+BS30*c_ich+BT30*c_major_bleed+CC30*c_mi_fatal+CD30*c_mi_nonfatal+BV30*c_tia+BW30*c_minor_bleed</f>
        <v>13.0813145474471</v>
      </c>
      <c r="CG30" s="57" t="n">
        <f aca="false">dt*(CD30*dec_mi+CB30*dec_major_bleed+BW30*dec_minor_bleed+BV30*dec_tia)</f>
        <v>7.394231530409E-006</v>
      </c>
      <c r="CH30" s="57" t="n">
        <f aca="false">I30*BJ30+BX30+BS30-CA30+BT30-CB30+CC30</f>
        <v>0.000778444608117673</v>
      </c>
      <c r="CI30" s="57" t="n">
        <f aca="false">1-EXP(LN(1-E30)*dt)</f>
        <v>0.0158281098993188</v>
      </c>
      <c r="CJ30" s="57" t="n">
        <f aca="false">J30*(1-CI30)</f>
        <v>0.104138993965289</v>
      </c>
      <c r="CK30" s="57" t="n">
        <f aca="false">(1-EXP(-r_stroke*F30*rr_asa_stroke*dt))</f>
        <v>0.008296971156876</v>
      </c>
      <c r="CL30" s="57" t="n">
        <f aca="false">(1-EXP(-r_ich*rr_asa_ich*dt))</f>
        <v>0.00102357767802375</v>
      </c>
      <c r="CM30" s="57" t="n">
        <f aca="false">(1-EXP(-r_mb*rr_asa_mb*dt))</f>
        <v>0.00951809672747972</v>
      </c>
      <c r="CN30" s="57" t="n">
        <f aca="false">(1-EXP(-r_mi*rr_asa_mi*dt))</f>
        <v>0.00213413516393479</v>
      </c>
      <c r="CO30" s="57" t="n">
        <f aca="false">(1-EXP(-r_tia*rr_asa_tia*dt))</f>
        <v>0.00312764565589152</v>
      </c>
      <c r="CP30" s="57" t="n">
        <f aca="false">(1-EXP(-r_minor*rr_asa_minor*dt))</f>
        <v>0.0278181950466747</v>
      </c>
      <c r="CQ30" s="57" t="n">
        <f aca="false">CJ30*CK30</f>
        <v>0.000864038229236089</v>
      </c>
      <c r="CR30" s="57" t="n">
        <f aca="false">CJ30*CL30</f>
        <v>0.00010659434963472</v>
      </c>
      <c r="CS30" s="57" t="n">
        <f aca="false">CJ30*CM30</f>
        <v>0.00099120501766405</v>
      </c>
      <c r="CT30" s="57" t="n">
        <f aca="false">CJ30*CN30</f>
        <v>0.000222246688958117</v>
      </c>
      <c r="CU30" s="57" t="n">
        <f aca="false">CJ30*CO30</f>
        <v>0.00032570987208445</v>
      </c>
      <c r="CV30" s="57" t="n">
        <f aca="false">CJ30*CP30</f>
        <v>0.0028969588460909</v>
      </c>
      <c r="CW30" s="57" t="n">
        <f aca="false">CQ30*f_stroke_fatal</f>
        <v>0.000204777060328953</v>
      </c>
      <c r="CX30" s="57" t="n">
        <f aca="false">CQ30*(1-f_stroke_fatal)*f_stroke_major</f>
        <v>0.000219533969246076</v>
      </c>
      <c r="CY30" s="57" t="n">
        <f aca="false">CQ30*(1-f_stroke_fatal)*(1-f_stroke_major)</f>
        <v>0.00043972719966106</v>
      </c>
      <c r="CZ30" s="57" t="n">
        <f aca="false">CR30*(1-f_bleed_fatal)</f>
        <v>9.76404242654033E-005</v>
      </c>
      <c r="DA30" s="57" t="n">
        <f aca="false">CS30*(1-f_bleed_fatal)</f>
        <v>0.00090794379618027</v>
      </c>
      <c r="DB30" s="57" t="n">
        <f aca="false">CT30*f_mi_fatal</f>
        <v>2.68918493639321E-005</v>
      </c>
      <c r="DC30" s="57" t="n">
        <f aca="false">CT30-DB30</f>
        <v>0.000195354839594185</v>
      </c>
      <c r="DD30" s="57" t="n">
        <f aca="false">CJ30-CQ30-CR30-CS30-DB30</f>
        <v>0.102150264519391</v>
      </c>
      <c r="DE30" s="19" t="n">
        <f aca="false">CW30*c_stroke_fatal+CX30*c_stroke_major+CY30*c_stroke_minor+CR30*c_ich+CS30*c_major_bleed+DB30*c_mi_fatal+DC30*c_mi_nonfatal+CU30*c_tia+CV30*c_minor_bleed</f>
        <v>45.9473408113006</v>
      </c>
      <c r="DF30" s="57" t="n">
        <f aca="false">dt*(DC30*dec_mi+DA30*dec_major_bleed+CV30*dec_minor_bleed+CU30*dec_tia)</f>
        <v>4.47896915054345E-005</v>
      </c>
      <c r="DG30" s="57" t="n">
        <f aca="false">J30*CI30+CW30+CR30-CZ30+CS30-DA30+DB30</f>
        <v>0.00199871693672352</v>
      </c>
      <c r="DH30" s="57" t="n">
        <f aca="false">AG30</f>
        <v>0.514963181188594</v>
      </c>
      <c r="DI30" s="57" t="n">
        <f aca="false">AB30+AC30+BF30+BA30+BB30+BC30+CY30+CZ30</f>
        <v>0.0529486496175161</v>
      </c>
      <c r="DJ30" s="57" t="n">
        <f aca="false">AA30+AZ30+BY30+CX30+CE30+BZ30+CA30+CB30</f>
        <v>0.0181500868104869</v>
      </c>
      <c r="DK30" s="57" t="n">
        <f aca="false">AD30+DD30+DA30</f>
        <v>0.107061632789834</v>
      </c>
      <c r="DL30" s="57" t="n">
        <f aca="false">K30+AJ30+BI30+CH30+DG30</f>
        <v>0.30687644959357</v>
      </c>
      <c r="DM30" s="58" t="n">
        <f aca="false">SUM(DH30:DL30)</f>
        <v>1</v>
      </c>
      <c r="DN30" s="19" t="n">
        <f aca="false">dt*(G30*Warfarin!$H$2+(H30+I30+J30)*c_aspirin)</f>
        <v>52.7816026090701</v>
      </c>
      <c r="DO30" s="19" t="n">
        <f aca="false">dt*(H30*c_lt_minor_stroke+I30*c_lt_major_stroke)</f>
        <v>258.554046149349</v>
      </c>
      <c r="DP30" s="19" t="n">
        <f aca="false">AH30+BG30+CF30+DE30</f>
        <v>268.00121032859</v>
      </c>
      <c r="DQ30" s="19" t="n">
        <f aca="false">DN30+DO30+DP30</f>
        <v>579.33685908701</v>
      </c>
      <c r="DR30" s="57" t="n">
        <f aca="false">dt*(G30*(u_af-dec_per_year_over_70*MAX(B30-ref_age,0))+H30*(u_minor_stroke-dec_per_year_over_70*MAX(B30-ref_age,0))+I30*(u_major_stroke-dec_per_year_over_70*MAX(B30-ref_age,0))+J30*(u_af-dec_per_year_over_70*MAX(B30-ref_age,0)))-AI30-BH30-CG30-DF30</f>
        <v>0.139814444195087</v>
      </c>
      <c r="DS30" s="57" t="n">
        <f aca="false">dt*(G30+H30+I30+J30)</f>
        <v>0.176948914928398</v>
      </c>
      <c r="DT30" s="19" t="n">
        <f aca="false">DQ30*C30</f>
        <v>529.828001315851</v>
      </c>
      <c r="DU30" s="19" t="n">
        <f aca="false">DN30*C30</f>
        <v>48.271002574706</v>
      </c>
      <c r="DV30" s="19" t="n">
        <f aca="false">DP30*C30</f>
        <v>245.098414491352</v>
      </c>
      <c r="DW30" s="19" t="n">
        <f aca="false">DO30*C30</f>
        <v>236.458584249793</v>
      </c>
      <c r="DX30" s="57" t="n">
        <f aca="false">DR30*C30</f>
        <v>0.127866208339843</v>
      </c>
      <c r="DY30" s="57" t="n">
        <f aca="false">DS30*C30</f>
        <v>0.161827248622276</v>
      </c>
      <c r="DZ30" s="57" t="n">
        <f aca="false">T30+AS30+BR30+CQ30</f>
        <v>0.00478040342963236</v>
      </c>
      <c r="EA30" s="57" t="n">
        <f aca="false">U30+AT30+BS30+CR30</f>
        <v>0.00122554153300517</v>
      </c>
      <c r="EB30" s="57" t="n">
        <f aca="false">V30+AU30+BT30+CS30</f>
        <v>0.00600774086151227</v>
      </c>
      <c r="EC30" s="57" t="n">
        <f aca="false">G30*dt*C30</f>
        <v>0.121537149685951</v>
      </c>
    </row>
    <row r="31" customFormat="false" ht="15" hidden="false" customHeight="false" outlineLevel="0" collapsed="false">
      <c r="A31" s="8" t="n">
        <v>25</v>
      </c>
      <c r="B31" s="54" t="n">
        <f aca="false">start_age+A31*dt</f>
        <v>76.25</v>
      </c>
      <c r="C31" s="16" t="n">
        <f aca="false">(1+disc_rate)^-(A31*dt)</f>
        <v>0.911144453814149</v>
      </c>
      <c r="D31" s="55" t="n">
        <f aca="false">IF(A31*dt&gt;=wane_start,(1-wane_decay)^(A31*dt-wane_start),1)</f>
        <v>1</v>
      </c>
      <c r="E31" s="25" t="n">
        <f aca="false">MIN(p_nonvasc_death*MIN(EXP(gomp_int+gomp_slope*INT(B31)),1)/qx_ref,0.999)</f>
        <v>0.061825064060722</v>
      </c>
      <c r="F31" s="55" t="n">
        <f aca="false">rr_stroke_per_decade^((B31-ref_age)/10)</f>
        <v>1.28841875162949</v>
      </c>
      <c r="G31" s="57" t="n">
        <f aca="false">DH30</f>
        <v>0.514963181188594</v>
      </c>
      <c r="H31" s="57" t="n">
        <f aca="false">DI30</f>
        <v>0.0529486496175161</v>
      </c>
      <c r="I31" s="57" t="n">
        <f aca="false">DJ30</f>
        <v>0.0181500868104869</v>
      </c>
      <c r="J31" s="57" t="n">
        <f aca="false">DK30</f>
        <v>0.107061632789834</v>
      </c>
      <c r="K31" s="57" t="n">
        <f aca="false">DL30</f>
        <v>0.30687644959357</v>
      </c>
      <c r="L31" s="57" t="n">
        <f aca="false">1-EXP(LN(1-E31)*dt)</f>
        <v>0.0158281098993188</v>
      </c>
      <c r="M31" s="57" t="n">
        <f aca="false">G31*(1-L31)</f>
        <v>0.506812287362638</v>
      </c>
      <c r="N31" s="57" t="n">
        <f aca="false">IF(Warfarin!$B$2=1,EXP(LN(or_apx_stroke)*D31)*(1-EXP(-r_stroke*F31*dt))/(1-(1-EXP(-r_stroke*F31*dt))+EXP(LN(or_apx_stroke)*D31)*(1-EXP(-r_stroke*F31*dt))),(1-EXP(-r_stroke*F31*dt)))</f>
        <v>0.00518187704580453</v>
      </c>
      <c r="O31" s="57" t="n">
        <f aca="false">IF(Warfarin!$B$2=1,EXP(LN(or_apx_ich)*D31)*(1-EXP(-r_ich*dt))/(1-(1-EXP(-r_ich*dt))+EXP(LN(or_apx_ich)*D31)*(1-EXP(-r_ich*dt))),(1-EXP(-r_ich*dt)))</f>
        <v>0.0020060281549299</v>
      </c>
      <c r="P31" s="57" t="n">
        <f aca="false">IF(Warfarin!$B$2=1,EXP(LN(or_apx_mb)*D31)*(1-EXP(-r_mb*dt))/(1-(1-EXP(-r_mb*dt))+EXP(LN(or_apx_mb)*D31)*(1-EXP(-r_mb*dt))),(1-EXP(-r_mb*dt)))</f>
        <v>0.00835410477572107</v>
      </c>
      <c r="Q31" s="57" t="n">
        <f aca="false">IF(Warfarin!$B$2=1,EXP(LN(or_apx_mi)*D31)*(1-EXP(-r_mi*dt))/(1-(1-EXP(-r_mi*dt))+EXP(LN(or_apx_mi)*D31)*(1-EXP(-r_mi*dt))),(1-EXP(-r_mi*dt)))</f>
        <v>0.00150338686144691</v>
      </c>
      <c r="R31" s="57" t="n">
        <f aca="false">(1-EXP(-r_tia*dt))</f>
        <v>0.0020060281549299</v>
      </c>
      <c r="S31" s="57" t="n">
        <f aca="false">(1-EXP(-r_minor*dt))</f>
        <v>0.0437937690785545</v>
      </c>
      <c r="T31" s="57" t="n">
        <f aca="false">M31*N31</f>
        <v>0.00262623895841614</v>
      </c>
      <c r="U31" s="57" t="n">
        <f aca="false">M31*O31</f>
        <v>0.00101667971771387</v>
      </c>
      <c r="V31" s="57" t="n">
        <f aca="false">M31*P31</f>
        <v>0.00423396295025034</v>
      </c>
      <c r="W31" s="57" t="n">
        <f aca="false">M31*Q31</f>
        <v>0.000761934934040846</v>
      </c>
      <c r="X31" s="57" t="n">
        <f aca="false">M31*R31</f>
        <v>0.00101667971771387</v>
      </c>
      <c r="Y31" s="57" t="n">
        <f aca="false">M31*S31</f>
        <v>0.0221952202789334</v>
      </c>
      <c r="Z31" s="57" t="n">
        <f aca="false">T31*f_stroke_fatal</f>
        <v>0.000622418633144626</v>
      </c>
      <c r="AA31" s="57" t="n">
        <f aca="false">T31*(1-f_stroke_fatal)*f_stroke_major</f>
        <v>0.000667272168315415</v>
      </c>
      <c r="AB31" s="57" t="n">
        <f aca="false">T31*(1-f_stroke_fatal)*(1-f_stroke_major)</f>
        <v>0.0013365481569561</v>
      </c>
      <c r="AC31" s="57" t="n">
        <f aca="false">U31*(1-f_bleed_fatal)</f>
        <v>0.000931278621425908</v>
      </c>
      <c r="AD31" s="57" t="n">
        <f aca="false">V31*(1-f_bleed_fatal)</f>
        <v>0.00387831006242931</v>
      </c>
      <c r="AE31" s="57" t="n">
        <f aca="false">W31*f_mi_fatal</f>
        <v>9.21941270189423E-005</v>
      </c>
      <c r="AF31" s="57" t="n">
        <f aca="false">W31-AE31</f>
        <v>0.000669740807021904</v>
      </c>
      <c r="AG31" s="57" t="n">
        <f aca="false">M31-T31-U31-V31-AE31</f>
        <v>0.498843211609239</v>
      </c>
      <c r="AH31" s="19" t="n">
        <f aca="false">Z31*c_stroke_fatal+AA31*c_stroke_major+AB31*c_stroke_minor+U31*c_ich+V31*c_major_bleed+AE31*c_mi_fatal+AF31*c_mi_nonfatal+X31*c_tia+Y31*c_minor_bleed</f>
        <v>166.063169818365</v>
      </c>
      <c r="AI31" s="57" t="n">
        <f aca="false">dt*(AF31*dec_mi+AD31*dec_major_bleed+Y31*dec_minor_bleed+X31*dec_tia)</f>
        <v>0.000208444500292974</v>
      </c>
      <c r="AJ31" s="57" t="n">
        <f aca="false">G31*L31+Z31+U31-AC31+V31-AD31+AE31</f>
        <v>0.00930656057022846</v>
      </c>
      <c r="AK31" s="57" t="n">
        <f aca="false">1-EXP(LN(1-E31)*hr_death_prior_stroke*dt)</f>
        <v>0.0360307062977862</v>
      </c>
      <c r="AL31" s="57" t="n">
        <f aca="false">H31*(1-AK31)</f>
        <v>0.051040872374283</v>
      </c>
      <c r="AM31" s="57" t="n">
        <f aca="false">(1-EXP(-r_stroke*F31*rr_stroke_prior*rr_asa_stroke*dt))</f>
        <v>0.0183458535968978</v>
      </c>
      <c r="AN31" s="57" t="n">
        <f aca="false">(1-EXP(-r_ich*rr_asa_ich*dt))</f>
        <v>0.00102357767802375</v>
      </c>
      <c r="AO31" s="57" t="n">
        <f aca="false">(1-EXP(-r_mb*rr_asa_mb*dt))</f>
        <v>0.00951809672747972</v>
      </c>
      <c r="AP31" s="57" t="n">
        <f aca="false">(1-EXP(-r_mi*rr_asa_mi*dt))</f>
        <v>0.00213413516393479</v>
      </c>
      <c r="AQ31" s="57" t="n">
        <f aca="false">(1-EXP(-r_tia*rr_asa_tia*dt))</f>
        <v>0.00312764565589152</v>
      </c>
      <c r="AR31" s="57" t="n">
        <f aca="false">(1-EXP(-r_minor*rr_asa_minor*dt))</f>
        <v>0.0278181950466747</v>
      </c>
      <c r="AS31" s="57" t="n">
        <f aca="false">AL31*AM31</f>
        <v>0.00093638837203654</v>
      </c>
      <c r="AT31" s="57" t="n">
        <f aca="false">AL31*AN31</f>
        <v>5.22442976291749E-005</v>
      </c>
      <c r="AU31" s="57" t="n">
        <f aca="false">AL31*AO31</f>
        <v>0.000485811960313373</v>
      </c>
      <c r="AV31" s="57" t="n">
        <f aca="false">AL31*AP31</f>
        <v>0.000108928120531865</v>
      </c>
      <c r="AW31" s="57" t="n">
        <f aca="false">AL31*AQ31</f>
        <v>0.00015963776275434</v>
      </c>
      <c r="AX31" s="57" t="n">
        <f aca="false">AL31*AR31</f>
        <v>0.00141986494306023</v>
      </c>
      <c r="AY31" s="57" t="n">
        <f aca="false">AS31*f_stroke_fatal_recur</f>
        <v>0.000348420749351076</v>
      </c>
      <c r="AZ31" s="57" t="n">
        <f aca="false">AS31*(1-f_stroke_fatal_recur)*f_stroke_major</f>
        <v>0.000195793218354259</v>
      </c>
      <c r="BA31" s="57" t="n">
        <f aca="false">AS31*(1-f_stroke_fatal_recur)*(1-f_stroke_major)</f>
        <v>0.000392174404331204</v>
      </c>
      <c r="BB31" s="57" t="n">
        <f aca="false">AT31*(1-f_bleed_fatal)</f>
        <v>4.78557766283243E-005</v>
      </c>
      <c r="BC31" s="57" t="n">
        <f aca="false">AU31*(1-f_bleed_fatal)</f>
        <v>0.00044500375564705</v>
      </c>
      <c r="BD31" s="57" t="n">
        <f aca="false">AV31*f_mi_fatal</f>
        <v>1.31803025843557E-005</v>
      </c>
      <c r="BE31" s="57" t="n">
        <f aca="false">AV31-BD31</f>
        <v>9.57478179475095E-005</v>
      </c>
      <c r="BF31" s="57" t="n">
        <f aca="false">AL31-AS31-AT31-AU31-BD31</f>
        <v>0.0495532474417195</v>
      </c>
      <c r="BG31" s="19" t="n">
        <f aca="false">AY31*c_stroke_fatal+AZ31*c_stroke_major+BA31*c_stroke_minor+AT31*c_ich+AU31*c_major_bleed+BD31*c_mi_fatal+BE31*c_mi_nonfatal+AW31*c_tia+AX31*c_minor_bleed</f>
        <v>39.1592376298322</v>
      </c>
      <c r="BH31" s="57" t="n">
        <f aca="false">dt*(BE31*dec_mi+BC31*dec_major_bleed+AX31*dec_minor_bleed+AW31*dec_tia)</f>
        <v>2.19524391466118E-005</v>
      </c>
      <c r="BI31" s="57" t="n">
        <f aca="false">H31*AK31+AY31+AT31-BB31+AU31-BC31+BD31</f>
        <v>0.00231457502083572</v>
      </c>
      <c r="BJ31" s="57" t="n">
        <f aca="false">1-EXP(LN(1-E31)*hr_death_prior_stroke*dt)</f>
        <v>0.0360307062977862</v>
      </c>
      <c r="BK31" s="57" t="n">
        <f aca="false">I31*(1-BJ31)</f>
        <v>0.0174961263633389</v>
      </c>
      <c r="BL31" s="57" t="n">
        <f aca="false">(1-EXP(-r_stroke*F31*rr_stroke_prior*rr_asa_stroke*dt))</f>
        <v>0.0183458535968978</v>
      </c>
      <c r="BM31" s="57" t="n">
        <f aca="false">(1-EXP(-r_ich*rr_asa_ich*dt))</f>
        <v>0.00102357767802375</v>
      </c>
      <c r="BN31" s="57" t="n">
        <f aca="false">(1-EXP(-r_mb*rr_asa_mb*dt))</f>
        <v>0.00951809672747972</v>
      </c>
      <c r="BO31" s="57" t="n">
        <f aca="false">(1-EXP(-r_mi*rr_asa_mi*dt))</f>
        <v>0.00213413516393479</v>
      </c>
      <c r="BP31" s="57" t="n">
        <f aca="false">(1-EXP(-r_tia*rr_asa_tia*dt))</f>
        <v>0.00312764565589152</v>
      </c>
      <c r="BQ31" s="57" t="n">
        <f aca="false">(1-EXP(-r_minor*rr_asa_minor*dt))</f>
        <v>0.0278181950466747</v>
      </c>
      <c r="BR31" s="57" t="n">
        <f aca="false">BK31*BL31</f>
        <v>0.00032098137277464</v>
      </c>
      <c r="BS31" s="57" t="n">
        <f aca="false">BK31*BM31</f>
        <v>1.79086443973965E-005</v>
      </c>
      <c r="BT31" s="57" t="n">
        <f aca="false">BK31*BN31</f>
        <v>0.000166529823082468</v>
      </c>
      <c r="BU31" s="57" t="n">
        <f aca="false">BK31*BO31</f>
        <v>3.73390985046482E-005</v>
      </c>
      <c r="BV31" s="57" t="n">
        <f aca="false">BK31*BP31</f>
        <v>5.47216836152261E-005</v>
      </c>
      <c r="BW31" s="57" t="n">
        <f aca="false">BK31*BQ31</f>
        <v>0.00048671065573663</v>
      </c>
      <c r="BX31" s="57" t="n">
        <f aca="false">BR31*f_stroke_fatal_recur</f>
        <v>0.000119433958995716</v>
      </c>
      <c r="BY31" s="57" t="n">
        <f aca="false">BR31*(1-f_stroke_fatal_recur)*f_stroke_major</f>
        <v>6.71152887883817E-005</v>
      </c>
      <c r="BZ31" s="57" t="n">
        <f aca="false">BR31*(1-f_stroke_fatal_recur)*(1-f_stroke_major)</f>
        <v>0.000134432124990542</v>
      </c>
      <c r="CA31" s="57" t="n">
        <f aca="false">BS31*(1-f_bleed_fatal)</f>
        <v>1.64043182680152E-005</v>
      </c>
      <c r="CB31" s="57" t="n">
        <f aca="false">BT31*(1-f_bleed_fatal)</f>
        <v>0.000152541317943541</v>
      </c>
      <c r="CC31" s="57" t="n">
        <f aca="false">BU31*f_mi_fatal</f>
        <v>4.51803091906243E-006</v>
      </c>
      <c r="CD31" s="57" t="n">
        <f aca="false">BU31-CC31</f>
        <v>3.28210675855857E-005</v>
      </c>
      <c r="CE31" s="57" t="n">
        <f aca="false">BK31-BR31-BS31-BT31-CC31</f>
        <v>0.0169861884921654</v>
      </c>
      <c r="CF31" s="19" t="n">
        <f aca="false">BX31*c_stroke_fatal+BY31*c_stroke_major+BZ31*c_stroke_minor+BS31*c_ich+BT31*c_major_bleed+CC31*c_mi_fatal+CD31*c_mi_nonfatal+BV31*c_tia+BW31*c_minor_bleed</f>
        <v>13.4232613588471</v>
      </c>
      <c r="CG31" s="57" t="n">
        <f aca="false">dt*(CD31*dec_mi+CB31*dec_major_bleed+BW31*dec_minor_bleed+BV31*dec_tia)</f>
        <v>7.52500165898711E-006</v>
      </c>
      <c r="CH31" s="57" t="n">
        <f aca="false">I31*BJ31+BX31+BS31-CA31+BT31-CB31+CC31</f>
        <v>0.000793405268331063</v>
      </c>
      <c r="CI31" s="57" t="n">
        <f aca="false">1-EXP(LN(1-E31)*dt)</f>
        <v>0.0158281098993188</v>
      </c>
      <c r="CJ31" s="57" t="n">
        <f aca="false">J31*(1-CI31)</f>
        <v>0.105367049500036</v>
      </c>
      <c r="CK31" s="57" t="n">
        <f aca="false">(1-EXP(-r_stroke*F31*rr_asa_stroke*dt))</f>
        <v>0.00838114694824876</v>
      </c>
      <c r="CL31" s="57" t="n">
        <f aca="false">(1-EXP(-r_ich*rr_asa_ich*dt))</f>
        <v>0.00102357767802375</v>
      </c>
      <c r="CM31" s="57" t="n">
        <f aca="false">(1-EXP(-r_mb*rr_asa_mb*dt))</f>
        <v>0.00951809672747972</v>
      </c>
      <c r="CN31" s="57" t="n">
        <f aca="false">(1-EXP(-r_mi*rr_asa_mi*dt))</f>
        <v>0.00213413516393479</v>
      </c>
      <c r="CO31" s="57" t="n">
        <f aca="false">(1-EXP(-r_tia*rr_asa_tia*dt))</f>
        <v>0.00312764565589152</v>
      </c>
      <c r="CP31" s="57" t="n">
        <f aca="false">(1-EXP(-r_minor*rr_asa_minor*dt))</f>
        <v>0.0278181950466747</v>
      </c>
      <c r="CQ31" s="57" t="n">
        <f aca="false">CJ31*CK31</f>
        <v>0.000883096725363201</v>
      </c>
      <c r="CR31" s="57" t="n">
        <f aca="false">CJ31*CL31</f>
        <v>0.00010785135986746</v>
      </c>
      <c r="CS31" s="57" t="n">
        <f aca="false">CJ31*CM31</f>
        <v>0.00100289376903048</v>
      </c>
      <c r="CT31" s="57" t="n">
        <f aca="false">CJ31*CN31</f>
        <v>0.000224867525458084</v>
      </c>
      <c r="CU31" s="57" t="n">
        <f aca="false">CJ31*CO31</f>
        <v>0.000329550794642893</v>
      </c>
      <c r="CV31" s="57" t="n">
        <f aca="false">CJ31*CP31</f>
        <v>0.00293112113448462</v>
      </c>
      <c r="CW31" s="57" t="n">
        <f aca="false">CQ31*f_stroke_fatal</f>
        <v>0.000209293923911079</v>
      </c>
      <c r="CX31" s="57" t="n">
        <f aca="false">CQ31*(1-f_stroke_fatal)*f_stroke_major</f>
        <v>0.000224376332883557</v>
      </c>
      <c r="CY31" s="57" t="n">
        <f aca="false">CQ31*(1-f_stroke_fatal)*(1-f_stroke_major)</f>
        <v>0.000449426468568565</v>
      </c>
      <c r="CZ31" s="57" t="n">
        <f aca="false">CR31*(1-f_bleed_fatal)</f>
        <v>9.8791845638593E-005</v>
      </c>
      <c r="DA31" s="57" t="n">
        <f aca="false">CS31*(1-f_bleed_fatal)</f>
        <v>0.000918650692431923</v>
      </c>
      <c r="DB31" s="57" t="n">
        <f aca="false">CT31*f_mi_fatal</f>
        <v>2.72089705804282E-005</v>
      </c>
      <c r="DC31" s="57" t="n">
        <f aca="false">CT31-DB31</f>
        <v>0.000197658554877656</v>
      </c>
      <c r="DD31" s="57" t="n">
        <f aca="false">CJ31-CQ31-CR31-CS31-DB31</f>
        <v>0.103345998675194</v>
      </c>
      <c r="DE31" s="19" t="n">
        <f aca="false">CW31*c_stroke_fatal+CX31*c_stroke_major+CY31*c_stroke_minor+CR31*c_ich+CS31*c_major_bleed+DB31*c_mi_fatal+DC31*c_mi_nonfatal+CU31*c_tia+CV31*c_minor_bleed</f>
        <v>46.8168749068544</v>
      </c>
      <c r="DF31" s="57" t="n">
        <f aca="false">dt*(DC31*dec_mi+DA31*dec_major_bleed+CV31*dec_minor_bleed+CU31*dec_tia)</f>
        <v>4.53178724149905E-005</v>
      </c>
      <c r="DG31" s="57" t="n">
        <f aca="false">J31*CI31+CW31+CR31-CZ31+CS31-DA31+DB31</f>
        <v>0.00202438877511694</v>
      </c>
      <c r="DH31" s="57" t="n">
        <f aca="false">AG31</f>
        <v>0.498843211609239</v>
      </c>
      <c r="DI31" s="57" t="n">
        <f aca="false">AB31+AC31+BF31+BA31+BB31+BC31+CY31+CZ31</f>
        <v>0.0532543264709153</v>
      </c>
      <c r="DJ31" s="57" t="n">
        <f aca="false">AA31+AZ31+BY31+CX31+CE31+BZ31+CA31+CB31</f>
        <v>0.0184441232617091</v>
      </c>
      <c r="DK31" s="57" t="n">
        <f aca="false">AD31+DD31+DA31</f>
        <v>0.108142959430055</v>
      </c>
      <c r="DL31" s="57" t="n">
        <f aca="false">K31+AJ31+BI31+CH31+DG31</f>
        <v>0.321315379228082</v>
      </c>
      <c r="DM31" s="58" t="n">
        <f aca="false">SUM(DH31:DL31)</f>
        <v>1</v>
      </c>
      <c r="DN31" s="19" t="n">
        <f aca="false">dt*(G31*Warfarin!$H$2+(H31+I31+J31)*c_aspirin)</f>
        <v>51.2047706577259</v>
      </c>
      <c r="DO31" s="19" t="n">
        <f aca="false">dt*(H31*c_lt_minor_stroke+I31*c_lt_major_stroke)</f>
        <v>261.633507762058</v>
      </c>
      <c r="DP31" s="19" t="n">
        <f aca="false">AH31+BG31+CF31+DE31</f>
        <v>265.462543713899</v>
      </c>
      <c r="DQ31" s="19" t="n">
        <f aca="false">DN31+DO31+DP31</f>
        <v>578.300822133684</v>
      </c>
      <c r="DR31" s="57" t="n">
        <f aca="false">dt*(G31*(u_af-dec_per_year_over_70*MAX(B31-ref_age,0))+H31*(u_minor_stroke-dec_per_year_over_70*MAX(B31-ref_age,0))+I31*(u_major_stroke-dec_per_year_over_70*MAX(B31-ref_age,0))+J31*(u_af-dec_per_year_over_70*MAX(B31-ref_age,0)))-AI31-BH31-CG31-DF31</f>
        <v>0.136799764929916</v>
      </c>
      <c r="DS31" s="57" t="n">
        <f aca="false">dt*(G31+H31+I31+J31)</f>
        <v>0.173280887601608</v>
      </c>
      <c r="DT31" s="19" t="n">
        <f aca="false">DQ31*C31</f>
        <v>526.915586723268</v>
      </c>
      <c r="DU31" s="19" t="n">
        <f aca="false">DN31*C31</f>
        <v>46.6549427936124</v>
      </c>
      <c r="DV31" s="19" t="n">
        <f aca="false">DP31*C31</f>
        <v>241.874724400315</v>
      </c>
      <c r="DW31" s="19" t="n">
        <f aca="false">DO31*C31</f>
        <v>238.385919529341</v>
      </c>
      <c r="DX31" s="57" t="n">
        <f aca="false">DR31*C31</f>
        <v>0.124644347098973</v>
      </c>
      <c r="DY31" s="57" t="n">
        <f aca="false">DS31*C31</f>
        <v>0.157883919690198</v>
      </c>
      <c r="DZ31" s="57" t="n">
        <f aca="false">T31+AS31+BR31+CQ31</f>
        <v>0.00476670542859052</v>
      </c>
      <c r="EA31" s="57" t="n">
        <f aca="false">U31+AT31+BS31+CR31</f>
        <v>0.0011946840196079</v>
      </c>
      <c r="EB31" s="57" t="n">
        <f aca="false">V31+AU31+BT31+CS31</f>
        <v>0.00588919850267666</v>
      </c>
      <c r="EC31" s="57" t="n">
        <f aca="false">G31*dt*C31</f>
        <v>0.11730146161462</v>
      </c>
    </row>
    <row r="32" customFormat="false" ht="15" hidden="false" customHeight="false" outlineLevel="0" collapsed="false">
      <c r="A32" s="8" t="n">
        <v>26</v>
      </c>
      <c r="B32" s="54" t="n">
        <f aca="false">start_age+A32*dt</f>
        <v>76.5</v>
      </c>
      <c r="C32" s="16" t="n">
        <f aca="false">(1+disc_rate)^-(A32*dt)</f>
        <v>0.907759338506474</v>
      </c>
      <c r="D32" s="55" t="n">
        <f aca="false">IF(A32*dt&gt;=wane_start,(1-wane_decay)^(A32*dt-wane_start),1)</f>
        <v>1</v>
      </c>
      <c r="E32" s="25" t="n">
        <f aca="false">MIN(p_nonvasc_death*MIN(EXP(gomp_int+gomp_slope*INT(B32)),1)/qx_ref,0.999)</f>
        <v>0.061825064060722</v>
      </c>
      <c r="F32" s="55" t="n">
        <f aca="false">rr_stroke_per_decade^((B32-ref_age)/10)</f>
        <v>1.30154539036688</v>
      </c>
      <c r="G32" s="57" t="n">
        <f aca="false">DH31</f>
        <v>0.498843211609239</v>
      </c>
      <c r="H32" s="57" t="n">
        <f aca="false">DI31</f>
        <v>0.0532543264709153</v>
      </c>
      <c r="I32" s="57" t="n">
        <f aca="false">DJ31</f>
        <v>0.0184441232617091</v>
      </c>
      <c r="J32" s="57" t="n">
        <f aca="false">DK31</f>
        <v>0.108142959430055</v>
      </c>
      <c r="K32" s="57" t="n">
        <f aca="false">DL31</f>
        <v>0.321315379228082</v>
      </c>
      <c r="L32" s="57" t="n">
        <f aca="false">1-EXP(LN(1-E32)*dt)</f>
        <v>0.0158281098993188</v>
      </c>
      <c r="M32" s="57" t="n">
        <f aca="false">G32*(1-L32)</f>
        <v>0.490947466433359</v>
      </c>
      <c r="N32" s="57" t="n">
        <f aca="false">IF(Warfarin!$B$2=1,EXP(LN(or_apx_stroke)*D32)*(1-EXP(-r_stroke*F32*dt))/(1-(1-EXP(-r_stroke*F32*dt))+EXP(LN(or_apx_stroke)*D32)*(1-EXP(-r_stroke*F32*dt))),(1-EXP(-r_stroke*F32*dt)))</f>
        <v>0.00523453251197614</v>
      </c>
      <c r="O32" s="57" t="n">
        <f aca="false">IF(Warfarin!$B$2=1,EXP(LN(or_apx_ich)*D32)*(1-EXP(-r_ich*dt))/(1-(1-EXP(-r_ich*dt))+EXP(LN(or_apx_ich)*D32)*(1-EXP(-r_ich*dt))),(1-EXP(-r_ich*dt)))</f>
        <v>0.0020060281549299</v>
      </c>
      <c r="P32" s="57" t="n">
        <f aca="false">IF(Warfarin!$B$2=1,EXP(LN(or_apx_mb)*D32)*(1-EXP(-r_mb*dt))/(1-(1-EXP(-r_mb*dt))+EXP(LN(or_apx_mb)*D32)*(1-EXP(-r_mb*dt))),(1-EXP(-r_mb*dt)))</f>
        <v>0.00835410477572107</v>
      </c>
      <c r="Q32" s="57" t="n">
        <f aca="false">IF(Warfarin!$B$2=1,EXP(LN(or_apx_mi)*D32)*(1-EXP(-r_mi*dt))/(1-(1-EXP(-r_mi*dt))+EXP(LN(or_apx_mi)*D32)*(1-EXP(-r_mi*dt))),(1-EXP(-r_mi*dt)))</f>
        <v>0.00150338686144691</v>
      </c>
      <c r="R32" s="57" t="n">
        <f aca="false">(1-EXP(-r_tia*dt))</f>
        <v>0.0020060281549299</v>
      </c>
      <c r="S32" s="57" t="n">
        <f aca="false">(1-EXP(-r_minor*dt))</f>
        <v>0.0437937690785545</v>
      </c>
      <c r="T32" s="57" t="n">
        <f aca="false">M32*N32</f>
        <v>0.00256988047471773</v>
      </c>
      <c r="U32" s="57" t="n">
        <f aca="false">M32*O32</f>
        <v>0.000984854440256817</v>
      </c>
      <c r="V32" s="57" t="n">
        <f aca="false">M32*P32</f>
        <v>0.00410142657395908</v>
      </c>
      <c r="W32" s="57" t="n">
        <f aca="false">M32*Q32</f>
        <v>0.000738083970696559</v>
      </c>
      <c r="X32" s="57" t="n">
        <f aca="false">M32*R32</f>
        <v>0.000984854440256817</v>
      </c>
      <c r="Y32" s="57" t="n">
        <f aca="false">M32*S32</f>
        <v>0.0215004399746839</v>
      </c>
      <c r="Z32" s="57" t="n">
        <f aca="false">T32*f_stroke_fatal</f>
        <v>0.000609061672508102</v>
      </c>
      <c r="AA32" s="57" t="n">
        <f aca="false">T32*(1-f_stroke_fatal)*f_stroke_major</f>
        <v>0.000652952661135807</v>
      </c>
      <c r="AB32" s="57" t="n">
        <f aca="false">T32*(1-f_stroke_fatal)*(1-f_stroke_major)</f>
        <v>0.00130786614107382</v>
      </c>
      <c r="AC32" s="57" t="n">
        <f aca="false">U32*(1-f_bleed_fatal)</f>
        <v>0.000902126667275245</v>
      </c>
      <c r="AD32" s="57" t="n">
        <f aca="false">V32*(1-f_bleed_fatal)</f>
        <v>0.00375690674174652</v>
      </c>
      <c r="AE32" s="57" t="n">
        <f aca="false">W32*f_mi_fatal</f>
        <v>8.93081604542836E-005</v>
      </c>
      <c r="AF32" s="57" t="n">
        <f aca="false">W32-AE32</f>
        <v>0.000648775810242275</v>
      </c>
      <c r="AG32" s="57" t="n">
        <f aca="false">M32-T32-U32-V32-AE32</f>
        <v>0.483201996783971</v>
      </c>
      <c r="AH32" s="19" t="n">
        <f aca="false">Z32*c_stroke_fatal+AA32*c_stroke_major+AB32*c_stroke_minor+U32*c_ich+V32*c_major_bleed+AE32*c_mi_fatal+AF32*c_mi_nonfatal+X32*c_tia+Y32*c_minor_bleed</f>
        <v>161.820005251185</v>
      </c>
      <c r="AI32" s="57" t="n">
        <f aca="false">dt*(AF32*dec_mi+AD32*dec_major_bleed+Y32*dec_minor_bleed+X32*dec_tia)</f>
        <v>0.000201919530884577</v>
      </c>
      <c r="AJ32" s="57" t="n">
        <f aca="false">G32*L32+Z32+U32-AC32+V32-AD32+AE32</f>
        <v>0.00902136261403671</v>
      </c>
      <c r="AK32" s="57" t="n">
        <f aca="false">1-EXP(LN(1-E32)*hr_death_prior_stroke*dt)</f>
        <v>0.0360307062977862</v>
      </c>
      <c r="AL32" s="57" t="n">
        <f aca="false">H32*(1-AK32)</f>
        <v>0.0513355354747553</v>
      </c>
      <c r="AM32" s="57" t="n">
        <f aca="false">(1-EXP(-r_stroke*F32*rr_stroke_prior*rr_asa_stroke*dt))</f>
        <v>0.0185310218394785</v>
      </c>
      <c r="AN32" s="57" t="n">
        <f aca="false">(1-EXP(-r_ich*rr_asa_ich*dt))</f>
        <v>0.00102357767802375</v>
      </c>
      <c r="AO32" s="57" t="n">
        <f aca="false">(1-EXP(-r_mb*rr_asa_mb*dt))</f>
        <v>0.00951809672747972</v>
      </c>
      <c r="AP32" s="57" t="n">
        <f aca="false">(1-EXP(-r_mi*rr_asa_mi*dt))</f>
        <v>0.00213413516393479</v>
      </c>
      <c r="AQ32" s="57" t="n">
        <f aca="false">(1-EXP(-r_tia*rr_asa_tia*dt))</f>
        <v>0.00312764565589152</v>
      </c>
      <c r="AR32" s="57" t="n">
        <f aca="false">(1-EXP(-r_minor*rr_asa_minor*dt))</f>
        <v>0.0278181950466747</v>
      </c>
      <c r="AS32" s="57" t="n">
        <f aca="false">AL32*AM32</f>
        <v>0.000951299929024015</v>
      </c>
      <c r="AT32" s="57" t="n">
        <f aca="false">AL32*AN32</f>
        <v>5.25459082013557E-005</v>
      </c>
      <c r="AU32" s="57" t="n">
        <f aca="false">AL32*AO32</f>
        <v>0.000488616592205688</v>
      </c>
      <c r="AV32" s="57" t="n">
        <f aca="false">AL32*AP32</f>
        <v>0.000109556971416097</v>
      </c>
      <c r="AW32" s="57" t="n">
        <f aca="false">AL32*AQ32</f>
        <v>0.000160559364520484</v>
      </c>
      <c r="AX32" s="57" t="n">
        <f aca="false">AL32*AR32</f>
        <v>0.00142806193866223</v>
      </c>
      <c r="AY32" s="57" t="n">
        <f aca="false">AS32*f_stroke_fatal_recur</f>
        <v>0.000353969190590546</v>
      </c>
      <c r="AZ32" s="57" t="n">
        <f aca="false">AS32*(1-f_stroke_fatal_recur)*f_stroke_major</f>
        <v>0.000198911135898345</v>
      </c>
      <c r="BA32" s="57" t="n">
        <f aca="false">AS32*(1-f_stroke_fatal_recur)*(1-f_stroke_major)</f>
        <v>0.000398419602535124</v>
      </c>
      <c r="BB32" s="57" t="n">
        <f aca="false">AT32*(1-f_bleed_fatal)</f>
        <v>4.81320519124418E-005</v>
      </c>
      <c r="BC32" s="57" t="n">
        <f aca="false">AU32*(1-f_bleed_fatal)</f>
        <v>0.00044757279846041</v>
      </c>
      <c r="BD32" s="57" t="n">
        <f aca="false">AV32*f_mi_fatal</f>
        <v>1.32563935413478E-005</v>
      </c>
      <c r="BE32" s="57" t="n">
        <f aca="false">AV32-BD32</f>
        <v>9.63005778747495E-005</v>
      </c>
      <c r="BF32" s="57" t="n">
        <f aca="false">AL32-AS32-AT32-AU32-BD32</f>
        <v>0.0498298166517829</v>
      </c>
      <c r="BG32" s="19" t="n">
        <f aca="false">AY32*c_stroke_fatal+AZ32*c_stroke_major+BA32*c_stroke_minor+AT32*c_ich+AU32*c_major_bleed+BD32*c_mi_fatal+BE32*c_mi_nonfatal+AW32*c_tia+AX32*c_minor_bleed</f>
        <v>39.7130588396895</v>
      </c>
      <c r="BH32" s="57" t="n">
        <f aca="false">dt*(BE32*dec_mi+BC32*dec_major_bleed+AX32*dec_minor_bleed+AW32*dec_tia)</f>
        <v>2.20791723602301E-005</v>
      </c>
      <c r="BI32" s="57" t="n">
        <f aca="false">H32*AK32+AY32+AT32-BB32+AU32-BC32+BD32</f>
        <v>0.00233147423032605</v>
      </c>
      <c r="BJ32" s="57" t="n">
        <f aca="false">1-EXP(LN(1-E32)*hr_death_prior_stroke*dt)</f>
        <v>0.0360307062977862</v>
      </c>
      <c r="BK32" s="57" t="n">
        <f aca="false">I32*(1-BJ32)</f>
        <v>0.0177795684735463</v>
      </c>
      <c r="BL32" s="57" t="n">
        <f aca="false">(1-EXP(-r_stroke*F32*rr_stroke_prior*rr_asa_stroke*dt))</f>
        <v>0.0185310218394785</v>
      </c>
      <c r="BM32" s="57" t="n">
        <f aca="false">(1-EXP(-r_ich*rr_asa_ich*dt))</f>
        <v>0.00102357767802375</v>
      </c>
      <c r="BN32" s="57" t="n">
        <f aca="false">(1-EXP(-r_mb*rr_asa_mb*dt))</f>
        <v>0.00951809672747972</v>
      </c>
      <c r="BO32" s="57" t="n">
        <f aca="false">(1-EXP(-r_mi*rr_asa_mi*dt))</f>
        <v>0.00213413516393479</v>
      </c>
      <c r="BP32" s="57" t="n">
        <f aca="false">(1-EXP(-r_tia*rr_asa_tia*dt))</f>
        <v>0.00312764565589152</v>
      </c>
      <c r="BQ32" s="57" t="n">
        <f aca="false">(1-EXP(-r_minor*rr_asa_minor*dt))</f>
        <v>0.0278181950466747</v>
      </c>
      <c r="BR32" s="57" t="n">
        <f aca="false">BK32*BL32</f>
        <v>0.00032947357167979</v>
      </c>
      <c r="BS32" s="57" t="n">
        <f aca="false">BK32*BM32</f>
        <v>1.81987694144167E-005</v>
      </c>
      <c r="BT32" s="57" t="n">
        <f aca="false">BK32*BN32</f>
        <v>0.000169227652504062</v>
      </c>
      <c r="BU32" s="57" t="n">
        <f aca="false">BK32*BO32</f>
        <v>3.79440022789815E-005</v>
      </c>
      <c r="BV32" s="57" t="n">
        <f aca="false">BK32*BP32</f>
        <v>5.56081900999128E-005</v>
      </c>
      <c r="BW32" s="57" t="n">
        <f aca="false">BK32*BQ32</f>
        <v>0.000494595503642819</v>
      </c>
      <c r="BX32" s="57" t="n">
        <f aca="false">BR32*f_stroke_fatal_recur</f>
        <v>0.000122593821286333</v>
      </c>
      <c r="BY32" s="57" t="n">
        <f aca="false">BR32*(1-f_stroke_fatal_recur)*f_stroke_major</f>
        <v>6.88909568810211E-005</v>
      </c>
      <c r="BZ32" s="57" t="n">
        <f aca="false">BR32*(1-f_stroke_fatal_recur)*(1-f_stroke_major)</f>
        <v>0.000137988793512436</v>
      </c>
      <c r="CA32" s="57" t="n">
        <f aca="false">BS32*(1-f_bleed_fatal)</f>
        <v>1.66700727836057E-005</v>
      </c>
      <c r="CB32" s="57" t="n">
        <f aca="false">BT32*(1-f_bleed_fatal)</f>
        <v>0.000155012529693721</v>
      </c>
      <c r="CC32" s="57" t="n">
        <f aca="false">BU32*f_mi_fatal</f>
        <v>4.59122427575677E-006</v>
      </c>
      <c r="CD32" s="57" t="n">
        <f aca="false">BU32-CC32</f>
        <v>3.33527780032248E-005</v>
      </c>
      <c r="CE32" s="57" t="n">
        <f aca="false">BK32-BR32-BS32-BT32-CC32</f>
        <v>0.0172580772556722</v>
      </c>
      <c r="CF32" s="19" t="n">
        <f aca="false">BX32*c_stroke_fatal+BY32*c_stroke_major+BZ32*c_stroke_minor+BS32*c_ich+BT32*c_major_bleed+CC32*c_mi_fatal+CD32*c_mi_nonfatal+BV32*c_tia+BW32*c_minor_bleed</f>
        <v>13.7542355875776</v>
      </c>
      <c r="CG32" s="57" t="n">
        <f aca="false">dt*(CD32*dec_mi+CB32*dec_major_bleed+BW32*dec_minor_bleed+BV32*dec_tia)</f>
        <v>7.64690877746828E-006</v>
      </c>
      <c r="CH32" s="57" t="n">
        <f aca="false">I32*BJ32+BX32+BS32-CA32+BT32-CB32+CC32</f>
        <v>0.000807483653166047</v>
      </c>
      <c r="CI32" s="57" t="n">
        <f aca="false">1-EXP(LN(1-E32)*dt)</f>
        <v>0.0158281098993188</v>
      </c>
      <c r="CJ32" s="57" t="n">
        <f aca="false">J32*(1-CI32)</f>
        <v>0.106431260783359</v>
      </c>
      <c r="CK32" s="57" t="n">
        <f aca="false">(1-EXP(-r_stroke*F32*rr_asa_stroke*dt))</f>
        <v>0.00846617308310971</v>
      </c>
      <c r="CL32" s="57" t="n">
        <f aca="false">(1-EXP(-r_ich*rr_asa_ich*dt))</f>
        <v>0.00102357767802375</v>
      </c>
      <c r="CM32" s="57" t="n">
        <f aca="false">(1-EXP(-r_mb*rr_asa_mb*dt))</f>
        <v>0.00951809672747972</v>
      </c>
      <c r="CN32" s="57" t="n">
        <f aca="false">(1-EXP(-r_mi*rr_asa_mi*dt))</f>
        <v>0.00213413516393479</v>
      </c>
      <c r="CO32" s="57" t="n">
        <f aca="false">(1-EXP(-r_tia*rr_asa_tia*dt))</f>
        <v>0.00312764565589152</v>
      </c>
      <c r="CP32" s="57" t="n">
        <f aca="false">(1-EXP(-r_minor*rr_asa_minor*dt))</f>
        <v>0.0278181950466747</v>
      </c>
      <c r="CQ32" s="57" t="n">
        <f aca="false">CJ32*CK32</f>
        <v>0.000901065475245503</v>
      </c>
      <c r="CR32" s="57" t="n">
        <f aca="false">CJ32*CL32</f>
        <v>0.00010894066278177</v>
      </c>
      <c r="CS32" s="57" t="n">
        <f aca="false">CJ32*CM32</f>
        <v>0.00101302303496363</v>
      </c>
      <c r="CT32" s="57" t="n">
        <f aca="false">CJ32*CN32</f>
        <v>0.00022713869617968</v>
      </c>
      <c r="CU32" s="57" t="n">
        <f aca="false">CJ32*CO32</f>
        <v>0.00033287927044013</v>
      </c>
      <c r="CV32" s="57" t="n">
        <f aca="false">CJ32*CP32</f>
        <v>0.00296072557153498</v>
      </c>
      <c r="CW32" s="57" t="n">
        <f aca="false">CQ32*f_stroke_fatal</f>
        <v>0.000213552517633184</v>
      </c>
      <c r="CX32" s="57" t="n">
        <f aca="false">CQ32*(1-f_stroke_fatal)*f_stroke_major</f>
        <v>0.000228941814884902</v>
      </c>
      <c r="CY32" s="57" t="n">
        <f aca="false">CQ32*(1-f_stroke_fatal)*(1-f_stroke_major)</f>
        <v>0.000458571142727416</v>
      </c>
      <c r="CZ32" s="57" t="n">
        <f aca="false">CR32*(1-f_bleed_fatal)</f>
        <v>9.97896471081016E-005</v>
      </c>
      <c r="DA32" s="57" t="n">
        <f aca="false">CS32*(1-f_bleed_fatal)</f>
        <v>0.000927929100026684</v>
      </c>
      <c r="DB32" s="57" t="n">
        <f aca="false">CT32*f_mi_fatal</f>
        <v>2.74837822377413E-005</v>
      </c>
      <c r="DC32" s="57" t="n">
        <f aca="false">CT32-DB32</f>
        <v>0.000199654913941939</v>
      </c>
      <c r="DD32" s="57" t="n">
        <f aca="false">CJ32-CQ32-CR32-CS32-DB32</f>
        <v>0.10438074782813</v>
      </c>
      <c r="DE32" s="19" t="n">
        <f aca="false">CW32*c_stroke_fatal+CX32*c_stroke_major+CY32*c_stroke_minor+CR32*c_ich+CS32*c_major_bleed+DB32*c_mi_fatal+DC32*c_mi_nonfatal+CU32*c_tia+CV32*c_minor_bleed</f>
        <v>47.6240824793291</v>
      </c>
      <c r="DF32" s="57" t="n">
        <f aca="false">dt*(DC32*dec_mi+DA32*dec_major_bleed+CV32*dec_minor_bleed+CU32*dec_tia)</f>
        <v>4.57755846826213E-005</v>
      </c>
      <c r="DG32" s="57" t="n">
        <f aca="false">J32*CI32+CW32+CR32-CZ32+CS32-DA32+DB32</f>
        <v>0.00204697989717803</v>
      </c>
      <c r="DH32" s="57" t="n">
        <f aca="false">AG32</f>
        <v>0.483201996783971</v>
      </c>
      <c r="DI32" s="57" t="n">
        <f aca="false">AB32+AC32+BF32+BA32+BB32+BC32+CY32+CZ32</f>
        <v>0.0534922947028755</v>
      </c>
      <c r="DJ32" s="57" t="n">
        <f aca="false">AA32+AZ32+BY32+CX32+CE32+BZ32+CA32+CB32</f>
        <v>0.0187174452204621</v>
      </c>
      <c r="DK32" s="57" t="n">
        <f aca="false">AD32+DD32+DA32</f>
        <v>0.109065583669903</v>
      </c>
      <c r="DL32" s="57" t="n">
        <f aca="false">K32+AJ32+BI32+CH32+DG32</f>
        <v>0.335522679622789</v>
      </c>
      <c r="DM32" s="58" t="n">
        <f aca="false">SUM(DH32:DL32)</f>
        <v>1</v>
      </c>
      <c r="DN32" s="19" t="n">
        <f aca="false">dt*(G32*Warfarin!$H$2+(H32+I32+J32)*c_aspirin)</f>
        <v>49.6727383352978</v>
      </c>
      <c r="DO32" s="19" t="n">
        <f aca="false">dt*(H32*c_lt_minor_stroke+I32*c_lt_major_stroke)</f>
        <v>264.379511571156</v>
      </c>
      <c r="DP32" s="19" t="n">
        <f aca="false">AH32+BG32+CF32+DE32</f>
        <v>262.911382157782</v>
      </c>
      <c r="DQ32" s="19" t="n">
        <f aca="false">DN32+DO32+DP32</f>
        <v>576.963632064235</v>
      </c>
      <c r="DR32" s="57" t="n">
        <f aca="false">dt*(G32*(u_af-dec_per_year_over_70*MAX(B32-ref_age,0))+H32*(u_minor_stroke-dec_per_year_over_70*MAX(B32-ref_age,0))+I32*(u_major_stroke-dec_per_year_over_70*MAX(B32-ref_age,0))+J32*(u_af-dec_per_year_over_70*MAX(B32-ref_age,0)))-AI32-BH32-CG32-DF32</f>
        <v>0.133836263373721</v>
      </c>
      <c r="DS32" s="57" t="n">
        <f aca="false">dt*(G32+H32+I32+J32)</f>
        <v>0.16967115519298</v>
      </c>
      <c r="DT32" s="19" t="n">
        <f aca="false">DQ32*C32</f>
        <v>523.744124984923</v>
      </c>
      <c r="DU32" s="19" t="n">
        <f aca="false">DN32*C32</f>
        <v>45.0908920930551</v>
      </c>
      <c r="DV32" s="19" t="n">
        <f aca="false">DP32*C32</f>
        <v>238.66026235337</v>
      </c>
      <c r="DW32" s="19" t="n">
        <f aca="false">DO32*C32</f>
        <v>239.992970538497</v>
      </c>
      <c r="DX32" s="57" t="n">
        <f aca="false">DR32*C32</f>
        <v>0.121491117908307</v>
      </c>
      <c r="DY32" s="57" t="n">
        <f aca="false">DS32*C32</f>
        <v>0.154020575601608</v>
      </c>
      <c r="DZ32" s="57" t="n">
        <f aca="false">T32+AS32+BR32+CQ32</f>
        <v>0.00475171945066704</v>
      </c>
      <c r="EA32" s="57" t="n">
        <f aca="false">U32+AT32+BS32+CR32</f>
        <v>0.00116453978065436</v>
      </c>
      <c r="EB32" s="57" t="n">
        <f aca="false">V32+AU32+BT32+CS32</f>
        <v>0.00577229385363246</v>
      </c>
      <c r="EC32" s="57" t="n">
        <f aca="false">G32*dt*C32</f>
        <v>0.113207395947212</v>
      </c>
    </row>
    <row r="33" customFormat="false" ht="15" hidden="false" customHeight="false" outlineLevel="0" collapsed="false">
      <c r="A33" s="8" t="n">
        <v>27</v>
      </c>
      <c r="B33" s="54" t="n">
        <f aca="false">start_age+A33*dt</f>
        <v>76.75</v>
      </c>
      <c r="C33" s="16" t="n">
        <f aca="false">(1+disc_rate)^-(A33*dt)</f>
        <v>0.90438679969597</v>
      </c>
      <c r="D33" s="55" t="n">
        <f aca="false">IF(A33*dt&gt;=wane_start,(1-wane_decay)^(A33*dt-wane_start),1)</f>
        <v>1</v>
      </c>
      <c r="E33" s="25" t="n">
        <f aca="false">MIN(p_nonvasc_death*MIN(EXP(gomp_int+gomp_slope*INT(B33)),1)/qx_ref,0.999)</f>
        <v>0.061825064060722</v>
      </c>
      <c r="F33" s="55" t="n">
        <f aca="false">rr_stroke_per_decade^((B33-ref_age)/10)</f>
        <v>1.31480576562769</v>
      </c>
      <c r="G33" s="57" t="n">
        <f aca="false">DH32</f>
        <v>0.483201996783971</v>
      </c>
      <c r="H33" s="57" t="n">
        <f aca="false">DI32</f>
        <v>0.0534922947028755</v>
      </c>
      <c r="I33" s="57" t="n">
        <f aca="false">DJ32</f>
        <v>0.0187174452204621</v>
      </c>
      <c r="J33" s="57" t="n">
        <f aca="false">DK32</f>
        <v>0.109065583669903</v>
      </c>
      <c r="K33" s="57" t="n">
        <f aca="false">DL32</f>
        <v>0.335522679622789</v>
      </c>
      <c r="L33" s="57" t="n">
        <f aca="false">1-EXP(LN(1-E33)*dt)</f>
        <v>0.0158281098993188</v>
      </c>
      <c r="M33" s="57" t="n">
        <f aca="false">G33*(1-L33)</f>
        <v>0.475553822475304</v>
      </c>
      <c r="N33" s="57" t="n">
        <f aca="false">IF(Warfarin!$B$2=1,EXP(LN(or_apx_stroke)*D33)*(1-EXP(-r_stroke*F33*dt))/(1-(1-EXP(-r_stroke*F33*dt))+EXP(LN(or_apx_stroke)*D33)*(1-EXP(-r_stroke*F33*dt))),(1-EXP(-r_stroke*F33*dt)))</f>
        <v>0.00528772161159874</v>
      </c>
      <c r="O33" s="57" t="n">
        <f aca="false">IF(Warfarin!$B$2=1,EXP(LN(or_apx_ich)*D33)*(1-EXP(-r_ich*dt))/(1-(1-EXP(-r_ich*dt))+EXP(LN(or_apx_ich)*D33)*(1-EXP(-r_ich*dt))),(1-EXP(-r_ich*dt)))</f>
        <v>0.0020060281549299</v>
      </c>
      <c r="P33" s="57" t="n">
        <f aca="false">IF(Warfarin!$B$2=1,EXP(LN(or_apx_mb)*D33)*(1-EXP(-r_mb*dt))/(1-(1-EXP(-r_mb*dt))+EXP(LN(or_apx_mb)*D33)*(1-EXP(-r_mb*dt))),(1-EXP(-r_mb*dt)))</f>
        <v>0.00835410477572107</v>
      </c>
      <c r="Q33" s="57" t="n">
        <f aca="false">IF(Warfarin!$B$2=1,EXP(LN(or_apx_mi)*D33)*(1-EXP(-r_mi*dt))/(1-(1-EXP(-r_mi*dt))+EXP(LN(or_apx_mi)*D33)*(1-EXP(-r_mi*dt))),(1-EXP(-r_mi*dt)))</f>
        <v>0.00150338686144691</v>
      </c>
      <c r="R33" s="57" t="n">
        <f aca="false">(1-EXP(-r_tia*dt))</f>
        <v>0.0020060281549299</v>
      </c>
      <c r="S33" s="57" t="n">
        <f aca="false">(1-EXP(-r_minor*dt))</f>
        <v>0.0437937690785545</v>
      </c>
      <c r="T33" s="57" t="n">
        <f aca="false">M33*N33</f>
        <v>0.00251459622458105</v>
      </c>
      <c r="U33" s="57" t="n">
        <f aca="false">M33*O33</f>
        <v>0.000953974357069993</v>
      </c>
      <c r="V33" s="57" t="n">
        <f aca="false">M33*P33</f>
        <v>0.00397282645945335</v>
      </c>
      <c r="W33" s="57" t="n">
        <f aca="false">M33*Q33</f>
        <v>0.000714941368620228</v>
      </c>
      <c r="X33" s="57" t="n">
        <f aca="false">M33*R33</f>
        <v>0.000953974357069993</v>
      </c>
      <c r="Y33" s="57" t="n">
        <f aca="false">M33*S33</f>
        <v>0.0208262942859073</v>
      </c>
      <c r="Z33" s="57" t="n">
        <f aca="false">T33*f_stroke_fatal</f>
        <v>0.00059595930522571</v>
      </c>
      <c r="AA33" s="57" t="n">
        <f aca="false">T33*(1-f_stroke_fatal)*f_stroke_major</f>
        <v>0.00063890609414533</v>
      </c>
      <c r="AB33" s="57" t="n">
        <f aca="false">T33*(1-f_stroke_fatal)*(1-f_stroke_major)</f>
        <v>0.00127973082521001</v>
      </c>
      <c r="AC33" s="57" t="n">
        <f aca="false">U33*(1-f_bleed_fatal)</f>
        <v>0.000873840511076113</v>
      </c>
      <c r="AD33" s="57" t="n">
        <f aca="false">V33*(1-f_bleed_fatal)</f>
        <v>0.00363910903685927</v>
      </c>
      <c r="AE33" s="57" t="n">
        <f aca="false">W33*f_mi_fatal</f>
        <v>8.65079056030475E-005</v>
      </c>
      <c r="AF33" s="57" t="n">
        <f aca="false">W33-AE33</f>
        <v>0.00062843346301718</v>
      </c>
      <c r="AG33" s="57" t="n">
        <f aca="false">M33-T33-U33-V33-AE33</f>
        <v>0.468025917528596</v>
      </c>
      <c r="AH33" s="19" t="n">
        <f aca="false">Z33*c_stroke_fatal+AA33*c_stroke_major+AB33*c_stroke_minor+U33*c_ich+V33*c_major_bleed+AE33*c_mi_fatal+AF33*c_mi_nonfatal+X33*c_tia+Y33*c_minor_bleed</f>
        <v>157.680707258664</v>
      </c>
      <c r="AI33" s="57" t="n">
        <f aca="false">dt*(AF33*dec_mi+AD33*dec_major_bleed+Y33*dec_minor_bleed+X33*dec_tia)</f>
        <v>0.000195588349690801</v>
      </c>
      <c r="AJ33" s="57" t="n">
        <f aca="false">G33*L33+Z33+U33-AC33+V33-AD33+AE33</f>
        <v>0.00874449278808371</v>
      </c>
      <c r="AK33" s="57" t="n">
        <f aca="false">1-EXP(LN(1-E33)*hr_death_prior_stroke*dt)</f>
        <v>0.0360307062977862</v>
      </c>
      <c r="AL33" s="57" t="n">
        <f aca="false">H33*(1-AK33)</f>
        <v>0.0515649295432415</v>
      </c>
      <c r="AM33" s="57" t="n">
        <f aca="false">(1-EXP(-r_stroke*F33*rr_stroke_prior*rr_asa_stroke*dt))</f>
        <v>0.0187180411453204</v>
      </c>
      <c r="AN33" s="57" t="n">
        <f aca="false">(1-EXP(-r_ich*rr_asa_ich*dt))</f>
        <v>0.00102357767802375</v>
      </c>
      <c r="AO33" s="57" t="n">
        <f aca="false">(1-EXP(-r_mb*rr_asa_mb*dt))</f>
        <v>0.00951809672747972</v>
      </c>
      <c r="AP33" s="57" t="n">
        <f aca="false">(1-EXP(-r_mi*rr_asa_mi*dt))</f>
        <v>0.00213413516393479</v>
      </c>
      <c r="AQ33" s="57" t="n">
        <f aca="false">(1-EXP(-r_tia*rr_asa_tia*dt))</f>
        <v>0.00312764565589152</v>
      </c>
      <c r="AR33" s="57" t="n">
        <f aca="false">(1-EXP(-r_minor*rr_asa_minor*dt))</f>
        <v>0.0278181950466747</v>
      </c>
      <c r="AS33" s="57" t="n">
        <f aca="false">AL33*AM33</f>
        <v>0.000965194472845942</v>
      </c>
      <c r="AT33" s="57" t="n">
        <f aca="false">AL33*AN33</f>
        <v>5.27807108493292E-005</v>
      </c>
      <c r="AU33" s="57" t="n">
        <f aca="false">AL33*AO33</f>
        <v>0.00049079998713825</v>
      </c>
      <c r="AV33" s="57" t="n">
        <f aca="false">AL33*AP33</f>
        <v>0.000110046529364052</v>
      </c>
      <c r="AW33" s="57" t="n">
        <f aca="false">AL33*AQ33</f>
        <v>0.000161276827882272</v>
      </c>
      <c r="AX33" s="57" t="n">
        <f aca="false">AL33*AR33</f>
        <v>0.00143444326760193</v>
      </c>
      <c r="AY33" s="57" t="n">
        <f aca="false">AS33*f_stroke_fatal_recur</f>
        <v>0.000359139211401247</v>
      </c>
      <c r="AZ33" s="57" t="n">
        <f aca="false">AS33*(1-f_stroke_fatal_recur)*f_stroke_major</f>
        <v>0.000201816402061084</v>
      </c>
      <c r="BA33" s="57" t="n">
        <f aca="false">AS33*(1-f_stroke_fatal_recur)*(1-f_stroke_major)</f>
        <v>0.000404238859383612</v>
      </c>
      <c r="BB33" s="57" t="n">
        <f aca="false">AT33*(1-f_bleed_fatal)</f>
        <v>4.83471311379856E-005</v>
      </c>
      <c r="BC33" s="57" t="n">
        <f aca="false">AU33*(1-f_bleed_fatal)</f>
        <v>0.000449572788218637</v>
      </c>
      <c r="BD33" s="57" t="n">
        <f aca="false">AV33*f_mi_fatal</f>
        <v>1.33156300530503E-005</v>
      </c>
      <c r="BE33" s="57" t="n">
        <f aca="false">AV33-BD33</f>
        <v>9.67308993110015E-005</v>
      </c>
      <c r="BF33" s="57" t="n">
        <f aca="false">AL33-AS33-AT33-AU33-BD33</f>
        <v>0.050042838742355</v>
      </c>
      <c r="BG33" s="19" t="n">
        <f aca="false">AY33*c_stroke_fatal+AZ33*c_stroke_major+BA33*c_stroke_minor+AT33*c_ich+AU33*c_major_bleed+BD33*c_mi_fatal+BE33*c_mi_nonfatal+AW33*c_tia+AX33*c_minor_bleed</f>
        <v>40.2230249736445</v>
      </c>
      <c r="BH33" s="57" t="n">
        <f aca="false">dt*(BE33*dec_mi+BC33*dec_major_bleed+AX33*dec_minor_bleed+AW33*dec_tia)</f>
        <v>2.21778336701722E-005</v>
      </c>
      <c r="BI33" s="57" t="n">
        <f aca="false">H33*AK33+AY33+AT33-BB33+AU33-BC33+BD33</f>
        <v>0.00234548077971918</v>
      </c>
      <c r="BJ33" s="57" t="n">
        <f aca="false">1-EXP(LN(1-E33)*hr_death_prior_stroke*dt)</f>
        <v>0.0360307062977862</v>
      </c>
      <c r="BK33" s="57" t="n">
        <f aca="false">I33*(1-BJ33)</f>
        <v>0.0180430424490787</v>
      </c>
      <c r="BL33" s="57" t="n">
        <f aca="false">(1-EXP(-r_stroke*F33*rr_stroke_prior*rr_asa_stroke*dt))</f>
        <v>0.0187180411453204</v>
      </c>
      <c r="BM33" s="57" t="n">
        <f aca="false">(1-EXP(-r_ich*rr_asa_ich*dt))</f>
        <v>0.00102357767802375</v>
      </c>
      <c r="BN33" s="57" t="n">
        <f aca="false">(1-EXP(-r_mb*rr_asa_mb*dt))</f>
        <v>0.00951809672747972</v>
      </c>
      <c r="BO33" s="57" t="n">
        <f aca="false">(1-EXP(-r_mi*rr_asa_mi*dt))</f>
        <v>0.00213413516393479</v>
      </c>
      <c r="BP33" s="57" t="n">
        <f aca="false">(1-EXP(-r_tia*rr_asa_tia*dt))</f>
        <v>0.00312764565589152</v>
      </c>
      <c r="BQ33" s="57" t="n">
        <f aca="false">(1-EXP(-r_minor*rr_asa_minor*dt))</f>
        <v>0.0278181950466747</v>
      </c>
      <c r="BR33" s="57" t="n">
        <f aca="false">BK33*BL33</f>
        <v>0.000337730410948618</v>
      </c>
      <c r="BS33" s="57" t="n">
        <f aca="false">BK33*BM33</f>
        <v>1.84684554945119E-005</v>
      </c>
      <c r="BT33" s="57" t="n">
        <f aca="false">BK33*BN33</f>
        <v>0.000171735423288354</v>
      </c>
      <c r="BU33" s="57" t="n">
        <f aca="false">BK33*BO33</f>
        <v>3.8506291354947E-005</v>
      </c>
      <c r="BV33" s="57" t="n">
        <f aca="false">BK33*BP33</f>
        <v>5.64322433349273E-005</v>
      </c>
      <c r="BW33" s="57" t="n">
        <f aca="false">BK33*BQ33</f>
        <v>0.000501924874083903</v>
      </c>
      <c r="BX33" s="57" t="n">
        <f aca="false">BR33*f_stroke_fatal_recur</f>
        <v>0.000125666108609871</v>
      </c>
      <c r="BY33" s="57" t="n">
        <f aca="false">BR33*(1-f_stroke_fatal_recur)*f_stroke_major</f>
        <v>7.06174126788026E-005</v>
      </c>
      <c r="BZ33" s="57" t="n">
        <f aca="false">BR33*(1-f_stroke_fatal_recur)*(1-f_stroke_major)</f>
        <v>0.000141446889659944</v>
      </c>
      <c r="CA33" s="57" t="n">
        <f aca="false">BS33*(1-f_bleed_fatal)</f>
        <v>1.69171052329729E-005</v>
      </c>
      <c r="CB33" s="57" t="n">
        <f aca="false">BT33*(1-f_bleed_fatal)</f>
        <v>0.000157309647732132</v>
      </c>
      <c r="CC33" s="57" t="n">
        <f aca="false">BU33*f_mi_fatal</f>
        <v>4.65926125394859E-006</v>
      </c>
      <c r="CD33" s="57" t="n">
        <f aca="false">BU33-CC33</f>
        <v>3.38470301009984E-005</v>
      </c>
      <c r="CE33" s="57" t="n">
        <f aca="false">BK33-BR33-BS33-BT33-CC33</f>
        <v>0.0175104488980933</v>
      </c>
      <c r="CF33" s="19" t="n">
        <f aca="false">BX33*c_stroke_fatal+BY33*c_stroke_major+BZ33*c_stroke_minor+BS33*c_ich+BT33*c_major_bleed+CC33*c_mi_fatal+CD33*c_mi_nonfatal+BV33*c_tia+BW33*c_minor_bleed</f>
        <v>14.0744058696177</v>
      </c>
      <c r="CG33" s="57" t="n">
        <f aca="false">dt*(CD33*dec_mi+CB33*dec_major_bleed+BW33*dec_minor_bleed+BV33*dec_tia)</f>
        <v>7.7602276951423E-006</v>
      </c>
      <c r="CH33" s="57" t="n">
        <f aca="false">I33*BJ33+BX33+BS33-CA33+BT33-CB33+CC33</f>
        <v>0.000820705267064951</v>
      </c>
      <c r="CI33" s="57" t="n">
        <f aca="false">1-EXP(LN(1-E33)*dt)</f>
        <v>0.0158281098993188</v>
      </c>
      <c r="CJ33" s="57" t="n">
        <f aca="false">J33*(1-CI33)</f>
        <v>0.107339281625343</v>
      </c>
      <c r="CK33" s="57" t="n">
        <f aca="false">(1-EXP(-r_stroke*F33*rr_asa_stroke*dt))</f>
        <v>0.00855205807697268</v>
      </c>
      <c r="CL33" s="57" t="n">
        <f aca="false">(1-EXP(-r_ich*rr_asa_ich*dt))</f>
        <v>0.00102357767802375</v>
      </c>
      <c r="CM33" s="57" t="n">
        <f aca="false">(1-EXP(-r_mb*rr_asa_mb*dt))</f>
        <v>0.00951809672747972</v>
      </c>
      <c r="CN33" s="57" t="n">
        <f aca="false">(1-EXP(-r_mi*rr_asa_mi*dt))</f>
        <v>0.00213413516393479</v>
      </c>
      <c r="CO33" s="57" t="n">
        <f aca="false">(1-EXP(-r_tia*rr_asa_tia*dt))</f>
        <v>0.00312764565589152</v>
      </c>
      <c r="CP33" s="57" t="n">
        <f aca="false">(1-EXP(-r_minor*rr_asa_minor*dt))</f>
        <v>0.0278181950466747</v>
      </c>
      <c r="CQ33" s="57" t="n">
        <f aca="false">CJ33*CK33</f>
        <v>0.000917971770400458</v>
      </c>
      <c r="CR33" s="57" t="n">
        <f aca="false">CJ33*CL33</f>
        <v>0.000109870092646805</v>
      </c>
      <c r="CS33" s="57" t="n">
        <f aca="false">CJ33*CM33</f>
        <v>0.0010216656651682</v>
      </c>
      <c r="CT33" s="57" t="n">
        <f aca="false">CJ33*CN33</f>
        <v>0.000229076535388144</v>
      </c>
      <c r="CU33" s="57" t="n">
        <f aca="false">CJ33*CO33</f>
        <v>0.00033571923788202</v>
      </c>
      <c r="CV33" s="57" t="n">
        <f aca="false">CJ33*CP33</f>
        <v>0.00298598507242373</v>
      </c>
      <c r="CW33" s="57" t="n">
        <f aca="false">CQ33*f_stroke_fatal</f>
        <v>0.000217559309584909</v>
      </c>
      <c r="CX33" s="57" t="n">
        <f aca="false">CQ33*(1-f_stroke_fatal)*f_stroke_major</f>
        <v>0.000233237349451578</v>
      </c>
      <c r="CY33" s="57" t="n">
        <f aca="false">CQ33*(1-f_stroke_fatal)*(1-f_stroke_major)</f>
        <v>0.000467175111363972</v>
      </c>
      <c r="CZ33" s="57" t="n">
        <f aca="false">CR33*(1-f_bleed_fatal)</f>
        <v>0.000100641004864474</v>
      </c>
      <c r="DA33" s="57" t="n">
        <f aca="false">CS33*(1-f_bleed_fatal)</f>
        <v>0.000935845749294071</v>
      </c>
      <c r="DB33" s="57" t="n">
        <f aca="false">CT33*f_mi_fatal</f>
        <v>2.77182607819654E-005</v>
      </c>
      <c r="DC33" s="57" t="n">
        <f aca="false">CT33-DB33</f>
        <v>0.000201358274606178</v>
      </c>
      <c r="DD33" s="57" t="n">
        <f aca="false">CJ33-CQ33-CR33-CS33-DB33</f>
        <v>0.105262055836345</v>
      </c>
      <c r="DE33" s="19" t="n">
        <f aca="false">CW33*c_stroke_fatal+CX33*c_stroke_major+CY33*c_stroke_minor+CR33*c_ich+CS33*c_major_bleed+DB33*c_mi_fatal+DC33*c_mi_nonfatal+CU33*c_tia+CV33*c_minor_bleed</f>
        <v>48.371002534353</v>
      </c>
      <c r="DF33" s="57" t="n">
        <f aca="false">dt*(DC33*dec_mi+DA33*dec_major_bleed+CV33*dec_minor_bleed+CU33*dec_tia)</f>
        <v>4.61661201760459E-005</v>
      </c>
      <c r="DG33" s="57" t="n">
        <f aca="false">J33*CI33+CW33+CR33-CZ33+CS33-DA33+DB33</f>
        <v>0.00206662861858392</v>
      </c>
      <c r="DH33" s="57" t="n">
        <f aca="false">AG33</f>
        <v>0.468025917528596</v>
      </c>
      <c r="DI33" s="57" t="n">
        <f aca="false">AB33+AC33+BF33+BA33+BB33+BC33+CY33+CZ33</f>
        <v>0.0536663849736098</v>
      </c>
      <c r="DJ33" s="57" t="n">
        <f aca="false">AA33+AZ33+BY33+CX33+CE33+BZ33+CA33+CB33</f>
        <v>0.0189706997990551</v>
      </c>
      <c r="DK33" s="57" t="n">
        <f aca="false">AD33+DD33+DA33</f>
        <v>0.109837010622499</v>
      </c>
      <c r="DL33" s="57" t="n">
        <f aca="false">K33+AJ33+BI33+CH33+DG33</f>
        <v>0.349499987076241</v>
      </c>
      <c r="DM33" s="58" t="n">
        <f aca="false">SUM(DH33:DL33)</f>
        <v>1</v>
      </c>
      <c r="DN33" s="19" t="n">
        <f aca="false">dt*(G33*Warfarin!$H$2+(H33+I33+J33)*c_aspirin)</f>
        <v>48.1842819128877</v>
      </c>
      <c r="DO33" s="19" t="n">
        <f aca="false">dt*(H33*c_lt_minor_stroke+I33*c_lt_major_stroke)</f>
        <v>266.807238559574</v>
      </c>
      <c r="DP33" s="19" t="n">
        <f aca="false">AH33+BG33+CF33+DE33</f>
        <v>260.34914063628</v>
      </c>
      <c r="DQ33" s="19" t="n">
        <f aca="false">DN33+DO33+DP33</f>
        <v>575.340661108741</v>
      </c>
      <c r="DR33" s="57" t="n">
        <f aca="false">dt*(G33*(u_af-dec_per_year_over_70*MAX(B33-ref_age,0))+H33*(u_minor_stroke-dec_per_year_over_70*MAX(B33-ref_age,0))+I33*(u_major_stroke-dec_per_year_over_70*MAX(B33-ref_age,0))+J33*(u_af-dec_per_year_over_70*MAX(B33-ref_age,0)))-AI33-BH33-CG33-DF33</f>
        <v>0.130923474748888</v>
      </c>
      <c r="DS33" s="57" t="n">
        <f aca="false">dt*(G33+H33+I33+J33)</f>
        <v>0.166119330094303</v>
      </c>
      <c r="DT33" s="19" t="n">
        <f aca="false">DQ33*C33</f>
        <v>520.330499235098</v>
      </c>
      <c r="DU33" s="19" t="n">
        <f aca="false">DN33*C33</f>
        <v>43.5772285148449</v>
      </c>
      <c r="DV33" s="19" t="n">
        <f aca="false">DP33*C33</f>
        <v>235.456326103641</v>
      </c>
      <c r="DW33" s="19" t="n">
        <f aca="false">DO33*C33</f>
        <v>241.296944616612</v>
      </c>
      <c r="DX33" s="57" t="n">
        <f aca="false">DR33*C33</f>
        <v>0.118405462333223</v>
      </c>
      <c r="DY33" s="57" t="n">
        <f aca="false">DS33*C33</f>
        <v>0.150236129311625</v>
      </c>
      <c r="DZ33" s="57" t="n">
        <f aca="false">T33+AS33+BR33+CQ33</f>
        <v>0.00473549287877607</v>
      </c>
      <c r="EA33" s="57" t="n">
        <f aca="false">U33+AT33+BS33+CR33</f>
        <v>0.00113509361606064</v>
      </c>
      <c r="EB33" s="57" t="n">
        <f aca="false">V33+AU33+BT33+CS33</f>
        <v>0.00565702753504815</v>
      </c>
      <c r="EC33" s="57" t="n">
        <f aca="false">G33*dt*C33</f>
        <v>0.109250376869539</v>
      </c>
    </row>
    <row r="34" customFormat="false" ht="15" hidden="false" customHeight="false" outlineLevel="0" collapsed="false">
      <c r="A34" s="8" t="n">
        <v>28</v>
      </c>
      <c r="B34" s="54" t="n">
        <f aca="false">start_age+A34*dt</f>
        <v>77</v>
      </c>
      <c r="C34" s="16" t="n">
        <f aca="false">(1+disc_rate)^-(A34*dt)</f>
        <v>0.901026790658002</v>
      </c>
      <c r="D34" s="55" t="n">
        <f aca="false">IF(A34*dt&gt;=wane_start,(1-wane_decay)^(A34*dt-wane_start),1)</f>
        <v>1</v>
      </c>
      <c r="E34" s="25" t="n">
        <f aca="false">MIN(p_nonvasc_death*MIN(EXP(gomp_int+gomp_slope*INT(B34)),1)/qx_ref,0.999)</f>
        <v>0.0686445950805788</v>
      </c>
      <c r="F34" s="55" t="n">
        <f aca="false">rr_stroke_per_decade^((B34-ref_age)/10)</f>
        <v>1.32820123994333</v>
      </c>
      <c r="G34" s="57" t="n">
        <f aca="false">DH33</f>
        <v>0.468025917528596</v>
      </c>
      <c r="H34" s="57" t="n">
        <f aca="false">DI33</f>
        <v>0.0536663849736098</v>
      </c>
      <c r="I34" s="57" t="n">
        <f aca="false">DJ33</f>
        <v>0.0189706997990551</v>
      </c>
      <c r="J34" s="57" t="n">
        <f aca="false">DK33</f>
        <v>0.109837010622499</v>
      </c>
      <c r="K34" s="57" t="n">
        <f aca="false">DL33</f>
        <v>0.349499987076241</v>
      </c>
      <c r="L34" s="57" t="n">
        <f aca="false">1-EXP(LN(1-E34)*dt)</f>
        <v>0.0176214757281867</v>
      </c>
      <c r="M34" s="57" t="n">
        <f aca="false">G34*(1-L34)</f>
        <v>0.459778610182704</v>
      </c>
      <c r="N34" s="57" t="n">
        <f aca="false">IF(Warfarin!$B$2=1,EXP(LN(or_apx_stroke)*D34)*(1-EXP(-r_stroke*F34*dt))/(1-(1-EXP(-r_stroke*F34*dt))+EXP(LN(or_apx_stroke)*D34)*(1-EXP(-r_stroke*F34*dt))),(1-EXP(-r_stroke*F34*dt)))</f>
        <v>0.0053414497236246</v>
      </c>
      <c r="O34" s="57" t="n">
        <f aca="false">IF(Warfarin!$B$2=1,EXP(LN(or_apx_ich)*D34)*(1-EXP(-r_ich*dt))/(1-(1-EXP(-r_ich*dt))+EXP(LN(or_apx_ich)*D34)*(1-EXP(-r_ich*dt))),(1-EXP(-r_ich*dt)))</f>
        <v>0.0020060281549299</v>
      </c>
      <c r="P34" s="57" t="n">
        <f aca="false">IF(Warfarin!$B$2=1,EXP(LN(or_apx_mb)*D34)*(1-EXP(-r_mb*dt))/(1-(1-EXP(-r_mb*dt))+EXP(LN(or_apx_mb)*D34)*(1-EXP(-r_mb*dt))),(1-EXP(-r_mb*dt)))</f>
        <v>0.00835410477572107</v>
      </c>
      <c r="Q34" s="57" t="n">
        <f aca="false">IF(Warfarin!$B$2=1,EXP(LN(or_apx_mi)*D34)*(1-EXP(-r_mi*dt))/(1-(1-EXP(-r_mi*dt))+EXP(LN(or_apx_mi)*D34)*(1-EXP(-r_mi*dt))),(1-EXP(-r_mi*dt)))</f>
        <v>0.00150338686144691</v>
      </c>
      <c r="R34" s="57" t="n">
        <f aca="false">(1-EXP(-r_tia*dt))</f>
        <v>0.0020060281549299</v>
      </c>
      <c r="S34" s="57" t="n">
        <f aca="false">(1-EXP(-r_minor*dt))</f>
        <v>0.0437937690785545</v>
      </c>
      <c r="T34" s="57" t="n">
        <f aca="false">M34*N34</f>
        <v>0.00245588433028891</v>
      </c>
      <c r="U34" s="57" t="n">
        <f aca="false">M34*O34</f>
        <v>0.000922328837061041</v>
      </c>
      <c r="V34" s="57" t="n">
        <f aca="false">M34*P34</f>
        <v>0.00384103868310172</v>
      </c>
      <c r="W34" s="57" t="n">
        <f aca="false">M34*Q34</f>
        <v>0.000691225121722997</v>
      </c>
      <c r="X34" s="57" t="n">
        <f aca="false">M34*R34</f>
        <v>0.000922328837061041</v>
      </c>
      <c r="Y34" s="57" t="n">
        <f aca="false">M34*S34</f>
        <v>0.0201354382816001</v>
      </c>
      <c r="Z34" s="57" t="n">
        <f aca="false">T34*f_stroke_fatal</f>
        <v>0.000582044586278471</v>
      </c>
      <c r="AA34" s="57" t="n">
        <f aca="false">T34*(1-f_stroke_fatal)*f_stroke_major</f>
        <v>0.000623988634755475</v>
      </c>
      <c r="AB34" s="57" t="n">
        <f aca="false">T34*(1-f_stroke_fatal)*(1-f_stroke_major)</f>
        <v>0.00124985110925496</v>
      </c>
      <c r="AC34" s="57" t="n">
        <f aca="false">U34*(1-f_bleed_fatal)</f>
        <v>0.000844853214747914</v>
      </c>
      <c r="AD34" s="57" t="n">
        <f aca="false">V34*(1-f_bleed_fatal)</f>
        <v>0.00351839143372118</v>
      </c>
      <c r="AE34" s="57" t="n">
        <f aca="false">W34*f_mi_fatal</f>
        <v>8.36382397284826E-005</v>
      </c>
      <c r="AF34" s="57" t="n">
        <f aca="false">W34-AE34</f>
        <v>0.000607586881994514</v>
      </c>
      <c r="AG34" s="57" t="n">
        <f aca="false">M34-T34-U34-V34-AE34</f>
        <v>0.452475720092524</v>
      </c>
      <c r="AH34" s="19" t="n">
        <f aca="false">Z34*c_stroke_fatal+AA34*c_stroke_major+AB34*c_stroke_minor+U34*c_ich+V34*c_major_bleed+AE34*c_mi_fatal+AF34*c_mi_nonfatal+X34*c_tia+Y34*c_minor_bleed</f>
        <v>153.362794800675</v>
      </c>
      <c r="AI34" s="57" t="n">
        <f aca="false">dt*(AF34*dec_mi+AD34*dec_major_bleed+Y34*dec_minor_bleed+X34*dec_tia)</f>
        <v>0.000189100235007438</v>
      </c>
      <c r="AJ34" s="57" t="n">
        <f aca="false">G34*L34+Z34+U34-AC34+V34-AD34+AE34</f>
        <v>0.00931311304359311</v>
      </c>
      <c r="AK34" s="57" t="n">
        <f aca="false">1-EXP(LN(1-E34)*hr_death_prior_stroke*dt)</f>
        <v>0.0400659927121596</v>
      </c>
      <c r="AL34" s="57" t="n">
        <f aca="false">H34*(1-AK34)</f>
        <v>0.0515161879843692</v>
      </c>
      <c r="AM34" s="57" t="n">
        <f aca="false">(1-EXP(-r_stroke*F34*rr_stroke_prior*rr_asa_stroke*dt))</f>
        <v>0.0189069296539797</v>
      </c>
      <c r="AN34" s="57" t="n">
        <f aca="false">(1-EXP(-r_ich*rr_asa_ich*dt))</f>
        <v>0.00102357767802375</v>
      </c>
      <c r="AO34" s="57" t="n">
        <f aca="false">(1-EXP(-r_mb*rr_asa_mb*dt))</f>
        <v>0.00951809672747972</v>
      </c>
      <c r="AP34" s="57" t="n">
        <f aca="false">(1-EXP(-r_mi*rr_asa_mi*dt))</f>
        <v>0.00213413516393479</v>
      </c>
      <c r="AQ34" s="57" t="n">
        <f aca="false">(1-EXP(-r_tia*rr_asa_tia*dt))</f>
        <v>0.00312764565589152</v>
      </c>
      <c r="AR34" s="57" t="n">
        <f aca="false">(1-EXP(-r_minor*rr_asa_minor*dt))</f>
        <v>0.0278181950466747</v>
      </c>
      <c r="AS34" s="57" t="n">
        <f aca="false">AL34*AM34</f>
        <v>0.000974012942261661</v>
      </c>
      <c r="AT34" s="57" t="n">
        <f aca="false">AL34*AN34</f>
        <v>5.27308200776754E-005</v>
      </c>
      <c r="AU34" s="57" t="n">
        <f aca="false">AL34*AO34</f>
        <v>0.000490336060266255</v>
      </c>
      <c r="AV34" s="57" t="n">
        <f aca="false">AL34*AP34</f>
        <v>0.000109942508289317</v>
      </c>
      <c r="AW34" s="57" t="n">
        <f aca="false">AL34*AQ34</f>
        <v>0.000161124381557403</v>
      </c>
      <c r="AX34" s="57" t="n">
        <f aca="false">AL34*AR34</f>
        <v>0.00143308736541034</v>
      </c>
      <c r="AY34" s="57" t="n">
        <f aca="false">AS34*f_stroke_fatal_recur</f>
        <v>0.000362420475686141</v>
      </c>
      <c r="AZ34" s="57" t="n">
        <f aca="false">AS34*(1-f_stroke_fatal_recur)*f_stroke_major</f>
        <v>0.000203660291369648</v>
      </c>
      <c r="BA34" s="57" t="n">
        <f aca="false">AS34*(1-f_stroke_fatal_recur)*(1-f_stroke_major)</f>
        <v>0.000407932175205872</v>
      </c>
      <c r="BB34" s="57" t="n">
        <f aca="false">AT34*(1-f_bleed_fatal)</f>
        <v>4.83014311911507E-005</v>
      </c>
      <c r="BC34" s="57" t="n">
        <f aca="false">AU34*(1-f_bleed_fatal)</f>
        <v>0.000449147831203889</v>
      </c>
      <c r="BD34" s="57" t="n">
        <f aca="false">AV34*f_mi_fatal</f>
        <v>1.33030435030074E-005</v>
      </c>
      <c r="BE34" s="57" t="n">
        <f aca="false">AV34-BD34</f>
        <v>9.66394647863099E-005</v>
      </c>
      <c r="BF34" s="57" t="n">
        <f aca="false">AL34-AS34-AT34-AU34-BD34</f>
        <v>0.0499858051182606</v>
      </c>
      <c r="BG34" s="19" t="n">
        <f aca="false">AY34*c_stroke_fatal+AZ34*c_stroke_major+BA34*c_stroke_minor+AT34*c_ich+AU34*c_major_bleed+BD34*c_mi_fatal+BE34*c_mi_nonfatal+AW34*c_tia+AX34*c_minor_bleed</f>
        <v>40.520517558991</v>
      </c>
      <c r="BH34" s="57" t="n">
        <f aca="false">dt*(BE34*dec_mi+BC34*dec_major_bleed+AX34*dec_minor_bleed+AW34*dec_tia)</f>
        <v>2.21568701549484E-005</v>
      </c>
      <c r="BI34" s="57" t="n">
        <f aca="false">H34*AK34+AY34+AT34-BB34+AU34-BC34+BD34</f>
        <v>0.00257153812637864</v>
      </c>
      <c r="BJ34" s="57" t="n">
        <f aca="false">1-EXP(LN(1-E34)*hr_death_prior_stroke*dt)</f>
        <v>0.0400659927121596</v>
      </c>
      <c r="BK34" s="57" t="n">
        <f aca="false">I34*(1-BJ34)</f>
        <v>0.0182106198791616</v>
      </c>
      <c r="BL34" s="57" t="n">
        <f aca="false">(1-EXP(-r_stroke*F34*rr_stroke_prior*rr_asa_stroke*dt))</f>
        <v>0.0189069296539797</v>
      </c>
      <c r="BM34" s="57" t="n">
        <f aca="false">(1-EXP(-r_ich*rr_asa_ich*dt))</f>
        <v>0.00102357767802375</v>
      </c>
      <c r="BN34" s="57" t="n">
        <f aca="false">(1-EXP(-r_mb*rr_asa_mb*dt))</f>
        <v>0.00951809672747972</v>
      </c>
      <c r="BO34" s="57" t="n">
        <f aca="false">(1-EXP(-r_mi*rr_asa_mi*dt))</f>
        <v>0.00213413516393479</v>
      </c>
      <c r="BP34" s="57" t="n">
        <f aca="false">(1-EXP(-r_tia*rr_asa_tia*dt))</f>
        <v>0.00312764565589152</v>
      </c>
      <c r="BQ34" s="57" t="n">
        <f aca="false">(1-EXP(-r_minor*rr_asa_minor*dt))</f>
        <v>0.0278181950466747</v>
      </c>
      <c r="BR34" s="57" t="n">
        <f aca="false">BK34*BL34</f>
        <v>0.000344306909010672</v>
      </c>
      <c r="BS34" s="57" t="n">
        <f aca="false">BK34*BM34</f>
        <v>1.86399840112853E-005</v>
      </c>
      <c r="BT34" s="57" t="n">
        <f aca="false">BK34*BN34</f>
        <v>0.000173330441477225</v>
      </c>
      <c r="BU34" s="57" t="n">
        <f aca="false">BK34*BO34</f>
        <v>3.88639242411688E-005</v>
      </c>
      <c r="BV34" s="57" t="n">
        <f aca="false">BK34*BP34</f>
        <v>5.69563661561516E-005</v>
      </c>
      <c r="BW34" s="57" t="n">
        <f aca="false">BK34*BQ34</f>
        <v>0.00050658657571937</v>
      </c>
      <c r="BX34" s="57" t="n">
        <f aca="false">BR34*f_stroke_fatal_recur</f>
        <v>0.000128113157773781</v>
      </c>
      <c r="BY34" s="57" t="n">
        <f aca="false">BR34*(1-f_stroke_fatal_recur)*f_stroke_major</f>
        <v>7.19925191618848E-005</v>
      </c>
      <c r="BZ34" s="57" t="n">
        <f aca="false">BR34*(1-f_stroke_fatal_recur)*(1-f_stroke_major)</f>
        <v>0.000144201232075006</v>
      </c>
      <c r="CA34" s="57" t="n">
        <f aca="false">BS34*(1-f_bleed_fatal)</f>
        <v>1.70742253543374E-005</v>
      </c>
      <c r="CB34" s="57" t="n">
        <f aca="false">BT34*(1-f_bleed_fatal)</f>
        <v>0.000158770684393138</v>
      </c>
      <c r="CC34" s="57" t="n">
        <f aca="false">BU34*f_mi_fatal</f>
        <v>4.70253483318142E-006</v>
      </c>
      <c r="CD34" s="57" t="n">
        <f aca="false">BU34-CC34</f>
        <v>3.41613894079873E-005</v>
      </c>
      <c r="CE34" s="57" t="n">
        <f aca="false">BK34-BR34-BS34-BT34-CC34</f>
        <v>0.0176696400098293</v>
      </c>
      <c r="CF34" s="19" t="n">
        <f aca="false">BX34*c_stroke_fatal+BY34*c_stroke_major+BZ34*c_stroke_minor+BS34*c_ich+BT34*c_major_bleed+CC34*c_mi_fatal+CD34*c_mi_nonfatal+BV34*c_tia+BW34*c_minor_bleed</f>
        <v>14.3237256374165</v>
      </c>
      <c r="CG34" s="57" t="n">
        <f aca="false">dt*(CD34*dec_mi+CB34*dec_major_bleed+BW34*dec_minor_bleed+BV34*dec_tia)</f>
        <v>7.83230195965064E-006</v>
      </c>
      <c r="CH34" s="57" t="n">
        <f aca="false">I34*BJ34+BX34+BS34-CA34+BT34-CB34+CC34</f>
        <v>0.000909021128241508</v>
      </c>
      <c r="CI34" s="57" t="n">
        <f aca="false">1-EXP(LN(1-E34)*dt)</f>
        <v>0.0176214757281867</v>
      </c>
      <c r="CJ34" s="57" t="n">
        <f aca="false">J34*(1-CI34)</f>
        <v>0.107901520405758</v>
      </c>
      <c r="CK34" s="57" t="n">
        <f aca="false">(1-EXP(-r_stroke*F34*rr_asa_stroke*dt))</f>
        <v>0.00863881052909865</v>
      </c>
      <c r="CL34" s="57" t="n">
        <f aca="false">(1-EXP(-r_ich*rr_asa_ich*dt))</f>
        <v>0.00102357767802375</v>
      </c>
      <c r="CM34" s="57" t="n">
        <f aca="false">(1-EXP(-r_mb*rr_asa_mb*dt))</f>
        <v>0.00951809672747972</v>
      </c>
      <c r="CN34" s="57" t="n">
        <f aca="false">(1-EXP(-r_mi*rr_asa_mi*dt))</f>
        <v>0.00213413516393479</v>
      </c>
      <c r="CO34" s="57" t="n">
        <f aca="false">(1-EXP(-r_tia*rr_asa_tia*dt))</f>
        <v>0.00312764565589152</v>
      </c>
      <c r="CP34" s="57" t="n">
        <f aca="false">(1-EXP(-r_minor*rr_asa_minor*dt))</f>
        <v>0.0278181950466747</v>
      </c>
      <c r="CQ34" s="57" t="n">
        <f aca="false">CJ34*CK34</f>
        <v>0.000932140790587013</v>
      </c>
      <c r="CR34" s="57" t="n">
        <f aca="false">CJ34*CL34</f>
        <v>0.000110445587712157</v>
      </c>
      <c r="CS34" s="57" t="n">
        <f aca="false">CJ34*CM34</f>
        <v>0.00102701710826413</v>
      </c>
      <c r="CT34" s="57" t="n">
        <f aca="false">CJ34*CN34</f>
        <v>0.000230276428939955</v>
      </c>
      <c r="CU34" s="57" t="n">
        <f aca="false">CJ34*CO34</f>
        <v>0.000337477721561159</v>
      </c>
      <c r="CV34" s="57" t="n">
        <f aca="false">CJ34*CP34</f>
        <v>0.00300162554048012</v>
      </c>
      <c r="CW34" s="57" t="n">
        <f aca="false">CQ34*f_stroke_fatal</f>
        <v>0.000220917367369122</v>
      </c>
      <c r="CX34" s="57" t="n">
        <f aca="false">CQ34*(1-f_stroke_fatal)*f_stroke_major</f>
        <v>0.000236837399931558</v>
      </c>
      <c r="CY34" s="57" t="n">
        <f aca="false">CQ34*(1-f_stroke_fatal)*(1-f_stroke_major)</f>
        <v>0.000474386023286333</v>
      </c>
      <c r="CZ34" s="57" t="n">
        <f aca="false">CR34*(1-f_bleed_fatal)</f>
        <v>0.000101168158344336</v>
      </c>
      <c r="DA34" s="57" t="n">
        <f aca="false">CS34*(1-f_bleed_fatal)</f>
        <v>0.000940747671169943</v>
      </c>
      <c r="DB34" s="57" t="n">
        <f aca="false">CT34*f_mi_fatal</f>
        <v>2.78634479017346E-005</v>
      </c>
      <c r="DC34" s="57" t="n">
        <f aca="false">CT34-DB34</f>
        <v>0.000202412981038221</v>
      </c>
      <c r="DD34" s="57" t="n">
        <f aca="false">CJ34-CQ34-CR34-CS34-DB34</f>
        <v>0.105804053471293</v>
      </c>
      <c r="DE34" s="19" t="n">
        <f aca="false">CW34*c_stroke_fatal+CX34*c_stroke_major+CY34*c_stroke_minor+CR34*c_ich+CS34*c_major_bleed+DB34*c_mi_fatal+DC34*c_mi_nonfatal+CU34*c_tia+CV34*c_minor_bleed</f>
        <v>48.9702243550463</v>
      </c>
      <c r="DF34" s="57" t="n">
        <f aca="false">dt*(DC34*dec_mi+DA34*dec_major_bleed+CV34*dec_minor_bleed+CU34*dec_tia)</f>
        <v>4.64079364311133E-005</v>
      </c>
      <c r="DG34" s="57" t="n">
        <f aca="false">J34*CI34+CW34+CR34-CZ34+CS34-DA34+DB34</f>
        <v>0.00227981789847381</v>
      </c>
      <c r="DH34" s="57" t="n">
        <f aca="false">AG34</f>
        <v>0.452475720092524</v>
      </c>
      <c r="DI34" s="57" t="n">
        <f aca="false">AB34+AC34+BF34+BA34+BB34+BC34+CY34+CZ34</f>
        <v>0.0535614450614951</v>
      </c>
      <c r="DJ34" s="57" t="n">
        <f aca="false">AA34+AZ34+BY34+CX34+CE34+BZ34+CA34+CB34</f>
        <v>0.0191261649968703</v>
      </c>
      <c r="DK34" s="57" t="n">
        <f aca="false">AD34+DD34+DA34</f>
        <v>0.110263192576184</v>
      </c>
      <c r="DL34" s="57" t="n">
        <f aca="false">K34+AJ34+BI34+CH34+DG34</f>
        <v>0.364573477272928</v>
      </c>
      <c r="DM34" s="58" t="n">
        <f aca="false">SUM(DH34:DL34)</f>
        <v>1</v>
      </c>
      <c r="DN34" s="19" t="n">
        <f aca="false">dt*(G34*Warfarin!$H$2+(H34+I34+J34)*c_aspirin)</f>
        <v>46.7382101226495</v>
      </c>
      <c r="DO34" s="19" t="n">
        <f aca="false">dt*(H34*c_lt_minor_stroke+I34*c_lt_major_stroke)</f>
        <v>268.93126907025</v>
      </c>
      <c r="DP34" s="19" t="n">
        <f aca="false">AH34+BG34+CF34+DE34</f>
        <v>257.177262352128</v>
      </c>
      <c r="DQ34" s="19" t="n">
        <f aca="false">DN34+DO34+DP34</f>
        <v>572.846741545028</v>
      </c>
      <c r="DR34" s="57" t="n">
        <f aca="false">dt*(G34*(u_af-dec_per_year_over_70*MAX(B34-ref_age,0))+H34*(u_minor_stroke-dec_per_year_over_70*MAX(B34-ref_age,0))+I34*(u_major_stroke-dec_per_year_over_70*MAX(B34-ref_age,0))+J34*(u_af-dec_per_year_over_70*MAX(B34-ref_age,0)))-AI34-BH34-CG34-DF34</f>
        <v>0.128061477721328</v>
      </c>
      <c r="DS34" s="57" t="n">
        <f aca="false">dt*(G34+H34+I34+J34)</f>
        <v>0.16262500323094</v>
      </c>
      <c r="DT34" s="19" t="n">
        <f aca="false">DQ34*C34</f>
        <v>516.150261073211</v>
      </c>
      <c r="DU34" s="19" t="n">
        <f aca="false">DN34*C34</f>
        <v>42.1123794679102</v>
      </c>
      <c r="DV34" s="19" t="n">
        <f aca="false">DP34*C34</f>
        <v>231.723603327349</v>
      </c>
      <c r="DW34" s="19" t="n">
        <f aca="false">DO34*C34</f>
        <v>242.314278277951</v>
      </c>
      <c r="DX34" s="57" t="n">
        <f aca="false">DR34*C34</f>
        <v>0.115386822278169</v>
      </c>
      <c r="DY34" s="57" t="n">
        <f aca="false">DS34*C34</f>
        <v>0.146529484741921</v>
      </c>
      <c r="DZ34" s="57" t="n">
        <f aca="false">T34+AS34+BR34+CQ34</f>
        <v>0.00470634497214825</v>
      </c>
      <c r="EA34" s="57" t="n">
        <f aca="false">U34+AT34+BS34+CR34</f>
        <v>0.00110414522886216</v>
      </c>
      <c r="EB34" s="57" t="n">
        <f aca="false">V34+AU34+BT34+CS34</f>
        <v>0.00553172229310933</v>
      </c>
      <c r="EC34" s="57" t="n">
        <f aca="false">G34*dt*C34</f>
        <v>0.105425972603889</v>
      </c>
    </row>
    <row r="35" customFormat="false" ht="15" hidden="false" customHeight="false" outlineLevel="0" collapsed="false">
      <c r="A35" s="8" t="n">
        <v>29</v>
      </c>
      <c r="B35" s="54" t="n">
        <f aca="false">start_age+A35*dt</f>
        <v>77.25</v>
      </c>
      <c r="C35" s="16" t="n">
        <f aca="false">(1+disc_rate)^-(A35*dt)</f>
        <v>0.897679264841526</v>
      </c>
      <c r="D35" s="55" t="n">
        <f aca="false">IF(A35*dt&gt;=wane_start,(1-wane_decay)^(A35*dt-wane_start),1)</f>
        <v>1</v>
      </c>
      <c r="E35" s="25" t="n">
        <f aca="false">MIN(p_nonvasc_death*MIN(EXP(gomp_int+gomp_slope*INT(B35)),1)/qx_ref,0.999)</f>
        <v>0.0686445950805788</v>
      </c>
      <c r="F35" s="55" t="n">
        <f aca="false">rr_stroke_per_decade^((B35-ref_age)/10)</f>
        <v>1.34173318972694</v>
      </c>
      <c r="G35" s="57" t="n">
        <f aca="false">DH34</f>
        <v>0.452475720092524</v>
      </c>
      <c r="H35" s="57" t="n">
        <f aca="false">DI34</f>
        <v>0.0535614450614951</v>
      </c>
      <c r="I35" s="57" t="n">
        <f aca="false">DJ34</f>
        <v>0.0191261649968703</v>
      </c>
      <c r="J35" s="57" t="n">
        <f aca="false">DK34</f>
        <v>0.110263192576184</v>
      </c>
      <c r="K35" s="57" t="n">
        <f aca="false">DL34</f>
        <v>0.364573477272928</v>
      </c>
      <c r="L35" s="57" t="n">
        <f aca="false">1-EXP(LN(1-E35)*dt)</f>
        <v>0.0176214757281867</v>
      </c>
      <c r="M35" s="57" t="n">
        <f aca="false">G35*(1-L35)</f>
        <v>0.44450243017332</v>
      </c>
      <c r="N35" s="57" t="n">
        <f aca="false">IF(Warfarin!$B$2=1,EXP(LN(or_apx_stroke)*D35)*(1-EXP(-r_stroke*F35*dt))/(1-(1-EXP(-r_stroke*F35*dt))+EXP(LN(or_apx_stroke)*D35)*(1-EXP(-r_stroke*F35*dt))),(1-EXP(-r_stroke*F35*dt)))</f>
        <v>0.0053957222806289</v>
      </c>
      <c r="O35" s="57" t="n">
        <f aca="false">IF(Warfarin!$B$2=1,EXP(LN(or_apx_ich)*D35)*(1-EXP(-r_ich*dt))/(1-(1-EXP(-r_ich*dt))+EXP(LN(or_apx_ich)*D35)*(1-EXP(-r_ich*dt))),(1-EXP(-r_ich*dt)))</f>
        <v>0.0020060281549299</v>
      </c>
      <c r="P35" s="57" t="n">
        <f aca="false">IF(Warfarin!$B$2=1,EXP(LN(or_apx_mb)*D35)*(1-EXP(-r_mb*dt))/(1-(1-EXP(-r_mb*dt))+EXP(LN(or_apx_mb)*D35)*(1-EXP(-r_mb*dt))),(1-EXP(-r_mb*dt)))</f>
        <v>0.00835410477572107</v>
      </c>
      <c r="Q35" s="57" t="n">
        <f aca="false">IF(Warfarin!$B$2=1,EXP(LN(or_apx_mi)*D35)*(1-EXP(-r_mi*dt))/(1-(1-EXP(-r_mi*dt))+EXP(LN(or_apx_mi)*D35)*(1-EXP(-r_mi*dt))),(1-EXP(-r_mi*dt)))</f>
        <v>0.00150338686144691</v>
      </c>
      <c r="R35" s="57" t="n">
        <f aca="false">(1-EXP(-r_tia*dt))</f>
        <v>0.0020060281549299</v>
      </c>
      <c r="S35" s="57" t="n">
        <f aca="false">(1-EXP(-r_minor*dt))</f>
        <v>0.0437937690785545</v>
      </c>
      <c r="T35" s="57" t="n">
        <f aca="false">M35*N35</f>
        <v>0.00239841166627987</v>
      </c>
      <c r="U35" s="57" t="n">
        <f aca="false">M35*O35</f>
        <v>0.000891684389862439</v>
      </c>
      <c r="V35" s="57" t="n">
        <f aca="false">M35*P35</f>
        <v>0.00371341987473055</v>
      </c>
      <c r="W35" s="57" t="n">
        <f aca="false">M35*Q35</f>
        <v>0.000668259113403791</v>
      </c>
      <c r="X35" s="57" t="n">
        <f aca="false">M35*R35</f>
        <v>0.000891684389862439</v>
      </c>
      <c r="Y35" s="57" t="n">
        <f aca="false">M35*S35</f>
        <v>0.0194664367818666</v>
      </c>
      <c r="Z35" s="57" t="n">
        <f aca="false">T35*f_stroke_fatal</f>
        <v>0.00056842356490833</v>
      </c>
      <c r="AA35" s="57" t="n">
        <f aca="false">T35*(1-f_stroke_fatal)*f_stroke_major</f>
        <v>0.000609386037756724</v>
      </c>
      <c r="AB35" s="57" t="n">
        <f aca="false">T35*(1-f_stroke_fatal)*(1-f_stroke_major)</f>
        <v>0.00122060206361482</v>
      </c>
      <c r="AC35" s="57" t="n">
        <f aca="false">U35*(1-f_bleed_fatal)</f>
        <v>0.000816782901113994</v>
      </c>
      <c r="AD35" s="57" t="n">
        <f aca="false">V35*(1-f_bleed_fatal)</f>
        <v>0.00340149260525318</v>
      </c>
      <c r="AE35" s="57" t="n">
        <f aca="false">W35*f_mi_fatal</f>
        <v>8.08593527218587E-005</v>
      </c>
      <c r="AF35" s="57" t="n">
        <f aca="false">W35-AE35</f>
        <v>0.000587399760681932</v>
      </c>
      <c r="AG35" s="57" t="n">
        <f aca="false">M35-T35-U35-V35-AE35</f>
        <v>0.437418054889725</v>
      </c>
      <c r="AH35" s="19" t="n">
        <f aca="false">Z35*c_stroke_fatal+AA35*c_stroke_major+AB35*c_stroke_minor+U35*c_ich+V35*c_major_bleed+AE35*c_mi_fatal+AF35*c_mi_nonfatal+X35*c_tia+Y35*c_minor_bleed</f>
        <v>149.158639160292</v>
      </c>
      <c r="AI35" s="57" t="n">
        <f aca="false">dt*(AF35*dec_mi+AD35*dec_major_bleed+Y35*dec_minor_bleed+X35*dec_tia)</f>
        <v>0.000182817365022158</v>
      </c>
      <c r="AJ35" s="57" t="n">
        <f aca="false">G35*L35+Z35+U35-AC35+V35-AD35+AE35</f>
        <v>0.00900940159506022</v>
      </c>
      <c r="AK35" s="57" t="n">
        <f aca="false">1-EXP(LN(1-E35)*hr_death_prior_stroke*dt)</f>
        <v>0.0400659927121596</v>
      </c>
      <c r="AL35" s="57" t="n">
        <f aca="false">H35*(1-AK35)</f>
        <v>0.0514154525940085</v>
      </c>
      <c r="AM35" s="57" t="n">
        <f aca="false">(1-EXP(-r_stroke*F35*rr_stroke_prior*rr_asa_stroke*dt))</f>
        <v>0.0190977056752998</v>
      </c>
      <c r="AN35" s="57" t="n">
        <f aca="false">(1-EXP(-r_ich*rr_asa_ich*dt))</f>
        <v>0.00102357767802375</v>
      </c>
      <c r="AO35" s="57" t="n">
        <f aca="false">(1-EXP(-r_mb*rr_asa_mb*dt))</f>
        <v>0.00951809672747972</v>
      </c>
      <c r="AP35" s="57" t="n">
        <f aca="false">(1-EXP(-r_mi*rr_asa_mi*dt))</f>
        <v>0.00213413516393479</v>
      </c>
      <c r="AQ35" s="57" t="n">
        <f aca="false">(1-EXP(-r_tia*rr_asa_tia*dt))</f>
        <v>0.00312764565589152</v>
      </c>
      <c r="AR35" s="57" t="n">
        <f aca="false">(1-EXP(-r_minor*rr_asa_minor*dt))</f>
        <v>0.0278181950466747</v>
      </c>
      <c r="AS35" s="57" t="n">
        <f aca="false">AL35*AM35</f>
        <v>0.000981917180802702</v>
      </c>
      <c r="AT35" s="57" t="n">
        <f aca="false">AL35*AN35</f>
        <v>5.26277095807152E-005</v>
      </c>
      <c r="AU35" s="57" t="n">
        <f aca="false">AL35*AO35</f>
        <v>0.000489377251076921</v>
      </c>
      <c r="AV35" s="57" t="n">
        <f aca="false">AL35*AP35</f>
        <v>0.000109727525350496</v>
      </c>
      <c r="AW35" s="57" t="n">
        <f aca="false">AL35*AQ35</f>
        <v>0.000160809316951347</v>
      </c>
      <c r="AX35" s="57" t="n">
        <f aca="false">AL35*AR35</f>
        <v>0.00143028508867318</v>
      </c>
      <c r="AY35" s="57" t="n">
        <f aca="false">AS35*f_stroke_fatal_recur</f>
        <v>0.000365361563804878</v>
      </c>
      <c r="AZ35" s="57" t="n">
        <f aca="false">AS35*(1-f_stroke_fatal_recur)*f_stroke_major</f>
        <v>0.000205313020460276</v>
      </c>
      <c r="BA35" s="57" t="n">
        <f aca="false">AS35*(1-f_stroke_fatal_recur)*(1-f_stroke_major)</f>
        <v>0.000411242596537549</v>
      </c>
      <c r="BB35" s="57" t="n">
        <f aca="false">AT35*(1-f_bleed_fatal)</f>
        <v>4.82069819759351E-005</v>
      </c>
      <c r="BC35" s="57" t="n">
        <f aca="false">AU35*(1-f_bleed_fatal)</f>
        <v>0.000448269561986459</v>
      </c>
      <c r="BD35" s="57" t="n">
        <f aca="false">AV35*f_mi_fatal</f>
        <v>1.327703056741E-005</v>
      </c>
      <c r="BE35" s="57" t="n">
        <f aca="false">AV35-BD35</f>
        <v>9.64504947830858E-005</v>
      </c>
      <c r="BF35" s="57" t="n">
        <f aca="false">AL35-AS35-AT35-AU35-BD35</f>
        <v>0.0498782534219807</v>
      </c>
      <c r="BG35" s="19" t="n">
        <f aca="false">AY35*c_stroke_fatal+AZ35*c_stroke_major+BA35*c_stroke_minor+AT35*c_ich+AU35*c_major_bleed+BD35*c_mi_fatal+BE35*c_mi_nonfatal+AW35*c_tia+AX35*c_minor_bleed</f>
        <v>40.779486561377</v>
      </c>
      <c r="BH35" s="57" t="n">
        <f aca="false">dt*(BE35*dec_mi+BC35*dec_major_bleed+AX35*dec_minor_bleed+AW35*dec_tia)</f>
        <v>2.2113544337345E-005</v>
      </c>
      <c r="BI35" s="57" t="n">
        <f aca="false">H35*AK35+AY35+AT35-BB35+AU35-BC35+BD35</f>
        <v>0.00257015947855413</v>
      </c>
      <c r="BJ35" s="57" t="n">
        <f aca="false">1-EXP(LN(1-E35)*hr_death_prior_stroke*dt)</f>
        <v>0.0400659927121596</v>
      </c>
      <c r="BK35" s="57" t="n">
        <f aca="false">I35*(1-BJ35)</f>
        <v>0.0183598562094941</v>
      </c>
      <c r="BL35" s="57" t="n">
        <f aca="false">(1-EXP(-r_stroke*F35*rr_stroke_prior*rr_asa_stroke*dt))</f>
        <v>0.0190977056752998</v>
      </c>
      <c r="BM35" s="57" t="n">
        <f aca="false">(1-EXP(-r_ich*rr_asa_ich*dt))</f>
        <v>0.00102357767802375</v>
      </c>
      <c r="BN35" s="57" t="n">
        <f aca="false">(1-EXP(-r_mb*rr_asa_mb*dt))</f>
        <v>0.00951809672747972</v>
      </c>
      <c r="BO35" s="57" t="n">
        <f aca="false">(1-EXP(-r_mi*rr_asa_mi*dt))</f>
        <v>0.00213413516393479</v>
      </c>
      <c r="BP35" s="57" t="n">
        <f aca="false">(1-EXP(-r_tia*rr_asa_tia*dt))</f>
        <v>0.00312764565589152</v>
      </c>
      <c r="BQ35" s="57" t="n">
        <f aca="false">(1-EXP(-r_minor*rr_asa_minor*dt))</f>
        <v>0.0278181950466747</v>
      </c>
      <c r="BR35" s="57" t="n">
        <f aca="false">BK35*BL35</f>
        <v>0.000350631130129744</v>
      </c>
      <c r="BS35" s="57" t="n">
        <f aca="false">BK35*BM35</f>
        <v>1.87927389877639E-005</v>
      </c>
      <c r="BT35" s="57" t="n">
        <f aca="false">BK35*BN35</f>
        <v>0.000174750887304584</v>
      </c>
      <c r="BU35" s="57" t="n">
        <f aca="false">BK35*BO35</f>
        <v>3.9182414741468E-005</v>
      </c>
      <c r="BV35" s="57" t="n">
        <f aca="false">BK35*BP35</f>
        <v>5.74231245164173E-005</v>
      </c>
      <c r="BW35" s="57" t="n">
        <f aca="false">BK35*BQ35</f>
        <v>0.00051073806106461</v>
      </c>
      <c r="BX35" s="57" t="n">
        <f aca="false">BR35*f_stroke_fatal_recur</f>
        <v>0.000130466337209976</v>
      </c>
      <c r="BY35" s="57" t="n">
        <f aca="false">BR35*(1-f_stroke_fatal_recur)*f_stroke_major</f>
        <v>7.33148760422826E-005</v>
      </c>
      <c r="BZ35" s="57" t="n">
        <f aca="false">BR35*(1-f_stroke_fatal_recur)*(1-f_stroke_major)</f>
        <v>0.000146849916877485</v>
      </c>
      <c r="CA35" s="57" t="n">
        <f aca="false">BS35*(1-f_bleed_fatal)</f>
        <v>1.72141489127917E-005</v>
      </c>
      <c r="CB35" s="57" t="n">
        <f aca="false">BT35*(1-f_bleed_fatal)</f>
        <v>0.000160071812770999</v>
      </c>
      <c r="CC35" s="57" t="n">
        <f aca="false">BU35*f_mi_fatal</f>
        <v>4.74107218371762E-006</v>
      </c>
      <c r="CD35" s="57" t="n">
        <f aca="false">BU35-CC35</f>
        <v>3.44413425577503E-005</v>
      </c>
      <c r="CE35" s="57" t="n">
        <f aca="false">BK35-BR35-BS35-BT35-CC35</f>
        <v>0.0178109403808883</v>
      </c>
      <c r="CF35" s="19" t="n">
        <f aca="false">BX35*c_stroke_fatal+BY35*c_stroke_major+BZ35*c_stroke_minor+BS35*c_ich+BT35*c_major_bleed+CC35*c_mi_fatal+CD35*c_mi_nonfatal+BV35*c_tia+BW35*c_minor_bleed</f>
        <v>14.5618772526594</v>
      </c>
      <c r="CG35" s="57" t="n">
        <f aca="false">dt*(CD35*dec_mi+CB35*dec_major_bleed+BW35*dec_minor_bleed+BV35*dec_tia)</f>
        <v>7.89648780342041E-006</v>
      </c>
      <c r="CH35" s="57" t="n">
        <f aca="false">I35*BJ35+BX35+BS35-CA35+BT35-CB35+CC35</f>
        <v>0.000917773861378419</v>
      </c>
      <c r="CI35" s="57" t="n">
        <f aca="false">1-EXP(LN(1-E35)*dt)</f>
        <v>0.0176214757281867</v>
      </c>
      <c r="CJ35" s="57" t="n">
        <f aca="false">J35*(1-CI35)</f>
        <v>0.10832019240449</v>
      </c>
      <c r="CK35" s="57" t="n">
        <f aca="false">(1-EXP(-r_stroke*F35*rr_asa_stroke*dt))</f>
        <v>0.0087264391232883</v>
      </c>
      <c r="CL35" s="57" t="n">
        <f aca="false">(1-EXP(-r_ich*rr_asa_ich*dt))</f>
        <v>0.00102357767802375</v>
      </c>
      <c r="CM35" s="57" t="n">
        <f aca="false">(1-EXP(-r_mb*rr_asa_mb*dt))</f>
        <v>0.00951809672747972</v>
      </c>
      <c r="CN35" s="57" t="n">
        <f aca="false">(1-EXP(-r_mi*rr_asa_mi*dt))</f>
        <v>0.00213413516393479</v>
      </c>
      <c r="CO35" s="57" t="n">
        <f aca="false">(1-EXP(-r_tia*rr_asa_tia*dt))</f>
        <v>0.00312764565589152</v>
      </c>
      <c r="CP35" s="57" t="n">
        <f aca="false">(1-EXP(-r_minor*rr_asa_minor*dt))</f>
        <v>0.0278181950466747</v>
      </c>
      <c r="CQ35" s="57" t="n">
        <f aca="false">CJ35*CK35</f>
        <v>0.00094524956484066</v>
      </c>
      <c r="CR35" s="57" t="n">
        <f aca="false">CJ35*CL35</f>
        <v>0.000110874131024474</v>
      </c>
      <c r="CS35" s="57" t="n">
        <f aca="false">CJ35*CM35</f>
        <v>0.00103100206884515</v>
      </c>
      <c r="CT35" s="57" t="n">
        <f aca="false">CJ35*CN35</f>
        <v>0.000231169931574605</v>
      </c>
      <c r="CU35" s="57" t="n">
        <f aca="false">CJ35*CO35</f>
        <v>0.000338787179219238</v>
      </c>
      <c r="CV35" s="57" t="n">
        <f aca="false">CJ35*CP35</f>
        <v>0.00301327223980144</v>
      </c>
      <c r="CW35" s="57" t="n">
        <f aca="false">CQ35*f_stroke_fatal</f>
        <v>0.000224024146867236</v>
      </c>
      <c r="CX35" s="57" t="n">
        <f aca="false">CQ35*(1-f_stroke_fatal)*f_stroke_major</f>
        <v>0.00024016806418515</v>
      </c>
      <c r="CY35" s="57" t="n">
        <f aca="false">CQ35*(1-f_stroke_fatal)*(1-f_stroke_major)</f>
        <v>0.000481057353788274</v>
      </c>
      <c r="CZ35" s="57" t="n">
        <f aca="false">CR35*(1-f_bleed_fatal)</f>
        <v>0.000101560704018418</v>
      </c>
      <c r="DA35" s="57" t="n">
        <f aca="false">CS35*(1-f_bleed_fatal)</f>
        <v>0.00094439789506216</v>
      </c>
      <c r="DB35" s="57" t="n">
        <f aca="false">CT35*f_mi_fatal</f>
        <v>2.79715617205272E-005</v>
      </c>
      <c r="DC35" s="57" t="n">
        <f aca="false">CT35-DB35</f>
        <v>0.000203198369854078</v>
      </c>
      <c r="DD35" s="57" t="n">
        <f aca="false">CJ35-CQ35-CR35-CS35-DB35</f>
        <v>0.106205095078059</v>
      </c>
      <c r="DE35" s="19" t="n">
        <f aca="false">CW35*c_stroke_fatal+CX35*c_stroke_major+CY35*c_stroke_minor+CR35*c_ich+CS35*c_major_bleed+DB35*c_mi_fatal+DC35*c_mi_nonfatal+CU35*c_tia+CV35*c_minor_bleed</f>
        <v>49.5109401480015</v>
      </c>
      <c r="DF35" s="57" t="n">
        <f aca="false">dt*(DC35*dec_mi+DA35*dec_major_bleed+CV35*dec_minor_bleed+CU35*dec_tia)</f>
        <v>4.65880052886197E-005</v>
      </c>
      <c r="DG35" s="57" t="n">
        <f aca="false">J35*CI35+CW35+CR35-CZ35+CS35-DA35+DB35</f>
        <v>0.00229091348107042</v>
      </c>
      <c r="DH35" s="57" t="n">
        <f aca="false">AG35</f>
        <v>0.437418054889725</v>
      </c>
      <c r="DI35" s="57" t="n">
        <f aca="false">AB35+AC35+BF35+BA35+BB35+BC35+CY35+CZ35</f>
        <v>0.0534059755850162</v>
      </c>
      <c r="DJ35" s="57" t="n">
        <f aca="false">AA35+AZ35+BY35+CX35+CE35+BZ35+CA35+CB35</f>
        <v>0.019263258257894</v>
      </c>
      <c r="DK35" s="57" t="n">
        <f aca="false">AD35+DD35+DA35</f>
        <v>0.110550985578375</v>
      </c>
      <c r="DL35" s="57" t="n">
        <f aca="false">K35+AJ35+BI35+CH35+DG35</f>
        <v>0.379361725688991</v>
      </c>
      <c r="DM35" s="58" t="n">
        <f aca="false">SUM(DH35:DL35)</f>
        <v>1</v>
      </c>
      <c r="DN35" s="19" t="n">
        <f aca="false">dt*(G35*Warfarin!$H$2+(H35+I35+J35)*c_aspirin)</f>
        <v>45.2491542343473</v>
      </c>
      <c r="DO35" s="19" t="n">
        <f aca="false">dt*(H35*c_lt_minor_stroke+I35*c_lt_major_stroke)</f>
        <v>269.662554898189</v>
      </c>
      <c r="DP35" s="19" t="n">
        <f aca="false">AH35+BG35+CF35+DE35</f>
        <v>254.01094312233</v>
      </c>
      <c r="DQ35" s="19" t="n">
        <f aca="false">DN35+DO35+DP35</f>
        <v>568.922652254866</v>
      </c>
      <c r="DR35" s="57" t="n">
        <f aca="false">dt*(G35*(u_af-dec_per_year_over_70*MAX(B35-ref_age,0))+H35*(u_minor_stroke-dec_per_year_over_70*MAX(B35-ref_age,0))+I35*(u_major_stroke-dec_per_year_over_70*MAX(B35-ref_age,0))+J35*(u_af-dec_per_year_over_70*MAX(B35-ref_age,0)))-AI35-BH35-CG35-DF35</f>
        <v>0.124994329915473</v>
      </c>
      <c r="DS35" s="57" t="n">
        <f aca="false">dt*(G35+H35+I35+J35)</f>
        <v>0.158856630681768</v>
      </c>
      <c r="DT35" s="19" t="n">
        <f aca="false">DQ35*C35</f>
        <v>510.710068227839</v>
      </c>
      <c r="DU35" s="19" t="n">
        <f aca="false">DN35*C35</f>
        <v>40.6192275077897</v>
      </c>
      <c r="DV35" s="19" t="n">
        <f aca="false">DP35*C35</f>
        <v>228.020356683756</v>
      </c>
      <c r="DW35" s="19" t="n">
        <f aca="false">DO35*C35</f>
        <v>242.070484036294</v>
      </c>
      <c r="DX35" s="57" t="n">
        <f aca="false">DR35*C35</f>
        <v>0.112204818187881</v>
      </c>
      <c r="DY35" s="57" t="n">
        <f aca="false">DS35*C35</f>
        <v>0.142602303445612</v>
      </c>
      <c r="DZ35" s="57" t="n">
        <f aca="false">T35+AS35+BR35+CQ35</f>
        <v>0.00467620954205298</v>
      </c>
      <c r="EA35" s="57" t="n">
        <f aca="false">U35+AT35+BS35+CR35</f>
        <v>0.00107397896945539</v>
      </c>
      <c r="EB35" s="57" t="n">
        <f aca="false">V35+AU35+BT35+CS35</f>
        <v>0.00540855008195721</v>
      </c>
      <c r="EC35" s="57" t="n">
        <f aca="false">G35*dt*C35</f>
        <v>0.101544517942824</v>
      </c>
    </row>
    <row r="36" customFormat="false" ht="15" hidden="false" customHeight="false" outlineLevel="0" collapsed="false">
      <c r="A36" s="8" t="n">
        <v>30</v>
      </c>
      <c r="B36" s="54" t="n">
        <f aca="false">start_age+A36*dt</f>
        <v>77.5</v>
      </c>
      <c r="C36" s="16" t="n">
        <f aca="false">(1+disc_rate)^-(A36*dt)</f>
        <v>0.894344175868447</v>
      </c>
      <c r="D36" s="55" t="n">
        <f aca="false">IF(A36*dt&gt;=wane_start,(1-wane_decay)^(A36*dt-wane_start),1)</f>
        <v>1</v>
      </c>
      <c r="E36" s="25" t="n">
        <f aca="false">MIN(p_nonvasc_death*MIN(EXP(gomp_int+gomp_slope*INT(B36)),1)/qx_ref,0.999)</f>
        <v>0.0686445950805788</v>
      </c>
      <c r="F36" s="55" t="n">
        <f aca="false">rr_stroke_per_decade^((B36-ref_age)/10)</f>
        <v>1.35540300541477</v>
      </c>
      <c r="G36" s="57" t="n">
        <f aca="false">DH35</f>
        <v>0.437418054889725</v>
      </c>
      <c r="H36" s="57" t="n">
        <f aca="false">DI35</f>
        <v>0.0534059755850162</v>
      </c>
      <c r="I36" s="57" t="n">
        <f aca="false">DJ35</f>
        <v>0.019263258257894</v>
      </c>
      <c r="J36" s="57" t="n">
        <f aca="false">DK35</f>
        <v>0.110550985578375</v>
      </c>
      <c r="K36" s="57" t="n">
        <f aca="false">DL35</f>
        <v>0.379361725688991</v>
      </c>
      <c r="L36" s="57" t="n">
        <f aca="false">1-EXP(LN(1-E36)*dt)</f>
        <v>0.0176214757281867</v>
      </c>
      <c r="M36" s="57" t="n">
        <f aca="false">G36*(1-L36)</f>
        <v>0.429710103252415</v>
      </c>
      <c r="N36" s="57" t="n">
        <f aca="false">IF(Warfarin!$B$2=1,EXP(LN(or_apx_stroke)*D36)*(1-EXP(-r_stroke*F36*dt))/(1-(1-EXP(-r_stroke*F36*dt))+EXP(LN(or_apx_stroke)*D36)*(1-EXP(-r_stroke*F36*dt))),(1-EXP(-r_stroke*F36*dt)))</f>
        <v>0.00545054476933182</v>
      </c>
      <c r="O36" s="57" t="n">
        <f aca="false">IF(Warfarin!$B$2=1,EXP(LN(or_apx_ich)*D36)*(1-EXP(-r_ich*dt))/(1-(1-EXP(-r_ich*dt))+EXP(LN(or_apx_ich)*D36)*(1-EXP(-r_ich*dt))),(1-EXP(-r_ich*dt)))</f>
        <v>0.0020060281549299</v>
      </c>
      <c r="P36" s="57" t="n">
        <f aca="false">IF(Warfarin!$B$2=1,EXP(LN(or_apx_mb)*D36)*(1-EXP(-r_mb*dt))/(1-(1-EXP(-r_mb*dt))+EXP(LN(or_apx_mb)*D36)*(1-EXP(-r_mb*dt))),(1-EXP(-r_mb*dt)))</f>
        <v>0.00835410477572107</v>
      </c>
      <c r="Q36" s="57" t="n">
        <f aca="false">IF(Warfarin!$B$2=1,EXP(LN(or_apx_mi)*D36)*(1-EXP(-r_mi*dt))/(1-(1-EXP(-r_mi*dt))+EXP(LN(or_apx_mi)*D36)*(1-EXP(-r_mi*dt))),(1-EXP(-r_mi*dt)))</f>
        <v>0.00150338686144691</v>
      </c>
      <c r="R36" s="57" t="n">
        <f aca="false">(1-EXP(-r_tia*dt))</f>
        <v>0.0020060281549299</v>
      </c>
      <c r="S36" s="57" t="n">
        <f aca="false">(1-EXP(-r_minor*dt))</f>
        <v>0.0437937690785545</v>
      </c>
      <c r="T36" s="57" t="n">
        <f aca="false">M36*N36</f>
        <v>0.00234215415561149</v>
      </c>
      <c r="U36" s="57" t="n">
        <f aca="false">M36*O36</f>
        <v>0.000862010565582177</v>
      </c>
      <c r="V36" s="57" t="n">
        <f aca="false">M36*P36</f>
        <v>0.00358984322575659</v>
      </c>
      <c r="W36" s="57" t="n">
        <f aca="false">M36*Q36</f>
        <v>0.000646020523460675</v>
      </c>
      <c r="X36" s="57" t="n">
        <f aca="false">M36*R36</f>
        <v>0.000862010565582177</v>
      </c>
      <c r="Y36" s="57" t="n">
        <f aca="false">M36*S36</f>
        <v>0.0188186250325581</v>
      </c>
      <c r="Z36" s="57" t="n">
        <f aca="false">T36*f_stroke_fatal</f>
        <v>0.000555090534879923</v>
      </c>
      <c r="AA36" s="57" t="n">
        <f aca="false">T36*(1-f_stroke_fatal)*f_stroke_major</f>
        <v>0.000595092185703611</v>
      </c>
      <c r="AB36" s="57" t="n">
        <f aca="false">T36*(1-f_stroke_fatal)*(1-f_stroke_major)</f>
        <v>0.00119197143502795</v>
      </c>
      <c r="AC36" s="57" t="n">
        <f aca="false">U36*(1-f_bleed_fatal)</f>
        <v>0.000789601678073274</v>
      </c>
      <c r="AD36" s="57" t="n">
        <f aca="false">V36*(1-f_bleed_fatal)</f>
        <v>0.00328829639479304</v>
      </c>
      <c r="AE36" s="57" t="n">
        <f aca="false">W36*f_mi_fatal</f>
        <v>7.81684833387417E-005</v>
      </c>
      <c r="AF36" s="57" t="n">
        <f aca="false">W36-AE36</f>
        <v>0.000567852040121934</v>
      </c>
      <c r="AG36" s="57" t="n">
        <f aca="false">M36-T36-U36-V36-AE36</f>
        <v>0.422837926822126</v>
      </c>
      <c r="AH36" s="19" t="n">
        <f aca="false">Z36*c_stroke_fatal+AA36*c_stroke_major+AB36*c_stroke_minor+U36*c_ich+V36*c_major_bleed+AE36*c_mi_fatal+AF36*c_mi_nonfatal+X36*c_tia+Y36*c_minor_bleed</f>
        <v>145.06528328445</v>
      </c>
      <c r="AI36" s="57" t="n">
        <f aca="false">dt*(AF36*dec_mi+AD36*dec_major_bleed+Y36*dec_minor_bleed+X36*dec_tia)</f>
        <v>0.000176733496753605</v>
      </c>
      <c r="AJ36" s="57" t="n">
        <f aca="false">G36*L36+Z36+U36-AC36+V36-AD36+AE36</f>
        <v>0.00871516637400106</v>
      </c>
      <c r="AK36" s="57" t="n">
        <f aca="false">1-EXP(LN(1-E36)*hr_death_prior_stroke*dt)</f>
        <v>0.0400659927121596</v>
      </c>
      <c r="AL36" s="57" t="n">
        <f aca="false">H36*(1-AK36)</f>
        <v>0.0512662121564411</v>
      </c>
      <c r="AM36" s="57" t="n">
        <f aca="false">(1-EXP(-r_stroke*F36*rr_stroke_prior*rr_asa_stroke*dt))</f>
        <v>0.0192903876908553</v>
      </c>
      <c r="AN36" s="57" t="n">
        <f aca="false">(1-EXP(-r_ich*rr_asa_ich*dt))</f>
        <v>0.00102357767802375</v>
      </c>
      <c r="AO36" s="57" t="n">
        <f aca="false">(1-EXP(-r_mb*rr_asa_mb*dt))</f>
        <v>0.00951809672747972</v>
      </c>
      <c r="AP36" s="57" t="n">
        <f aca="false">(1-EXP(-r_mi*rr_asa_mi*dt))</f>
        <v>0.00213413516393479</v>
      </c>
      <c r="AQ36" s="57" t="n">
        <f aca="false">(1-EXP(-r_tia*rr_asa_tia*dt))</f>
        <v>0.00312764565589152</v>
      </c>
      <c r="AR36" s="57" t="n">
        <f aca="false">(1-EXP(-r_minor*rr_asa_minor*dt))</f>
        <v>0.0278181950466747</v>
      </c>
      <c r="AS36" s="57" t="n">
        <f aca="false">AL36*AM36</f>
        <v>0.00098894510793939</v>
      </c>
      <c r="AT36" s="57" t="n">
        <f aca="false">AL36*AN36</f>
        <v>5.24749504001628E-005</v>
      </c>
      <c r="AU36" s="57" t="n">
        <f aca="false">AL36*AO36</f>
        <v>0.000487956766156503</v>
      </c>
      <c r="AV36" s="57" t="n">
        <f aca="false">AL36*AP36</f>
        <v>0.000109409026084802</v>
      </c>
      <c r="AW36" s="57" t="n">
        <f aca="false">AL36*AQ36</f>
        <v>0.000160342545745106</v>
      </c>
      <c r="AX36" s="57" t="n">
        <f aca="false">AL36*AR36</f>
        <v>0.00142613348907209</v>
      </c>
      <c r="AY36" s="57" t="n">
        <f aca="false">AS36*f_stroke_fatal_recur</f>
        <v>0.000367976585213168</v>
      </c>
      <c r="AZ36" s="57" t="n">
        <f aca="false">AS36*(1-f_stroke_fatal_recur)*f_stroke_major</f>
        <v>0.000206782518067832</v>
      </c>
      <c r="BA36" s="57" t="n">
        <f aca="false">AS36*(1-f_stroke_fatal_recur)*(1-f_stroke_major)</f>
        <v>0.00041418600465839</v>
      </c>
      <c r="BB36" s="57" t="n">
        <f aca="false">AT36*(1-f_bleed_fatal)</f>
        <v>4.80670545665491E-005</v>
      </c>
      <c r="BC36" s="57" t="n">
        <f aca="false">AU36*(1-f_bleed_fatal)</f>
        <v>0.000446968397799357</v>
      </c>
      <c r="BD36" s="57" t="n">
        <f aca="false">AV36*f_mi_fatal</f>
        <v>1.32384921562611E-005</v>
      </c>
      <c r="BE36" s="57" t="n">
        <f aca="false">AV36-BD36</f>
        <v>9.61705339285412E-005</v>
      </c>
      <c r="BF36" s="57" t="n">
        <f aca="false">AL36-AS36-AT36-AU36-BD36</f>
        <v>0.0497235968397888</v>
      </c>
      <c r="BG36" s="19" t="n">
        <f aca="false">AY36*c_stroke_fatal+AZ36*c_stroke_major+BA36*c_stroke_minor+AT36*c_ich+AU36*c_major_bleed+BD36*c_mi_fatal+BE36*c_mi_nonfatal+AW36*c_tia+AX36*c_minor_bleed</f>
        <v>41.0017092171623</v>
      </c>
      <c r="BH36" s="57" t="n">
        <f aca="false">dt*(BE36*dec_mi+BC36*dec_major_bleed+AX36*dec_minor_bleed+AW36*dec_tia)</f>
        <v>2.20493567270729E-005</v>
      </c>
      <c r="BI36" s="57" t="n">
        <f aca="false">H36*AK36+AY36+AT36-BB36+AU36-BC36+BD36</f>
        <v>0.00256637477013522</v>
      </c>
      <c r="BJ36" s="57" t="n">
        <f aca="false">1-EXP(LN(1-E36)*hr_death_prior_stroke*dt)</f>
        <v>0.0400659927121596</v>
      </c>
      <c r="BK36" s="57" t="n">
        <f aca="false">I36*(1-BJ36)</f>
        <v>0.0184914566929208</v>
      </c>
      <c r="BL36" s="57" t="n">
        <f aca="false">(1-EXP(-r_stroke*F36*rr_stroke_prior*rr_asa_stroke*dt))</f>
        <v>0.0192903876908553</v>
      </c>
      <c r="BM36" s="57" t="n">
        <f aca="false">(1-EXP(-r_ich*rr_asa_ich*dt))</f>
        <v>0.00102357767802375</v>
      </c>
      <c r="BN36" s="57" t="n">
        <f aca="false">(1-EXP(-r_mb*rr_asa_mb*dt))</f>
        <v>0.00951809672747972</v>
      </c>
      <c r="BO36" s="57" t="n">
        <f aca="false">(1-EXP(-r_mi*rr_asa_mi*dt))</f>
        <v>0.00213413516393479</v>
      </c>
      <c r="BP36" s="57" t="n">
        <f aca="false">(1-EXP(-r_tia*rr_asa_tia*dt))</f>
        <v>0.00312764565589152</v>
      </c>
      <c r="BQ36" s="57" t="n">
        <f aca="false">(1-EXP(-r_minor*rr_asa_minor*dt))</f>
        <v>0.0278181950466747</v>
      </c>
      <c r="BR36" s="57" t="n">
        <f aca="false">BK36*BL36</f>
        <v>0.000356707368575104</v>
      </c>
      <c r="BS36" s="57" t="n">
        <f aca="false">BK36*BM36</f>
        <v>1.89274423050165E-005</v>
      </c>
      <c r="BT36" s="57" t="n">
        <f aca="false">BK36*BN36</f>
        <v>0.000176003473435222</v>
      </c>
      <c r="BU36" s="57" t="n">
        <f aca="false">BK36*BO36</f>
        <v>3.94632679607396E-005</v>
      </c>
      <c r="BV36" s="57" t="n">
        <f aca="false">BK36*BP36</f>
        <v>5.78347241967199E-005</v>
      </c>
      <c r="BW36" s="57" t="n">
        <f aca="false">BK36*BQ36</f>
        <v>0.000514398948980809</v>
      </c>
      <c r="BX36" s="57" t="n">
        <f aca="false">BR36*f_stroke_fatal_recur</f>
        <v>0.00013272724477311</v>
      </c>
      <c r="BY36" s="57" t="n">
        <f aca="false">BR36*(1-f_stroke_fatal_recur)*f_stroke_major</f>
        <v>7.45853812260639E-005</v>
      </c>
      <c r="BZ36" s="57" t="n">
        <f aca="false">BR36*(1-f_stroke_fatal_recur)*(1-f_stroke_major)</f>
        <v>0.00014939474257593</v>
      </c>
      <c r="CA36" s="57" t="n">
        <f aca="false">BS36*(1-f_bleed_fatal)</f>
        <v>1.73375371513951E-005</v>
      </c>
      <c r="CB36" s="57" t="n">
        <f aca="false">BT36*(1-f_bleed_fatal)</f>
        <v>0.000161219181666664</v>
      </c>
      <c r="CC36" s="57" t="n">
        <f aca="false">BU36*f_mi_fatal</f>
        <v>4.7750554232495E-006</v>
      </c>
      <c r="CD36" s="57" t="n">
        <f aca="false">BU36-CC36</f>
        <v>3.46882125374901E-005</v>
      </c>
      <c r="CE36" s="57" t="n">
        <f aca="false">BK36-BR36-BS36-BT36-CC36</f>
        <v>0.0179350433531822</v>
      </c>
      <c r="CF36" s="19" t="n">
        <f aca="false">BX36*c_stroke_fatal+BY36*c_stroke_major+BZ36*c_stroke_minor+BS36*c_ich+BT36*c_major_bleed+CC36*c_mi_fatal+CD36*c_mi_nonfatal+BV36*c_tia+BW36*c_minor_bleed</f>
        <v>14.7891037475377</v>
      </c>
      <c r="CG36" s="57" t="n">
        <f aca="false">dt*(CD36*dec_mi+CB36*dec_major_bleed+BW36*dec_minor_bleed+BV36*dec_tia)</f>
        <v>7.953088552383E-006</v>
      </c>
      <c r="CH36" s="57" t="n">
        <f aca="false">I36*BJ36+BX36+BS36-CA36+BT36-CB36+CC36</f>
        <v>0.000925678062091771</v>
      </c>
      <c r="CI36" s="57" t="n">
        <f aca="false">1-EXP(LN(1-E36)*dt)</f>
        <v>0.0176214757281867</v>
      </c>
      <c r="CJ36" s="57" t="n">
        <f aca="false">J36*(1-CI36)</f>
        <v>0.108602914069278</v>
      </c>
      <c r="CK36" s="57" t="n">
        <f aca="false">(1-EXP(-r_stroke*F36*rr_asa_stroke*dt))</f>
        <v>0.00881495262868093</v>
      </c>
      <c r="CL36" s="57" t="n">
        <f aca="false">(1-EXP(-r_ich*rr_asa_ich*dt))</f>
        <v>0.00102357767802375</v>
      </c>
      <c r="CM36" s="57" t="n">
        <f aca="false">(1-EXP(-r_mb*rr_asa_mb*dt))</f>
        <v>0.00951809672747972</v>
      </c>
      <c r="CN36" s="57" t="n">
        <f aca="false">(1-EXP(-r_mi*rr_asa_mi*dt))</f>
        <v>0.00213413516393479</v>
      </c>
      <c r="CO36" s="57" t="n">
        <f aca="false">(1-EXP(-r_tia*rr_asa_tia*dt))</f>
        <v>0.00312764565589152</v>
      </c>
      <c r="CP36" s="57" t="n">
        <f aca="false">(1-EXP(-r_minor*rr_asa_minor*dt))</f>
        <v>0.0278181950466747</v>
      </c>
      <c r="CQ36" s="57" t="n">
        <f aca="false">CJ36*CK36</f>
        <v>0.000957329542857394</v>
      </c>
      <c r="CR36" s="57" t="n">
        <f aca="false">CJ36*CL36</f>
        <v>0.000111163518609644</v>
      </c>
      <c r="CS36" s="57" t="n">
        <f aca="false">CJ36*CM36</f>
        <v>0.00103369304099756</v>
      </c>
      <c r="CT36" s="57" t="n">
        <f aca="false">CJ36*CN36</f>
        <v>0.000231773297821035</v>
      </c>
      <c r="CU36" s="57" t="n">
        <f aca="false">CJ36*CO36</f>
        <v>0.000339671432405938</v>
      </c>
      <c r="CV36" s="57" t="n">
        <f aca="false">CJ36*CP36</f>
        <v>0.00302113704621644</v>
      </c>
      <c r="CW36" s="57" t="n">
        <f aca="false">CQ36*f_stroke_fatal</f>
        <v>0.000226887101657202</v>
      </c>
      <c r="CX36" s="57" t="n">
        <f aca="false">CQ36*(1-f_stroke_fatal)*f_stroke_major</f>
        <v>0.000243237332919664</v>
      </c>
      <c r="CY36" s="57" t="n">
        <f aca="false">CQ36*(1-f_stroke_fatal)*(1-f_stroke_major)</f>
        <v>0.000487205108280528</v>
      </c>
      <c r="CZ36" s="57" t="n">
        <f aca="false">CR36*(1-f_bleed_fatal)</f>
        <v>0.000101825783046434</v>
      </c>
      <c r="DA36" s="57" t="n">
        <f aca="false">CS36*(1-f_bleed_fatal)</f>
        <v>0.000946862825553765</v>
      </c>
      <c r="DB36" s="57" t="n">
        <f aca="false">CT36*f_mi_fatal</f>
        <v>2.80445690363453E-005</v>
      </c>
      <c r="DC36" s="57" t="n">
        <f aca="false">CT36-DB36</f>
        <v>0.00020372872878469</v>
      </c>
      <c r="DD36" s="57" t="n">
        <f aca="false">CJ36-CQ36-CR36-CS36-DB36</f>
        <v>0.106472683397777</v>
      </c>
      <c r="DE36" s="19" t="n">
        <f aca="false">CW36*c_stroke_fatal+CX36*c_stroke_major+CY36*c_stroke_minor+CR36*c_ich+CS36*c_major_bleed+DB36*c_mi_fatal+DC36*c_mi_nonfatal+CU36*c_tia+CV36*c_minor_bleed</f>
        <v>49.9953375225441</v>
      </c>
      <c r="DF36" s="57" t="n">
        <f aca="false">dt*(DC36*dec_mi+DA36*dec_major_bleed+CV36*dec_minor_bleed+CU36*dec_tia)</f>
        <v>4.67096025469145E-005</v>
      </c>
      <c r="DG36" s="57" t="n">
        <f aca="false">J36*CI36+CW36+CR36-CZ36+CS36-DA36+DB36</f>
        <v>0.00229917113079701</v>
      </c>
      <c r="DH36" s="57" t="n">
        <f aca="false">AG36</f>
        <v>0.422837926822126</v>
      </c>
      <c r="DI36" s="57" t="n">
        <f aca="false">AB36+AC36+BF36+BA36+BB36+BC36+CY36+CZ36</f>
        <v>0.0532034223012413</v>
      </c>
      <c r="DJ36" s="57" t="n">
        <f aca="false">AA36+AZ36+BY36+CX36+CE36+BZ36+CA36+CB36</f>
        <v>0.0193826922324934</v>
      </c>
      <c r="DK36" s="57" t="n">
        <f aca="false">AD36+DD36+DA36</f>
        <v>0.110707842618124</v>
      </c>
      <c r="DL36" s="57" t="n">
        <f aca="false">K36+AJ36+BI36+CH36+DG36</f>
        <v>0.393868116026016</v>
      </c>
      <c r="DM36" s="58" t="n">
        <f aca="false">SUM(DH36:DL36)</f>
        <v>1</v>
      </c>
      <c r="DN36" s="19" t="n">
        <f aca="false">dt*(G36*Warfarin!$H$2+(H36+I36+J36)*c_aspirin)</f>
        <v>43.8053864624499</v>
      </c>
      <c r="DO36" s="19" t="n">
        <f aca="false">dt*(H36*c_lt_minor_stroke+I36*c_lt_major_stroke)</f>
        <v>270.137298459122</v>
      </c>
      <c r="DP36" s="19" t="n">
        <f aca="false">AH36+BG36+CF36+DE36</f>
        <v>250.851433771694</v>
      </c>
      <c r="DQ36" s="19" t="n">
        <f aca="false">DN36+DO36+DP36</f>
        <v>564.794118693266</v>
      </c>
      <c r="DR36" s="57" t="n">
        <f aca="false">dt*(G36*(u_af-dec_per_year_over_70*MAX(B36-ref_age,0))+H36*(u_minor_stroke-dec_per_year_over_70*MAX(B36-ref_age,0))+I36*(u_major_stroke-dec_per_year_over_70*MAX(B36-ref_age,0))+J36*(u_af-dec_per_year_over_70*MAX(B36-ref_age,0)))-AI36-BH36-CG36-DF36</f>
        <v>0.121988173434888</v>
      </c>
      <c r="DS36" s="57" t="n">
        <f aca="false">dt*(G36+H36+I36+J36)</f>
        <v>0.155159568577752</v>
      </c>
      <c r="DT36" s="19" t="n">
        <f aca="false">DQ36*C36</f>
        <v>505.120330618075</v>
      </c>
      <c r="DU36" s="19" t="n">
        <f aca="false">DN36*C36</f>
        <v>39.1770922543586</v>
      </c>
      <c r="DV36" s="19" t="n">
        <f aca="false">DP36*C36</f>
        <v>224.347518801964</v>
      </c>
      <c r="DW36" s="19" t="n">
        <f aca="false">DO36*C36</f>
        <v>241.595719561753</v>
      </c>
      <c r="DX36" s="57" t="n">
        <f aca="false">DR36*C36</f>
        <v>0.109099412436322</v>
      </c>
      <c r="DY36" s="57" t="n">
        <f aca="false">DS36*C36</f>
        <v>0.138766056487774</v>
      </c>
      <c r="DZ36" s="57" t="n">
        <f aca="false">T36+AS36+BR36+CQ36</f>
        <v>0.00464513617498338</v>
      </c>
      <c r="EA36" s="57" t="n">
        <f aca="false">U36+AT36+BS36+CR36</f>
        <v>0.001044576476897</v>
      </c>
      <c r="EB36" s="57" t="n">
        <f aca="false">V36+AU36+BT36+CS36</f>
        <v>0.00528749650634588</v>
      </c>
      <c r="EC36" s="57" t="n">
        <f aca="false">G36*dt*C36</f>
        <v>0.0978005724525825</v>
      </c>
    </row>
    <row r="37" customFormat="false" ht="15" hidden="false" customHeight="false" outlineLevel="0" collapsed="false">
      <c r="A37" s="8" t="n">
        <v>31</v>
      </c>
      <c r="B37" s="54" t="n">
        <f aca="false">start_age+A37*dt</f>
        <v>77.75</v>
      </c>
      <c r="C37" s="16" t="n">
        <f aca="false">(1+disc_rate)^-(A37*dt)</f>
        <v>0.891021477532976</v>
      </c>
      <c r="D37" s="55" t="n">
        <f aca="false">IF(A37*dt&gt;=wane_start,(1-wane_decay)^(A37*dt-wane_start),1)</f>
        <v>1</v>
      </c>
      <c r="E37" s="25" t="n">
        <f aca="false">MIN(p_nonvasc_death*MIN(EXP(gomp_int+gomp_slope*INT(B37)),1)/qx_ref,0.999)</f>
        <v>0.0686445950805788</v>
      </c>
      <c r="F37" s="55" t="n">
        <f aca="false">rr_stroke_per_decade^((B37-ref_age)/10)</f>
        <v>1.36921209160911</v>
      </c>
      <c r="G37" s="57" t="n">
        <f aca="false">DH36</f>
        <v>0.422837926822126</v>
      </c>
      <c r="H37" s="57" t="n">
        <f aca="false">DI36</f>
        <v>0.0532034223012413</v>
      </c>
      <c r="I37" s="57" t="n">
        <f aca="false">DJ36</f>
        <v>0.0193826922324934</v>
      </c>
      <c r="J37" s="57" t="n">
        <f aca="false">DK36</f>
        <v>0.110707842618124</v>
      </c>
      <c r="K37" s="57" t="n">
        <f aca="false">DL36</f>
        <v>0.393868116026016</v>
      </c>
      <c r="L37" s="57" t="n">
        <f aca="false">1-EXP(LN(1-E37)*dt)</f>
        <v>0.0176214757281867</v>
      </c>
      <c r="M37" s="57" t="n">
        <f aca="false">G37*(1-L37)</f>
        <v>0.415386898557673</v>
      </c>
      <c r="N37" s="57" t="n">
        <f aca="false">IF(Warfarin!$B$2=1,EXP(LN(or_apx_stroke)*D37)*(1-EXP(-r_stroke*F37*dt))/(1-(1-EXP(-r_stroke*F37*dt))+EXP(LN(or_apx_stroke)*D37)*(1-EXP(-r_stroke*F37*dt))),(1-EXP(-r_stroke*F37*dt)))</f>
        <v>0.00550592273112571</v>
      </c>
      <c r="O37" s="57" t="n">
        <f aca="false">IF(Warfarin!$B$2=1,EXP(LN(or_apx_ich)*D37)*(1-EXP(-r_ich*dt))/(1-(1-EXP(-r_ich*dt))+EXP(LN(or_apx_ich)*D37)*(1-EXP(-r_ich*dt))),(1-EXP(-r_ich*dt)))</f>
        <v>0.0020060281549299</v>
      </c>
      <c r="P37" s="57" t="n">
        <f aca="false">IF(Warfarin!$B$2=1,EXP(LN(or_apx_mb)*D37)*(1-EXP(-r_mb*dt))/(1-(1-EXP(-r_mb*dt))+EXP(LN(or_apx_mb)*D37)*(1-EXP(-r_mb*dt))),(1-EXP(-r_mb*dt)))</f>
        <v>0.00835410477572107</v>
      </c>
      <c r="Q37" s="57" t="n">
        <f aca="false">IF(Warfarin!$B$2=1,EXP(LN(or_apx_mi)*D37)*(1-EXP(-r_mi*dt))/(1-(1-EXP(-r_mi*dt))+EXP(LN(or_apx_mi)*D37)*(1-EXP(-r_mi*dt))),(1-EXP(-r_mi*dt)))</f>
        <v>0.00150338686144691</v>
      </c>
      <c r="R37" s="57" t="n">
        <f aca="false">(1-EXP(-r_tia*dt))</f>
        <v>0.0020060281549299</v>
      </c>
      <c r="S37" s="57" t="n">
        <f aca="false">(1-EXP(-r_minor*dt))</f>
        <v>0.0437937690785545</v>
      </c>
      <c r="T37" s="57" t="n">
        <f aca="false">M37*N37</f>
        <v>0.0022870881669805</v>
      </c>
      <c r="U37" s="57" t="n">
        <f aca="false">M37*O37</f>
        <v>0.0008332778136957</v>
      </c>
      <c r="V37" s="57" t="n">
        <f aca="false">M37*P37</f>
        <v>0.00347018567301262</v>
      </c>
      <c r="W37" s="57" t="n">
        <f aca="false">M37*Q37</f>
        <v>0.000624487205708786</v>
      </c>
      <c r="X37" s="57" t="n">
        <f aca="false">M37*R37</f>
        <v>0.0008332778136957</v>
      </c>
      <c r="Y37" s="57" t="n">
        <f aca="false">M37*S37</f>
        <v>0.0181913579136917</v>
      </c>
      <c r="Z37" s="57" t="n">
        <f aca="false">T37*f_stroke_fatal</f>
        <v>0.000542039895574379</v>
      </c>
      <c r="AA37" s="57" t="n">
        <f aca="false">T37*(1-f_stroke_fatal)*f_stroke_major</f>
        <v>0.000581101074378239</v>
      </c>
      <c r="AB37" s="57" t="n">
        <f aca="false">T37*(1-f_stroke_fatal)*(1-f_stroke_major)</f>
        <v>0.00116394719702788</v>
      </c>
      <c r="AC37" s="57" t="n">
        <f aca="false">U37*(1-f_bleed_fatal)</f>
        <v>0.000763282477345262</v>
      </c>
      <c r="AD37" s="57" t="n">
        <f aca="false">V37*(1-f_bleed_fatal)</f>
        <v>0.00317869007647956</v>
      </c>
      <c r="AE37" s="57" t="n">
        <f aca="false">W37*f_mi_fatal</f>
        <v>7.55629518907631E-005</v>
      </c>
      <c r="AF37" s="57" t="n">
        <f aca="false">W37-AE37</f>
        <v>0.000548924253818023</v>
      </c>
      <c r="AG37" s="57" t="n">
        <f aca="false">M37-T37-U37-V37-AE37</f>
        <v>0.408720783952094</v>
      </c>
      <c r="AH37" s="19" t="n">
        <f aca="false">Z37*c_stroke_fatal+AA37*c_stroke_major+AB37*c_stroke_minor+U37*c_ich+V37*c_major_bleed+AE37*c_mi_fatal+AF37*c_mi_nonfatal+X37*c_tia+Y37*c_minor_bleed</f>
        <v>141.079847650065</v>
      </c>
      <c r="AI37" s="57" t="n">
        <f aca="false">dt*(AF37*dec_mi+AD37*dec_major_bleed+Y37*dec_minor_bleed+X37*dec_tia)</f>
        <v>0.000170842571613005</v>
      </c>
      <c r="AJ37" s="57" t="n">
        <f aca="false">G37*L37+Z37+U37-AC37+V37-AD37+AE37</f>
        <v>0.00843012204480153</v>
      </c>
      <c r="AK37" s="57" t="n">
        <f aca="false">1-EXP(LN(1-E37)*hr_death_prior_stroke*dt)</f>
        <v>0.0400659927121596</v>
      </c>
      <c r="AL37" s="57" t="n">
        <f aca="false">H37*(1-AK37)</f>
        <v>0.0510717743710578</v>
      </c>
      <c r="AM37" s="57" t="n">
        <f aca="false">(1-EXP(-r_stroke*F37*rr_stroke_prior*rr_asa_stroke*dt))</f>
        <v>0.0194849943554047</v>
      </c>
      <c r="AN37" s="57" t="n">
        <f aca="false">(1-EXP(-r_ich*rr_asa_ich*dt))</f>
        <v>0.00102357767802375</v>
      </c>
      <c r="AO37" s="57" t="n">
        <f aca="false">(1-EXP(-r_mb*rr_asa_mb*dt))</f>
        <v>0.00951809672747972</v>
      </c>
      <c r="AP37" s="57" t="n">
        <f aca="false">(1-EXP(-r_mi*rr_asa_mi*dt))</f>
        <v>0.00213413516393479</v>
      </c>
      <c r="AQ37" s="57" t="n">
        <f aca="false">(1-EXP(-r_tia*rr_asa_tia*dt))</f>
        <v>0.00312764565589152</v>
      </c>
      <c r="AR37" s="57" t="n">
        <f aca="false">(1-EXP(-r_minor*rr_asa_minor*dt))</f>
        <v>0.0278181950466747</v>
      </c>
      <c r="AS37" s="57" t="n">
        <f aca="false">AL37*AM37</f>
        <v>0.000995133235340566</v>
      </c>
      <c r="AT37" s="57" t="n">
        <f aca="false">AL37*AN37</f>
        <v>5.227592822328E-005</v>
      </c>
      <c r="AU37" s="57" t="n">
        <f aca="false">AL37*AO37</f>
        <v>0.000486106088507748</v>
      </c>
      <c r="AV37" s="57" t="n">
        <f aca="false">AL37*AP37</f>
        <v>0.000108994069569818</v>
      </c>
      <c r="AW37" s="57" t="n">
        <f aca="false">AL37*AQ37</f>
        <v>0.000159734413250311</v>
      </c>
      <c r="AX37" s="57" t="n">
        <f aca="false">AL37*AR37</f>
        <v>0.00142072458083385</v>
      </c>
      <c r="AY37" s="57" t="n">
        <f aca="false">AS37*f_stroke_fatal_recur</f>
        <v>0.000370279125537871</v>
      </c>
      <c r="AZ37" s="57" t="n">
        <f aca="false">AS37*(1-f_stroke_fatal_recur)*f_stroke_major</f>
        <v>0.000208076418564297</v>
      </c>
      <c r="BA37" s="57" t="n">
        <f aca="false">AS37*(1-f_stroke_fatal_recur)*(1-f_stroke_major)</f>
        <v>0.000416777691238397</v>
      </c>
      <c r="BB37" s="57" t="n">
        <f aca="false">AT37*(1-f_bleed_fatal)</f>
        <v>4.78847502525245E-005</v>
      </c>
      <c r="BC37" s="57" t="n">
        <f aca="false">AU37*(1-f_bleed_fatal)</f>
        <v>0.000445273177073097</v>
      </c>
      <c r="BD37" s="57" t="n">
        <f aca="false">AV37*f_mi_fatal</f>
        <v>1.3188282417948E-005</v>
      </c>
      <c r="BE37" s="57" t="n">
        <f aca="false">AV37-BD37</f>
        <v>9.58057871518702E-005</v>
      </c>
      <c r="BF37" s="57" t="n">
        <f aca="false">AL37-AS37-AT37-AU37-BD37</f>
        <v>0.0495250708365683</v>
      </c>
      <c r="BG37" s="19" t="n">
        <f aca="false">AY37*c_stroke_fatal+AZ37*c_stroke_major+BA37*c_stroke_minor+AT37*c_ich+AU37*c_major_bleed+BD37*c_mi_fatal+BE37*c_mi_nonfatal+AW37*c_tia+AX37*c_minor_bleed</f>
        <v>41.1888898379</v>
      </c>
      <c r="BH37" s="57" t="n">
        <f aca="false">dt*(BE37*dec_mi+BC37*dec_major_bleed+AX37*dec_minor_bleed+AW37*dec_tia)</f>
        <v>2.19657299500827E-005</v>
      </c>
      <c r="BI37" s="57" t="n">
        <f aca="false">H37*AK37+AY37+AT37-BB37+AU37-BC37+BD37</f>
        <v>0.00256033942754471</v>
      </c>
      <c r="BJ37" s="57" t="n">
        <f aca="false">1-EXP(LN(1-E37)*hr_death_prior_stroke*dt)</f>
        <v>0.0400659927121596</v>
      </c>
      <c r="BK37" s="57" t="n">
        <f aca="false">I37*(1-BJ37)</f>
        <v>0.0186061054267643</v>
      </c>
      <c r="BL37" s="57" t="n">
        <f aca="false">(1-EXP(-r_stroke*F37*rr_stroke_prior*rr_asa_stroke*dt))</f>
        <v>0.0194849943554047</v>
      </c>
      <c r="BM37" s="57" t="n">
        <f aca="false">(1-EXP(-r_ich*rr_asa_ich*dt))</f>
        <v>0.00102357767802375</v>
      </c>
      <c r="BN37" s="57" t="n">
        <f aca="false">(1-EXP(-r_mb*rr_asa_mb*dt))</f>
        <v>0.00951809672747972</v>
      </c>
      <c r="BO37" s="57" t="n">
        <f aca="false">(1-EXP(-r_mi*rr_asa_mi*dt))</f>
        <v>0.00213413516393479</v>
      </c>
      <c r="BP37" s="57" t="n">
        <f aca="false">(1-EXP(-r_tia*rr_asa_tia*dt))</f>
        <v>0.00312764565589152</v>
      </c>
      <c r="BQ37" s="57" t="n">
        <f aca="false">(1-EXP(-r_minor*rr_asa_minor*dt))</f>
        <v>0.0278181950466747</v>
      </c>
      <c r="BR37" s="57" t="n">
        <f aca="false">BK37*BL37</f>
        <v>0.000362539859216567</v>
      </c>
      <c r="BS37" s="57" t="n">
        <f aca="false">BK37*BM37</f>
        <v>1.90447941897924E-005</v>
      </c>
      <c r="BT37" s="57" t="n">
        <f aca="false">BK37*BN37</f>
        <v>0.000177094711173628</v>
      </c>
      <c r="BU37" s="57" t="n">
        <f aca="false">BK37*BO37</f>
        <v>3.97079438551356E-005</v>
      </c>
      <c r="BV37" s="57" t="n">
        <f aca="false">BK37*BP37</f>
        <v>5.81933048110789E-005</v>
      </c>
      <c r="BW37" s="57" t="n">
        <f aca="false">BK37*BQ37</f>
        <v>0.000517588269820721</v>
      </c>
      <c r="BX37" s="57" t="n">
        <f aca="false">BR37*f_stroke_fatal_recur</f>
        <v>0.000134897456215892</v>
      </c>
      <c r="BY37" s="57" t="n">
        <f aca="false">BR37*(1-f_stroke_fatal_recur)*f_stroke_major</f>
        <v>7.58049201992247E-005</v>
      </c>
      <c r="BZ37" s="57" t="n">
        <f aca="false">BR37*(1-f_stroke_fatal_recur)*(1-f_stroke_major)</f>
        <v>0.00015183748280145</v>
      </c>
      <c r="CA37" s="57" t="n">
        <f aca="false">BS37*(1-f_bleed_fatal)</f>
        <v>1.74450314778498E-005</v>
      </c>
      <c r="CB37" s="57" t="n">
        <f aca="false">BT37*(1-f_bleed_fatal)</f>
        <v>0.000162218755435043</v>
      </c>
      <c r="CC37" s="57" t="n">
        <f aca="false">BU37*f_mi_fatal</f>
        <v>4.8046612064714E-006</v>
      </c>
      <c r="CD37" s="57" t="n">
        <f aca="false">BU37-CC37</f>
        <v>3.49032826486642E-005</v>
      </c>
      <c r="CE37" s="57" t="n">
        <f aca="false">BK37-BR37-BS37-BT37-CC37</f>
        <v>0.0180426214009778</v>
      </c>
      <c r="CF37" s="19" t="n">
        <f aca="false">BX37*c_stroke_fatal+BY37*c_stroke_major+BZ37*c_stroke_minor+BS37*c_ich+BT37*c_major_bleed+CC37*c_mi_fatal+CD37*c_mi_nonfatal+BV37*c_tia+BW37*c_minor_bleed</f>
        <v>15.0056432574162</v>
      </c>
      <c r="CG37" s="57" t="n">
        <f aca="false">dt*(CD37*dec_mi+CB37*dec_major_bleed+BW37*dec_minor_bleed+BV37*dec_tia)</f>
        <v>8.00239843357936E-006</v>
      </c>
      <c r="CH37" s="57" t="n">
        <f aca="false">I37*BJ37+BX37+BS37-CA37+BT37-CB37+CC37</f>
        <v>0.000932764641602003</v>
      </c>
      <c r="CI37" s="57" t="n">
        <f aca="false">1-EXP(LN(1-E37)*dt)</f>
        <v>0.0176214757281867</v>
      </c>
      <c r="CJ37" s="57" t="n">
        <f aca="false">J37*(1-CI37)</f>
        <v>0.108757007056509</v>
      </c>
      <c r="CK37" s="57" t="n">
        <f aca="false">(1-EXP(-r_stroke*F37*rr_asa_stroke*dt))</f>
        <v>0.00890435990056016</v>
      </c>
      <c r="CL37" s="57" t="n">
        <f aca="false">(1-EXP(-r_ich*rr_asa_ich*dt))</f>
        <v>0.00102357767802375</v>
      </c>
      <c r="CM37" s="57" t="n">
        <f aca="false">(1-EXP(-r_mb*rr_asa_mb*dt))</f>
        <v>0.00951809672747972</v>
      </c>
      <c r="CN37" s="57" t="n">
        <f aca="false">(1-EXP(-r_mi*rr_asa_mi*dt))</f>
        <v>0.00213413516393479</v>
      </c>
      <c r="CO37" s="57" t="n">
        <f aca="false">(1-EXP(-r_tia*rr_asa_tia*dt))</f>
        <v>0.00312764565589152</v>
      </c>
      <c r="CP37" s="57" t="n">
        <f aca="false">(1-EXP(-r_minor*rr_asa_minor*dt))</f>
        <v>0.0278181950466747</v>
      </c>
      <c r="CQ37" s="57" t="n">
        <f aca="false">CJ37*CK37</f>
        <v>0.000968411532538917</v>
      </c>
      <c r="CR37" s="57" t="n">
        <f aca="false">CJ37*CL37</f>
        <v>0.000111321244751714</v>
      </c>
      <c r="CS37" s="57" t="n">
        <f aca="false">CJ37*CM37</f>
        <v>0.00103515971295505</v>
      </c>
      <c r="CT37" s="57" t="n">
        <f aca="false">CJ37*CN37</f>
        <v>0.0002321021530836</v>
      </c>
      <c r="CU37" s="57" t="n">
        <f aca="false">CJ37*CO37</f>
        <v>0.000340153380668054</v>
      </c>
      <c r="CV37" s="57" t="n">
        <f aca="false">CJ37*CP37</f>
        <v>0.00302542363499055</v>
      </c>
      <c r="CW37" s="57" t="n">
        <f aca="false">CQ37*f_stroke_fatal</f>
        <v>0.000229513533211723</v>
      </c>
      <c r="CX37" s="57" t="n">
        <f aca="false">CQ37*(1-f_stroke_fatal)*f_stroke_major</f>
        <v>0.000246053033775956</v>
      </c>
      <c r="CY37" s="57" t="n">
        <f aca="false">CQ37*(1-f_stroke_fatal)*(1-f_stroke_major)</f>
        <v>0.000492844965551238</v>
      </c>
      <c r="CZ37" s="57" t="n">
        <f aca="false">CR37*(1-f_bleed_fatal)</f>
        <v>0.00010197026019257</v>
      </c>
      <c r="DA37" s="57" t="n">
        <f aca="false">CS37*(1-f_bleed_fatal)</f>
        <v>0.000948206297066823</v>
      </c>
      <c r="DB37" s="57" t="n">
        <f aca="false">CT37*f_mi_fatal</f>
        <v>2.80843605231156E-005</v>
      </c>
      <c r="DC37" s="57" t="n">
        <f aca="false">CT37-DB37</f>
        <v>0.000204017792560485</v>
      </c>
      <c r="DD37" s="57" t="n">
        <f aca="false">CJ37-CQ37-CR37-CS37-DB37</f>
        <v>0.10661403020574</v>
      </c>
      <c r="DE37" s="19" t="n">
        <f aca="false">CW37*c_stroke_fatal+CX37*c_stroke_major+CY37*c_stroke_minor+CR37*c_ich+CS37*c_major_bleed+DB37*c_mi_fatal+DC37*c_mi_nonfatal+CU37*c_tia+CV37*c_minor_bleed</f>
        <v>50.4255406791316</v>
      </c>
      <c r="DF37" s="57" t="n">
        <f aca="false">dt*(DC37*dec_mi+DA37*dec_major_bleed+CV37*dec_minor_bleed+CU37*dec_tia)</f>
        <v>4.67758772159737E-005</v>
      </c>
      <c r="DG37" s="57" t="n">
        <f aca="false">J37*CI37+CW37+CR37-CZ37+CS37-DA37+DB37</f>
        <v>0.0023047378557974</v>
      </c>
      <c r="DH37" s="57" t="n">
        <f aca="false">AG37</f>
        <v>0.408720783952094</v>
      </c>
      <c r="DI37" s="57" t="n">
        <f aca="false">AB37+AC37+BF37+BA37+BB37+BC37+CY37+CZ37</f>
        <v>0.0529570513552492</v>
      </c>
      <c r="DJ37" s="57" t="n">
        <f aca="false">AA37+AZ37+BY37+CX37+CE37+BZ37+CA37+CB37</f>
        <v>0.0194851581176099</v>
      </c>
      <c r="DK37" s="57" t="n">
        <f aca="false">AD37+DD37+DA37</f>
        <v>0.110740926579287</v>
      </c>
      <c r="DL37" s="57" t="n">
        <f aca="false">K37+AJ37+BI37+CH37+DG37</f>
        <v>0.408096079995761</v>
      </c>
      <c r="DM37" s="58" t="n">
        <f aca="false">SUM(DH37:DL37)</f>
        <v>1</v>
      </c>
      <c r="DN37" s="19" t="n">
        <f aca="false">dt*(G37*Warfarin!$H$2+(H37+I37+J37)*c_aspirin)</f>
        <v>42.405579746931</v>
      </c>
      <c r="DO37" s="19" t="n">
        <f aca="false">dt*(H37*c_lt_minor_stroke+I37*c_lt_major_stroke)</f>
        <v>270.369467444423</v>
      </c>
      <c r="DP37" s="19" t="n">
        <f aca="false">AH37+BG37+CF37+DE37</f>
        <v>247.699921424512</v>
      </c>
      <c r="DQ37" s="19" t="n">
        <f aca="false">DN37+DO37+DP37</f>
        <v>560.474968615866</v>
      </c>
      <c r="DR37" s="57" t="n">
        <f aca="false">dt*(G37*(u_af-dec_per_year_over_70*MAX(B37-ref_age,0))+H37*(u_minor_stroke-dec_per_year_over_70*MAX(B37-ref_age,0))+I37*(u_major_stroke-dec_per_year_over_70*MAX(B37-ref_age,0))+J37*(u_af-dec_per_year_over_70*MAX(B37-ref_age,0)))-AI37-BH37-CG37-DF37</f>
        <v>0.119042173922745</v>
      </c>
      <c r="DS37" s="57" t="n">
        <f aca="false">dt*(G37+H37+I37+J37)</f>
        <v>0.151532970993496</v>
      </c>
      <c r="DT37" s="19" t="n">
        <f aca="false">DQ37*C37</f>
        <v>499.395234656357</v>
      </c>
      <c r="DU37" s="19" t="n">
        <f aca="false">DN37*C37</f>
        <v>37.7842823217529</v>
      </c>
      <c r="DV37" s="19" t="n">
        <f aca="false">DP37*C37</f>
        <v>220.705949972471</v>
      </c>
      <c r="DW37" s="19" t="n">
        <f aca="false">DO37*C37</f>
        <v>240.905002362134</v>
      </c>
      <c r="DX37" s="57" t="n">
        <f aca="false">DR37*C37</f>
        <v>0.106069133697381</v>
      </c>
      <c r="DY37" s="57" t="n">
        <f aca="false">DS37*C37</f>
        <v>0.135019131709587</v>
      </c>
      <c r="DZ37" s="57" t="n">
        <f aca="false">T37+AS37+BR37+CQ37</f>
        <v>0.00461317279407655</v>
      </c>
      <c r="EA37" s="57" t="n">
        <f aca="false">U37+AT37+BS37+CR37</f>
        <v>0.00101591978086049</v>
      </c>
      <c r="EB37" s="57" t="n">
        <f aca="false">V37+AU37+BT37+CS37</f>
        <v>0.00516854618564904</v>
      </c>
      <c r="EC37" s="57" t="n">
        <f aca="false">G37*dt*C37</f>
        <v>0.0941894185785077</v>
      </c>
    </row>
    <row r="38" customFormat="false" ht="15" hidden="false" customHeight="false" outlineLevel="0" collapsed="false">
      <c r="A38" s="8" t="n">
        <v>32</v>
      </c>
      <c r="B38" s="54" t="n">
        <f aca="false">start_age+A38*dt</f>
        <v>78</v>
      </c>
      <c r="C38" s="16" t="n">
        <f aca="false">(1+disc_rate)^-(A38*dt)</f>
        <v>0.887711123800987</v>
      </c>
      <c r="D38" s="55" t="n">
        <f aca="false">IF(A38*dt&gt;=wane_start,(1-wane_decay)^(A38*dt-wane_start),1)</f>
        <v>1</v>
      </c>
      <c r="E38" s="25" t="n">
        <f aca="false">MIN(p_nonvasc_death*MIN(EXP(gomp_int+gomp_slope*INT(B38)),1)/qx_ref,0.999)</f>
        <v>0.0762163453506268</v>
      </c>
      <c r="F38" s="55" t="n">
        <f aca="false">rr_stroke_per_decade^((B38-ref_age)/10)</f>
        <v>1.38316186722259</v>
      </c>
      <c r="G38" s="57" t="n">
        <f aca="false">DH37</f>
        <v>0.408720783952094</v>
      </c>
      <c r="H38" s="57" t="n">
        <f aca="false">DI37</f>
        <v>0.0529570513552492</v>
      </c>
      <c r="I38" s="57" t="n">
        <f aca="false">DJ37</f>
        <v>0.0194851581176099</v>
      </c>
      <c r="J38" s="57" t="n">
        <f aca="false">DK37</f>
        <v>0.110740926579287</v>
      </c>
      <c r="K38" s="57" t="n">
        <f aca="false">DL37</f>
        <v>0.408096079995761</v>
      </c>
      <c r="L38" s="57" t="n">
        <f aca="false">1-EXP(LN(1-E38)*dt)</f>
        <v>0.0196242316180795</v>
      </c>
      <c r="M38" s="57" t="n">
        <f aca="false">G38*(1-L38)</f>
        <v>0.400699952620695</v>
      </c>
      <c r="N38" s="57" t="n">
        <f aca="false">IF(Warfarin!$B$2=1,EXP(LN(or_apx_stroke)*D38)*(1-EXP(-r_stroke*F38*dt))/(1-(1-EXP(-r_stroke*F38*dt))+EXP(LN(or_apx_stroke)*D38)*(1-EXP(-r_stroke*F38*dt))),(1-EXP(-r_stroke*F38*dt)))</f>
        <v>0.0055618617626072</v>
      </c>
      <c r="O38" s="57" t="n">
        <f aca="false">IF(Warfarin!$B$2=1,EXP(LN(or_apx_ich)*D38)*(1-EXP(-r_ich*dt))/(1-(1-EXP(-r_ich*dt))+EXP(LN(or_apx_ich)*D38)*(1-EXP(-r_ich*dt))),(1-EXP(-r_ich*dt)))</f>
        <v>0.0020060281549299</v>
      </c>
      <c r="P38" s="57" t="n">
        <f aca="false">IF(Warfarin!$B$2=1,EXP(LN(or_apx_mb)*D38)*(1-EXP(-r_mb*dt))/(1-(1-EXP(-r_mb*dt))+EXP(LN(or_apx_mb)*D38)*(1-EXP(-r_mb*dt))),(1-EXP(-r_mb*dt)))</f>
        <v>0.00835410477572107</v>
      </c>
      <c r="Q38" s="57" t="n">
        <f aca="false">IF(Warfarin!$B$2=1,EXP(LN(or_apx_mi)*D38)*(1-EXP(-r_mi*dt))/(1-(1-EXP(-r_mi*dt))+EXP(LN(or_apx_mi)*D38)*(1-EXP(-r_mi*dt))),(1-EXP(-r_mi*dt)))</f>
        <v>0.00150338686144691</v>
      </c>
      <c r="R38" s="57" t="n">
        <f aca="false">(1-EXP(-r_tia*dt))</f>
        <v>0.0020060281549299</v>
      </c>
      <c r="S38" s="57" t="n">
        <f aca="false">(1-EXP(-r_minor*dt))</f>
        <v>0.0437937690785545</v>
      </c>
      <c r="T38" s="57" t="n">
        <f aca="false">M38*N38</f>
        <v>0.00222863774475956</v>
      </c>
      <c r="U38" s="57" t="n">
        <f aca="false">M38*O38</f>
        <v>0.000803815386636188</v>
      </c>
      <c r="V38" s="57" t="n">
        <f aca="false">M38*P38</f>
        <v>0.00334748938781975</v>
      </c>
      <c r="W38" s="57" t="n">
        <f aca="false">M38*Q38</f>
        <v>0.000602407044152351</v>
      </c>
      <c r="X38" s="57" t="n">
        <f aca="false">M38*R38</f>
        <v>0.000803815386636188</v>
      </c>
      <c r="Y38" s="57" t="n">
        <f aca="false">M38*S38</f>
        <v>0.0175481611948584</v>
      </c>
      <c r="Z38" s="57" t="n">
        <f aca="false">T38*f_stroke_fatal</f>
        <v>0.000528187145508015</v>
      </c>
      <c r="AA38" s="57" t="n">
        <f aca="false">T38*(1-f_stroke_fatal)*f_stroke_major</f>
        <v>0.000566250049550764</v>
      </c>
      <c r="AB38" s="57" t="n">
        <f aca="false">T38*(1-f_stroke_fatal)*(1-f_stroke_major)</f>
        <v>0.00113420054970078</v>
      </c>
      <c r="AC38" s="57" t="n">
        <f aca="false">U38*(1-f_bleed_fatal)</f>
        <v>0.000736294894158749</v>
      </c>
      <c r="AD38" s="57" t="n">
        <f aca="false">V38*(1-f_bleed_fatal)</f>
        <v>0.00306630027924289</v>
      </c>
      <c r="AE38" s="57" t="n">
        <f aca="false">W38*f_mi_fatal</f>
        <v>7.28912523424345E-005</v>
      </c>
      <c r="AF38" s="57" t="n">
        <f aca="false">W38-AE38</f>
        <v>0.000529515791809917</v>
      </c>
      <c r="AG38" s="57" t="n">
        <f aca="false">M38-T38-U38-V38-AE38</f>
        <v>0.394247118849137</v>
      </c>
      <c r="AH38" s="19" t="n">
        <f aca="false">Z38*c_stroke_fatal+AA38*c_stroke_major+AB38*c_stroke_minor+U38*c_ich+V38*c_major_bleed+AE38*c_mi_fatal+AF38*c_mi_nonfatal+X38*c_tia+Y38*c_minor_bleed</f>
        <v>136.919822199567</v>
      </c>
      <c r="AI38" s="57" t="n">
        <f aca="false">dt*(AF38*dec_mi+AD38*dec_major_bleed+Y38*dec_minor_bleed+X38*dec_tia)</f>
        <v>0.000164802045005818</v>
      </c>
      <c r="AJ38" s="57" t="n">
        <f aca="false">G38*L38+Z38+U38-AC38+V38-AD38+AE38</f>
        <v>0.00897061933030365</v>
      </c>
      <c r="AK38" s="57" t="n">
        <f aca="false">1-EXP(LN(1-E38)*hr_death_prior_stroke*dt)</f>
        <v>0.0445611263260992</v>
      </c>
      <c r="AL38" s="57" t="n">
        <f aca="false">H38*(1-AK38)</f>
        <v>0.0505972254999503</v>
      </c>
      <c r="AM38" s="57" t="n">
        <f aca="false">(1-EXP(-r_stroke*F38*rr_stroke_prior*rr_asa_stroke*dt))</f>
        <v>0.0196815444983524</v>
      </c>
      <c r="AN38" s="57" t="n">
        <f aca="false">(1-EXP(-r_ich*rr_asa_ich*dt))</f>
        <v>0.00102357767802375</v>
      </c>
      <c r="AO38" s="57" t="n">
        <f aca="false">(1-EXP(-r_mb*rr_asa_mb*dt))</f>
        <v>0.00951809672747972</v>
      </c>
      <c r="AP38" s="57" t="n">
        <f aca="false">(1-EXP(-r_mi*rr_asa_mi*dt))</f>
        <v>0.00213413516393479</v>
      </c>
      <c r="AQ38" s="57" t="n">
        <f aca="false">(1-EXP(-r_tia*rr_asa_tia*dt))</f>
        <v>0.00312764565589152</v>
      </c>
      <c r="AR38" s="57" t="n">
        <f aca="false">(1-EXP(-r_minor*rr_asa_minor*dt))</f>
        <v>0.0278181950466747</v>
      </c>
      <c r="AS38" s="57" t="n">
        <f aca="false">AL38*AM38</f>
        <v>0.000995831545170439</v>
      </c>
      <c r="AT38" s="57" t="n">
        <f aca="false">AL38*AN38</f>
        <v>5.1790190591683E-005</v>
      </c>
      <c r="AU38" s="57" t="n">
        <f aca="false">AL38*AO38</f>
        <v>0.00048158928645063</v>
      </c>
      <c r="AV38" s="57" t="n">
        <f aca="false">AL38*AP38</f>
        <v>0.000107981318136982</v>
      </c>
      <c r="AW38" s="57" t="n">
        <f aca="false">AL38*AQ38</f>
        <v>0.000158250192535083</v>
      </c>
      <c r="AX38" s="57" t="n">
        <f aca="false">AL38*AR38</f>
        <v>0.0014075234877782</v>
      </c>
      <c r="AY38" s="57" t="n">
        <f aca="false">AS38*f_stroke_fatal_recur</f>
        <v>0.000370538959642469</v>
      </c>
      <c r="AZ38" s="57" t="n">
        <f aca="false">AS38*(1-f_stroke_fatal_recur)*f_stroke_major</f>
        <v>0.000208222430980814</v>
      </c>
      <c r="BA38" s="57" t="n">
        <f aca="false">AS38*(1-f_stroke_fatal_recur)*(1-f_stroke_major)</f>
        <v>0.000417070154547156</v>
      </c>
      <c r="BB38" s="57" t="n">
        <f aca="false">AT38*(1-f_bleed_fatal)</f>
        <v>4.74398145819816E-005</v>
      </c>
      <c r="BC38" s="57" t="n">
        <f aca="false">AU38*(1-f_bleed_fatal)</f>
        <v>0.000441135786388777</v>
      </c>
      <c r="BD38" s="57" t="n">
        <f aca="false">AV38*f_mi_fatal</f>
        <v>1.30657394945748E-005</v>
      </c>
      <c r="BE38" s="57" t="n">
        <f aca="false">AV38-BD38</f>
        <v>9.49155786424071E-005</v>
      </c>
      <c r="BF38" s="57" t="n">
        <f aca="false">AL38-AS38-AT38-AU38-BD38</f>
        <v>0.0490549487382429</v>
      </c>
      <c r="BG38" s="19" t="n">
        <f aca="false">AY38*c_stroke_fatal+AZ38*c_stroke_major+BA38*c_stroke_minor+AT38*c_ich+AU38*c_major_bleed+BD38*c_mi_fatal+BE38*c_mi_nonfatal+AW38*c_tia+AX38*c_minor_bleed</f>
        <v>41.1490652585051</v>
      </c>
      <c r="BH38" s="57" t="n">
        <f aca="false">dt*(BE38*dec_mi+BC38*dec_major_bleed+AX38*dec_minor_bleed+AW38*dec_tia)</f>
        <v>2.17616287125746E-005</v>
      </c>
      <c r="BI38" s="57" t="n">
        <f aca="false">H38*AK38+AY38+AT38-BB38+AU38-BC38+BD38</f>
        <v>0.00278823443050758</v>
      </c>
      <c r="BJ38" s="57" t="n">
        <f aca="false">1-EXP(LN(1-E38)*hr_death_prior_stroke*dt)</f>
        <v>0.0445611263260992</v>
      </c>
      <c r="BK38" s="57" t="n">
        <f aca="false">I38*(1-BJ38)</f>
        <v>0.018616877525247</v>
      </c>
      <c r="BL38" s="57" t="n">
        <f aca="false">(1-EXP(-r_stroke*F38*rr_stroke_prior*rr_asa_stroke*dt))</f>
        <v>0.0196815444983524</v>
      </c>
      <c r="BM38" s="57" t="n">
        <f aca="false">(1-EXP(-r_ich*rr_asa_ich*dt))</f>
        <v>0.00102357767802375</v>
      </c>
      <c r="BN38" s="57" t="n">
        <f aca="false">(1-EXP(-r_mb*rr_asa_mb*dt))</f>
        <v>0.00951809672747972</v>
      </c>
      <c r="BO38" s="57" t="n">
        <f aca="false">(1-EXP(-r_mi*rr_asa_mi*dt))</f>
        <v>0.00213413516393479</v>
      </c>
      <c r="BP38" s="57" t="n">
        <f aca="false">(1-EXP(-r_tia*rr_asa_tia*dt))</f>
        <v>0.00312764565589152</v>
      </c>
      <c r="BQ38" s="57" t="n">
        <f aca="false">(1-EXP(-r_minor*rr_asa_minor*dt))</f>
        <v>0.0278181950466747</v>
      </c>
      <c r="BR38" s="57" t="n">
        <f aca="false">BK38*BL38</f>
        <v>0.000366408903433525</v>
      </c>
      <c r="BS38" s="57" t="n">
        <f aca="false">BK38*BM38</f>
        <v>1.90558202693448E-005</v>
      </c>
      <c r="BT38" s="57" t="n">
        <f aca="false">BK38*BN38</f>
        <v>0.000177197241048944</v>
      </c>
      <c r="BU38" s="57" t="n">
        <f aca="false">BK38*BO38</f>
        <v>3.9730932969297E-005</v>
      </c>
      <c r="BV38" s="57" t="n">
        <f aca="false">BK38*BP38</f>
        <v>5.82269961181033E-005</v>
      </c>
      <c r="BW38" s="57" t="n">
        <f aca="false">BK38*BQ38</f>
        <v>0.000517887930157377</v>
      </c>
      <c r="BX38" s="57" t="n">
        <f aca="false">BR38*f_stroke_fatal_recur</f>
        <v>0.00013633708887858</v>
      </c>
      <c r="BY38" s="57" t="n">
        <f aca="false">BR38*(1-f_stroke_fatal_recur)*f_stroke_major</f>
        <v>7.66139142467966E-005</v>
      </c>
      <c r="BZ38" s="57" t="n">
        <f aca="false">BR38*(1-f_stroke_fatal_recur)*(1-f_stroke_major)</f>
        <v>0.000153457900308148</v>
      </c>
      <c r="CA38" s="57" t="n">
        <f aca="false">BS38*(1-f_bleed_fatal)</f>
        <v>1.74551313667199E-005</v>
      </c>
      <c r="CB38" s="57" t="n">
        <f aca="false">BT38*(1-f_bleed_fatal)</f>
        <v>0.000162312672800833</v>
      </c>
      <c r="CC38" s="57" t="n">
        <f aca="false">BU38*f_mi_fatal</f>
        <v>4.80744288928494E-006</v>
      </c>
      <c r="CD38" s="57" t="n">
        <f aca="false">BU38-CC38</f>
        <v>3.49234900800121E-005</v>
      </c>
      <c r="CE38" s="57" t="n">
        <f aca="false">BK38-BR38-BS38-BT38-CC38</f>
        <v>0.0180494081176059</v>
      </c>
      <c r="CF38" s="19" t="n">
        <f aca="false">BX38*c_stroke_fatal+BY38*c_stroke_major+BZ38*c_stroke_minor+BS38*c_ich+BT38*c_major_bleed+CC38*c_mi_fatal+CD38*c_mi_nonfatal+BV38*c_tia+BW38*c_minor_bleed</f>
        <v>15.1404963538315</v>
      </c>
      <c r="CG38" s="57" t="n">
        <f aca="false">dt*(CD38*dec_mi+CB38*dec_major_bleed+BW38*dec_minor_bleed+BV38*dec_tia)</f>
        <v>8.00703146247217E-006</v>
      </c>
      <c r="CH38" s="57" t="n">
        <f aca="false">I38*BJ38+BX38+BS38-CA38+BT38-CB38+CC38</f>
        <v>0.00102591038128143</v>
      </c>
      <c r="CI38" s="57" t="n">
        <f aca="false">1-EXP(LN(1-E38)*dt)</f>
        <v>0.0196242316180795</v>
      </c>
      <c r="CJ38" s="57" t="n">
        <f aca="false">J38*(1-CI38)</f>
        <v>0.108567720986494</v>
      </c>
      <c r="CK38" s="57" t="n">
        <f aca="false">(1-EXP(-r_stroke*F38*rr_asa_stroke*dt))</f>
        <v>0.00899466988116693</v>
      </c>
      <c r="CL38" s="57" t="n">
        <f aca="false">(1-EXP(-r_ich*rr_asa_ich*dt))</f>
        <v>0.00102357767802375</v>
      </c>
      <c r="CM38" s="57" t="n">
        <f aca="false">(1-EXP(-r_mb*rr_asa_mb*dt))</f>
        <v>0.00951809672747972</v>
      </c>
      <c r="CN38" s="57" t="n">
        <f aca="false">(1-EXP(-r_mi*rr_asa_mi*dt))</f>
        <v>0.00213413516393479</v>
      </c>
      <c r="CO38" s="57" t="n">
        <f aca="false">(1-EXP(-r_tia*rr_asa_tia*dt))</f>
        <v>0.00312764565589152</v>
      </c>
      <c r="CP38" s="57" t="n">
        <f aca="false">(1-EXP(-r_minor*rr_asa_minor*dt))</f>
        <v>0.0278181950466747</v>
      </c>
      <c r="CQ38" s="57" t="n">
        <f aca="false">CJ38*CK38</f>
        <v>0.000976530810024152</v>
      </c>
      <c r="CR38" s="57" t="n">
        <f aca="false">CJ38*CL38</f>
        <v>0.000111127495755685</v>
      </c>
      <c r="CS38" s="57" t="n">
        <f aca="false">CJ38*CM38</f>
        <v>0.00103335806983148</v>
      </c>
      <c r="CT38" s="57" t="n">
        <f aca="false">CJ38*CN38</f>
        <v>0.000231698191025538</v>
      </c>
      <c r="CU38" s="57" t="n">
        <f aca="false">CJ38*CO38</f>
        <v>0.00033956136091345</v>
      </c>
      <c r="CV38" s="57" t="n">
        <f aca="false">CJ38*CP38</f>
        <v>0.00302015803817525</v>
      </c>
      <c r="CW38" s="57" t="n">
        <f aca="false">CQ38*f_stroke_fatal</f>
        <v>0.000231437801975724</v>
      </c>
      <c r="CX38" s="57" t="n">
        <f aca="false">CQ38*(1-f_stroke_fatal)*f_stroke_major</f>
        <v>0.000248115971680127</v>
      </c>
      <c r="CY38" s="57" t="n">
        <f aca="false">CQ38*(1-f_stroke_fatal)*(1-f_stroke_major)</f>
        <v>0.000496977036368301</v>
      </c>
      <c r="CZ38" s="57" t="n">
        <f aca="false">CR38*(1-f_bleed_fatal)</f>
        <v>0.000101792786112208</v>
      </c>
      <c r="DA38" s="57" t="n">
        <f aca="false">CS38*(1-f_bleed_fatal)</f>
        <v>0.000946555991965635</v>
      </c>
      <c r="DB38" s="57" t="n">
        <f aca="false">CT38*f_mi_fatal</f>
        <v>2.80354811140901E-005</v>
      </c>
      <c r="DC38" s="57" t="n">
        <f aca="false">CT38-DB38</f>
        <v>0.000203662709911448</v>
      </c>
      <c r="DD38" s="57" t="n">
        <f aca="false">CJ38-CQ38-CR38-CS38-DB38</f>
        <v>0.106418669129769</v>
      </c>
      <c r="DE38" s="19" t="n">
        <f aca="false">CW38*c_stroke_fatal+CX38*c_stroke_major+CY38*c_stroke_minor+CR38*c_ich+CS38*c_major_bleed+DB38*c_mi_fatal+DC38*c_mi_nonfatal+CU38*c_tia+CV38*c_minor_bleed</f>
        <v>50.7000398142863</v>
      </c>
      <c r="DF38" s="57" t="n">
        <f aca="false">dt*(DC38*dec_mi+DA38*dec_major_bleed+CV38*dec_minor_bleed+CU38*dec_tia)</f>
        <v>4.66944661675333E-005</v>
      </c>
      <c r="DG38" s="57" t="n">
        <f aca="false">J38*CI38+CW38+CR38-CZ38+CS38-DA38+DB38</f>
        <v>0.00252881566339179</v>
      </c>
      <c r="DH38" s="57" t="n">
        <f aca="false">AG38</f>
        <v>0.394247118849137</v>
      </c>
      <c r="DI38" s="57" t="n">
        <f aca="false">AB38+AC38+BF38+BA38+BB38+BC38+CY38+CZ38</f>
        <v>0.0524298597601009</v>
      </c>
      <c r="DJ38" s="57" t="n">
        <f aca="false">AA38+AZ38+BY38+CX38+CE38+BZ38+CA38+CB38</f>
        <v>0.0194818361885401</v>
      </c>
      <c r="DK38" s="57" t="n">
        <f aca="false">AD38+DD38+DA38</f>
        <v>0.110431525400977</v>
      </c>
      <c r="DL38" s="57" t="n">
        <f aca="false">K38+AJ38+BI38+CH38+DG38</f>
        <v>0.423409659801246</v>
      </c>
      <c r="DM38" s="58" t="n">
        <f aca="false">SUM(DH38:DL38)</f>
        <v>1</v>
      </c>
      <c r="DN38" s="19" t="n">
        <f aca="false">dt*(G38*Warfarin!$H$2+(H38+I38+J38)*c_aspirin)</f>
        <v>41.0484448026938</v>
      </c>
      <c r="DO38" s="19" t="n">
        <f aca="false">dt*(H38*c_lt_minor_stroke+I38*c_lt_major_stroke)</f>
        <v>270.37240393126</v>
      </c>
      <c r="DP38" s="19" t="n">
        <f aca="false">AH38+BG38+CF38+DE38</f>
        <v>243.90942362619</v>
      </c>
      <c r="DQ38" s="19" t="n">
        <f aca="false">DN38+DO38+DP38</f>
        <v>555.330272360144</v>
      </c>
      <c r="DR38" s="57" t="n">
        <f aca="false">dt*(G38*(u_af-dec_per_year_over_70*MAX(B38-ref_age,0))+H38*(u_minor_stroke-dec_per_year_over_70*MAX(B38-ref_age,0))+I38*(u_major_stroke-dec_per_year_over_70*MAX(B38-ref_age,0))+J38*(u_af-dec_per_year_over_70*MAX(B38-ref_age,0)))-AI38-BH38-CG38-DF38</f>
        <v>0.116156064964242</v>
      </c>
      <c r="DS38" s="57" t="n">
        <f aca="false">dt*(G38+H38+I38+J38)</f>
        <v>0.14797598000106</v>
      </c>
      <c r="DT38" s="19" t="n">
        <f aca="false">DQ38*C38</f>
        <v>492.972860157531</v>
      </c>
      <c r="DU38" s="19" t="n">
        <f aca="false">DN38*C38</f>
        <v>36.4391610660821</v>
      </c>
      <c r="DV38" s="19" t="n">
        <f aca="false">DP38*C38</f>
        <v>216.521108552856</v>
      </c>
      <c r="DW38" s="19" t="n">
        <f aca="false">DO38*C38</f>
        <v>240.012590538593</v>
      </c>
      <c r="DX38" s="57" t="n">
        <f aca="false">DR38*C38</f>
        <v>0.103113030965708</v>
      </c>
      <c r="DY38" s="57" t="n">
        <f aca="false">DS38*C38</f>
        <v>0.131359923502293</v>
      </c>
      <c r="DZ38" s="57" t="n">
        <f aca="false">T38+AS38+BR38+CQ38</f>
        <v>0.00456740900338767</v>
      </c>
      <c r="EA38" s="57" t="n">
        <f aca="false">U38+AT38+BS38+CR38</f>
        <v>0.000985788893252902</v>
      </c>
      <c r="EB38" s="57" t="n">
        <f aca="false">V38+AU38+BT38+CS38</f>
        <v>0.00503963398515081</v>
      </c>
      <c r="EC38" s="57" t="n">
        <f aca="false">G38*dt*C38</f>
        <v>0.0907064966107334</v>
      </c>
    </row>
    <row r="39" customFormat="false" ht="15" hidden="false" customHeight="false" outlineLevel="0" collapsed="false">
      <c r="A39" s="8" t="n">
        <v>33</v>
      </c>
      <c r="B39" s="54" t="n">
        <f aca="false">start_age+A39*dt</f>
        <v>78.25</v>
      </c>
      <c r="C39" s="16" t="n">
        <f aca="false">(1+disc_rate)^-(A39*dt)</f>
        <v>0.884413068809385</v>
      </c>
      <c r="D39" s="55" t="n">
        <f aca="false">IF(A39*dt&gt;=wane_start,(1-wane_decay)^(A39*dt-wane_start),1)</f>
        <v>1</v>
      </c>
      <c r="E39" s="25" t="n">
        <f aca="false">MIN(p_nonvasc_death*MIN(EXP(gomp_int+gomp_slope*INT(B39)),1)/qx_ref,0.999)</f>
        <v>0.0762163453506268</v>
      </c>
      <c r="F39" s="55" t="n">
        <f aca="false">rr_stroke_per_decade^((B39-ref_age)/10)</f>
        <v>1.39725376562396</v>
      </c>
      <c r="G39" s="57" t="n">
        <f aca="false">DH38</f>
        <v>0.394247118849137</v>
      </c>
      <c r="H39" s="57" t="n">
        <f aca="false">DI38</f>
        <v>0.0524298597601009</v>
      </c>
      <c r="I39" s="57" t="n">
        <f aca="false">DJ38</f>
        <v>0.0194818361885401</v>
      </c>
      <c r="J39" s="57" t="n">
        <f aca="false">DK38</f>
        <v>0.110431525400977</v>
      </c>
      <c r="K39" s="57" t="n">
        <f aca="false">DL38</f>
        <v>0.423409659801246</v>
      </c>
      <c r="L39" s="57" t="n">
        <f aca="false">1-EXP(LN(1-E39)*dt)</f>
        <v>0.0196242316180795</v>
      </c>
      <c r="M39" s="57" t="n">
        <f aca="false">G39*(1-L39)</f>
        <v>0.386510322074081</v>
      </c>
      <c r="N39" s="57" t="n">
        <f aca="false">IF(Warfarin!$B$2=1,EXP(LN(or_apx_stroke)*D39)*(1-EXP(-r_stroke*F39*dt))/(1-(1-EXP(-r_stroke*F39*dt))+EXP(LN(or_apx_stroke)*D39)*(1-EXP(-r_stroke*F39*dt))),(1-EXP(-r_stroke*F39*dt)))</f>
        <v>0.005618367516114</v>
      </c>
      <c r="O39" s="57" t="n">
        <f aca="false">IF(Warfarin!$B$2=1,EXP(LN(or_apx_ich)*D39)*(1-EXP(-r_ich*dt))/(1-(1-EXP(-r_ich*dt))+EXP(LN(or_apx_ich)*D39)*(1-EXP(-r_ich*dt))),(1-EXP(-r_ich*dt)))</f>
        <v>0.0020060281549299</v>
      </c>
      <c r="P39" s="57" t="n">
        <f aca="false">IF(Warfarin!$B$2=1,EXP(LN(or_apx_mb)*D39)*(1-EXP(-r_mb*dt))/(1-(1-EXP(-r_mb*dt))+EXP(LN(or_apx_mb)*D39)*(1-EXP(-r_mb*dt))),(1-EXP(-r_mb*dt)))</f>
        <v>0.00835410477572107</v>
      </c>
      <c r="Q39" s="57" t="n">
        <f aca="false">IF(Warfarin!$B$2=1,EXP(LN(or_apx_mi)*D39)*(1-EXP(-r_mi*dt))/(1-(1-EXP(-r_mi*dt))+EXP(LN(or_apx_mi)*D39)*(1-EXP(-r_mi*dt))),(1-EXP(-r_mi*dt)))</f>
        <v>0.00150338686144691</v>
      </c>
      <c r="R39" s="57" t="n">
        <f aca="false">(1-EXP(-r_tia*dt))</f>
        <v>0.0020060281549299</v>
      </c>
      <c r="S39" s="57" t="n">
        <f aca="false">(1-EXP(-r_minor*dt))</f>
        <v>0.0437937690785545</v>
      </c>
      <c r="T39" s="57" t="n">
        <f aca="false">M39*N39</f>
        <v>0.00217155703818377</v>
      </c>
      <c r="U39" s="57" t="n">
        <f aca="false">M39*O39</f>
        <v>0.000775350588251628</v>
      </c>
      <c r="V39" s="57" t="n">
        <f aca="false">M39*P39</f>
        <v>0.00322894772750457</v>
      </c>
      <c r="W39" s="57" t="n">
        <f aca="false">M39*Q39</f>
        <v>0.000581074540019786</v>
      </c>
      <c r="X39" s="57" t="n">
        <f aca="false">M39*R39</f>
        <v>0.000775350588251628</v>
      </c>
      <c r="Y39" s="57" t="n">
        <f aca="false">M39*S39</f>
        <v>0.01692674379139</v>
      </c>
      <c r="Z39" s="57" t="n">
        <f aca="false">T39*f_stroke_fatal</f>
        <v>0.000514659018049555</v>
      </c>
      <c r="AA39" s="57" t="n">
        <f aca="false">T39*(1-f_stroke_fatal)*f_stroke_major</f>
        <v>0.000551747040704695</v>
      </c>
      <c r="AB39" s="57" t="n">
        <f aca="false">T39*(1-f_stroke_fatal)*(1-f_stroke_major)</f>
        <v>0.00110515097942952</v>
      </c>
      <c r="AC39" s="57" t="n">
        <f aca="false">U39*(1-f_bleed_fatal)</f>
        <v>0.000710221138838491</v>
      </c>
      <c r="AD39" s="57" t="n">
        <f aca="false">V39*(1-f_bleed_fatal)</f>
        <v>0.00295771611839418</v>
      </c>
      <c r="AE39" s="57" t="n">
        <f aca="false">W39*f_mi_fatal</f>
        <v>7.03100193423941E-005</v>
      </c>
      <c r="AF39" s="57" t="n">
        <f aca="false">W39-AE39</f>
        <v>0.000510764520677392</v>
      </c>
      <c r="AG39" s="57" t="n">
        <f aca="false">M39-T39-U39-V39-AE39</f>
        <v>0.380264156700798</v>
      </c>
      <c r="AH39" s="19" t="n">
        <f aca="false">Z39*c_stroke_fatal+AA39*c_stroke_major+AB39*c_stroke_minor+U39*c_ich+V39*c_major_bleed+AE39*c_mi_fatal+AF39*c_mi_nonfatal+X39*c_tia+Y39*c_minor_bleed</f>
        <v>132.878140843984</v>
      </c>
      <c r="AI39" s="57" t="n">
        <f aca="false">dt*(AF39*dec_mi+AD39*dec_major_bleed+Y39*dec_minor_bleed+X39*dec_tia)</f>
        <v>0.000158966056963732</v>
      </c>
      <c r="AJ39" s="57" t="n">
        <f aca="false">G39*L39+Z39+U39-AC39+V39-AD39+AE39</f>
        <v>0.00865812687097143</v>
      </c>
      <c r="AK39" s="57" t="n">
        <f aca="false">1-EXP(LN(1-E39)*hr_death_prior_stroke*dt)</f>
        <v>0.0445611263260992</v>
      </c>
      <c r="AL39" s="57" t="n">
        <f aca="false">H39*(1-AK39)</f>
        <v>0.0500935261560713</v>
      </c>
      <c r="AM39" s="57" t="n">
        <f aca="false">(1-EXP(-r_stroke*F39*rr_stroke_prior*rr_asa_stroke*dt))</f>
        <v>0.0198800571252191</v>
      </c>
      <c r="AN39" s="57" t="n">
        <f aca="false">(1-EXP(-r_ich*rr_asa_ich*dt))</f>
        <v>0.00102357767802375</v>
      </c>
      <c r="AO39" s="57" t="n">
        <f aca="false">(1-EXP(-r_mb*rr_asa_mb*dt))</f>
        <v>0.00951809672747972</v>
      </c>
      <c r="AP39" s="57" t="n">
        <f aca="false">(1-EXP(-r_mi*rr_asa_mi*dt))</f>
        <v>0.00213413516393479</v>
      </c>
      <c r="AQ39" s="57" t="n">
        <f aca="false">(1-EXP(-r_tia*rr_asa_tia*dt))</f>
        <v>0.00312764565589152</v>
      </c>
      <c r="AR39" s="57" t="n">
        <f aca="false">(1-EXP(-r_minor*rr_asa_minor*dt))</f>
        <v>0.0278181950466747</v>
      </c>
      <c r="AS39" s="57" t="n">
        <f aca="false">AL39*AM39</f>
        <v>0.000995862161586356</v>
      </c>
      <c r="AT39" s="57" t="n">
        <f aca="false">AL39*AN39</f>
        <v>5.12746151868533E-005</v>
      </c>
      <c r="AU39" s="57" t="n">
        <f aca="false">AL39*AO39</f>
        <v>0.000476795027374022</v>
      </c>
      <c r="AV39" s="57" t="n">
        <f aca="false">AL39*AP39</f>
        <v>0.000106906355655159</v>
      </c>
      <c r="AW39" s="57" t="n">
        <f aca="false">AL39*AQ39</f>
        <v>0.000156674799470325</v>
      </c>
      <c r="AX39" s="57" t="n">
        <f aca="false">AL39*AR39</f>
        <v>0.00139351148118529</v>
      </c>
      <c r="AY39" s="57" t="n">
        <f aca="false">AS39*f_stroke_fatal_recur</f>
        <v>0.000370550351704667</v>
      </c>
      <c r="AZ39" s="57" t="n">
        <f aca="false">AS39*(1-f_stroke_fatal_recur)*f_stroke_major</f>
        <v>0.000208228832690602</v>
      </c>
      <c r="BA39" s="57" t="n">
        <f aca="false">AS39*(1-f_stroke_fatal_recur)*(1-f_stroke_major)</f>
        <v>0.000417082977191087</v>
      </c>
      <c r="BB39" s="57" t="n">
        <f aca="false">AT39*(1-f_bleed_fatal)</f>
        <v>4.69675475111576E-005</v>
      </c>
      <c r="BC39" s="57" t="n">
        <f aca="false">AU39*(1-f_bleed_fatal)</f>
        <v>0.000436744245074604</v>
      </c>
      <c r="BD39" s="57" t="n">
        <f aca="false">AV39*f_mi_fatal</f>
        <v>1.29356690342742E-005</v>
      </c>
      <c r="BE39" s="57" t="n">
        <f aca="false">AV39-BD39</f>
        <v>9.39706866208848E-005</v>
      </c>
      <c r="BF39" s="57" t="n">
        <f aca="false">AL39-AS39-AT39-AU39-BD39</f>
        <v>0.0485566586828898</v>
      </c>
      <c r="BG39" s="19" t="n">
        <f aca="false">AY39*c_stroke_fatal+AZ39*c_stroke_major+BA39*c_stroke_minor+AT39*c_ich+AU39*c_major_bleed+BD39*c_mi_fatal+BE39*c_mi_nonfatal+AW39*c_tia+AX39*c_minor_bleed</f>
        <v>41.0822936208124</v>
      </c>
      <c r="BH39" s="57" t="n">
        <f aca="false">dt*(BE39*dec_mi+BC39*dec_major_bleed+AX39*dec_minor_bleed+AW39*dec_tia)</f>
        <v>2.15449899938316E-005</v>
      </c>
      <c r="BI39" s="57" t="n">
        <f aca="false">H39*AK39+AY39+AT39-BB39+AU39-BC39+BD39</f>
        <v>0.00276417747474358</v>
      </c>
      <c r="BJ39" s="57" t="n">
        <f aca="false">1-EXP(LN(1-E39)*hr_death_prior_stroke*dt)</f>
        <v>0.0445611263260992</v>
      </c>
      <c r="BK39" s="57" t="n">
        <f aca="false">I39*(1-BJ39)</f>
        <v>0.0186137036250782</v>
      </c>
      <c r="BL39" s="57" t="n">
        <f aca="false">(1-EXP(-r_stroke*F39*rr_stroke_prior*rr_asa_stroke*dt))</f>
        <v>0.0198800571252191</v>
      </c>
      <c r="BM39" s="57" t="n">
        <f aca="false">(1-EXP(-r_ich*rr_asa_ich*dt))</f>
        <v>0.00102357767802375</v>
      </c>
      <c r="BN39" s="57" t="n">
        <f aca="false">(1-EXP(-r_mb*rr_asa_mb*dt))</f>
        <v>0.00951809672747972</v>
      </c>
      <c r="BO39" s="57" t="n">
        <f aca="false">(1-EXP(-r_mi*rr_asa_mi*dt))</f>
        <v>0.00213413516393479</v>
      </c>
      <c r="BP39" s="57" t="n">
        <f aca="false">(1-EXP(-r_tia*rr_asa_tia*dt))</f>
        <v>0.00312764565589152</v>
      </c>
      <c r="BQ39" s="57" t="n">
        <f aca="false">(1-EXP(-r_minor*rr_asa_minor*dt))</f>
        <v>0.0278181950466747</v>
      </c>
      <c r="BR39" s="57" t="n">
        <f aca="false">BK39*BL39</f>
        <v>0.000370041491378453</v>
      </c>
      <c r="BS39" s="57" t="n">
        <f aca="false">BK39*BM39</f>
        <v>1.90525715359798E-005</v>
      </c>
      <c r="BT39" s="57" t="n">
        <f aca="false">BK39*BN39</f>
        <v>0.000177167031560134</v>
      </c>
      <c r="BU39" s="57" t="n">
        <f aca="false">BK39*BO39</f>
        <v>3.97241594373399E-005</v>
      </c>
      <c r="BV39" s="57" t="n">
        <f aca="false">BK39*BP39</f>
        <v>5.82170692830282E-005</v>
      </c>
      <c r="BW39" s="57" t="n">
        <f aca="false">BK39*BQ39</f>
        <v>0.000517799637983422</v>
      </c>
      <c r="BX39" s="57" t="n">
        <f aca="false">BR39*f_stroke_fatal_recur</f>
        <v>0.000137688738527009</v>
      </c>
      <c r="BY39" s="57" t="n">
        <f aca="false">BR39*(1-f_stroke_fatal_recur)*f_stroke_major</f>
        <v>7.73734666995311E-005</v>
      </c>
      <c r="BZ39" s="57" t="n">
        <f aca="false">BR39*(1-f_stroke_fatal_recur)*(1-f_stroke_major)</f>
        <v>0.000154979286151914</v>
      </c>
      <c r="CA39" s="57" t="n">
        <f aca="false">BS39*(1-f_bleed_fatal)</f>
        <v>1.74521555269575E-005</v>
      </c>
      <c r="CB39" s="57" t="n">
        <f aca="false">BT39*(1-f_bleed_fatal)</f>
        <v>0.000162285000909083</v>
      </c>
      <c r="CC39" s="57" t="n">
        <f aca="false">BU39*f_mi_fatal</f>
        <v>4.80662329191813E-006</v>
      </c>
      <c r="CD39" s="57" t="n">
        <f aca="false">BU39-CC39</f>
        <v>3.49175361454218E-005</v>
      </c>
      <c r="CE39" s="57" t="n">
        <f aca="false">BK39-BR39-BS39-BT39-CC39</f>
        <v>0.0180426359073117</v>
      </c>
      <c r="CF39" s="19" t="n">
        <f aca="false">BX39*c_stroke_fatal+BY39*c_stroke_major+BZ39*c_stroke_minor+BS39*c_ich+BT39*c_major_bleed+CC39*c_mi_fatal+CD39*c_mi_nonfatal+BV39*c_tia+BW39*c_minor_bleed</f>
        <v>15.2653186224856</v>
      </c>
      <c r="CG39" s="57" t="n">
        <f aca="false">dt*(CD39*dec_mi+CB39*dec_major_bleed+BW39*dec_minor_bleed+BV39*dec_tia)</f>
        <v>8.00566638293744E-006</v>
      </c>
      <c r="CH39" s="57" t="n">
        <f aca="false">I39*BJ39+BX39+BS39-CA39+BT39-CB39+CC39</f>
        <v>0.00102711037194091</v>
      </c>
      <c r="CI39" s="57" t="n">
        <f aca="false">1-EXP(LN(1-E39)*dt)</f>
        <v>0.0196242316180795</v>
      </c>
      <c r="CJ39" s="57" t="n">
        <f aca="false">J39*(1-CI39)</f>
        <v>0.10826439156857</v>
      </c>
      <c r="CK39" s="57" t="n">
        <f aca="false">(1-EXP(-r_stroke*F39*rr_asa_stroke*dt))</f>
        <v>0.0090858916005192</v>
      </c>
      <c r="CL39" s="57" t="n">
        <f aca="false">(1-EXP(-r_ich*rr_asa_ich*dt))</f>
        <v>0.00102357767802375</v>
      </c>
      <c r="CM39" s="57" t="n">
        <f aca="false">(1-EXP(-r_mb*rr_asa_mb*dt))</f>
        <v>0.00951809672747972</v>
      </c>
      <c r="CN39" s="57" t="n">
        <f aca="false">(1-EXP(-r_mi*rr_asa_mi*dt))</f>
        <v>0.00213413516393479</v>
      </c>
      <c r="CO39" s="57" t="n">
        <f aca="false">(1-EXP(-r_tia*rr_asa_tia*dt))</f>
        <v>0.00312764565589152</v>
      </c>
      <c r="CP39" s="57" t="n">
        <f aca="false">(1-EXP(-r_minor*rr_asa_minor*dt))</f>
        <v>0.0278181950466747</v>
      </c>
      <c r="CQ39" s="57" t="n">
        <f aca="false">CJ39*CK39</f>
        <v>0.000983678525988196</v>
      </c>
      <c r="CR39" s="57" t="n">
        <f aca="false">CJ39*CL39</f>
        <v>0.000110817014534411</v>
      </c>
      <c r="CS39" s="57" t="n">
        <f aca="false">CJ39*CM39</f>
        <v>0.00103047095109139</v>
      </c>
      <c r="CT39" s="57" t="n">
        <f aca="false">CJ39*CN39</f>
        <v>0.000231050845048492</v>
      </c>
      <c r="CU39" s="57" t="n">
        <f aca="false">CJ39*CO39</f>
        <v>0.000338612653977178</v>
      </c>
      <c r="CV39" s="57" t="n">
        <f aca="false">CJ39*CP39</f>
        <v>0.00301171996126406</v>
      </c>
      <c r="CW39" s="57" t="n">
        <f aca="false">CQ39*f_stroke_fatal</f>
        <v>0.000233131810659203</v>
      </c>
      <c r="CX39" s="57" t="n">
        <f aca="false">CQ39*(1-f_stroke_fatal)*f_stroke_major</f>
        <v>0.000249932056204555</v>
      </c>
      <c r="CY39" s="57" t="n">
        <f aca="false">CQ39*(1-f_stroke_fatal)*(1-f_stroke_major)</f>
        <v>0.000500614659124439</v>
      </c>
      <c r="CZ39" s="57" t="n">
        <f aca="false">CR39*(1-f_bleed_fatal)</f>
        <v>0.00010150838531352</v>
      </c>
      <c r="DA39" s="57" t="n">
        <f aca="false">CS39*(1-f_bleed_fatal)</f>
        <v>0.000943911391199717</v>
      </c>
      <c r="DB39" s="57" t="n">
        <f aca="false">CT39*f_mi_fatal</f>
        <v>2.79571522508675E-005</v>
      </c>
      <c r="DC39" s="57" t="n">
        <f aca="false">CT39-DB39</f>
        <v>0.000203093692797624</v>
      </c>
      <c r="DD39" s="57" t="n">
        <f aca="false">CJ39-CQ39-CR39-CS39-DB39</f>
        <v>0.106111467924706</v>
      </c>
      <c r="DE39" s="19" t="n">
        <f aca="false">CW39*c_stroke_fatal+CX39*c_stroke_major+CY39*c_stroke_minor+CR39*c_ich+CS39*c_major_bleed+DB39*c_mi_fatal+DC39*c_mi_nonfatal+CU39*c_tia+CV39*c_minor_bleed</f>
        <v>50.9232851747054</v>
      </c>
      <c r="DF39" s="57" t="n">
        <f aca="false">dt*(DC39*dec_mi+DA39*dec_major_bleed+CV39*dec_minor_bleed+CU39*dec_tia)</f>
        <v>4.65640056115398E-005</v>
      </c>
      <c r="DG39" s="57" t="n">
        <f aca="false">J39*CI39+CW39+CR39-CZ39+CS39-DA39+DB39</f>
        <v>0.00252409098442924</v>
      </c>
      <c r="DH39" s="57" t="n">
        <f aca="false">AG39</f>
        <v>0.380264156700798</v>
      </c>
      <c r="DI39" s="57" t="n">
        <f aca="false">AB39+AC39+BF39+BA39+BB39+BC39+CY39+CZ39</f>
        <v>0.0518749486153727</v>
      </c>
      <c r="DJ39" s="57" t="n">
        <f aca="false">AA39+AZ39+BY39+CX39+CE39+BZ39+CA39+CB39</f>
        <v>0.0194646337461991</v>
      </c>
      <c r="DK39" s="57" t="n">
        <f aca="false">AD39+DD39+DA39</f>
        <v>0.110013095434299</v>
      </c>
      <c r="DL39" s="57" t="n">
        <f aca="false">K39+AJ39+BI39+CH39+DG39</f>
        <v>0.438383165503331</v>
      </c>
      <c r="DM39" s="58" t="n">
        <f aca="false">SUM(DH39:DL39)</f>
        <v>1</v>
      </c>
      <c r="DN39" s="19" t="n">
        <f aca="false">dt*(G39*Warfarin!$H$2+(H39+I39+J39)*c_aspirin)</f>
        <v>39.6499473745763</v>
      </c>
      <c r="DO39" s="19" t="n">
        <f aca="false">dt*(H39*c_lt_minor_stroke+I39*c_lt_major_stroke)</f>
        <v>268.925536698027</v>
      </c>
      <c r="DP39" s="19" t="n">
        <f aca="false">AH39+BG39+CF39+DE39</f>
        <v>240.149038261987</v>
      </c>
      <c r="DQ39" s="19" t="n">
        <f aca="false">DN39+DO39+DP39</f>
        <v>548.724522334591</v>
      </c>
      <c r="DR39" s="57" t="n">
        <f aca="false">dt*(G39*(u_af-dec_per_year_over_70*MAX(B39-ref_age,0))+H39*(u_minor_stroke-dec_per_year_over_70*MAX(B39-ref_age,0))+I39*(u_major_stroke-dec_per_year_over_70*MAX(B39-ref_age,0))+J39*(u_af-dec_per_year_over_70*MAX(B39-ref_age,0)))-AI39-BH39-CG39-DF39</f>
        <v>0.113067985028561</v>
      </c>
      <c r="DS39" s="57" t="n">
        <f aca="false">dt*(G39+H39+I39+J39)</f>
        <v>0.144147585049689</v>
      </c>
      <c r="DT39" s="19" t="n">
        <f aca="false">DQ39*C39</f>
        <v>485.299138728899</v>
      </c>
      <c r="DU39" s="19" t="n">
        <f aca="false">DN39*C39</f>
        <v>35.0669316356797</v>
      </c>
      <c r="DV39" s="19" t="n">
        <f aca="false">DP39*C39</f>
        <v>212.390947900907</v>
      </c>
      <c r="DW39" s="19" t="n">
        <f aca="false">DO39*C39</f>
        <v>237.841259192313</v>
      </c>
      <c r="DX39" s="57" t="n">
        <f aca="false">DR39*C39</f>
        <v>0.0999988036232029</v>
      </c>
      <c r="DY39" s="57" t="n">
        <f aca="false">DS39*C39</f>
        <v>0.127486008055257</v>
      </c>
      <c r="DZ39" s="57" t="n">
        <f aca="false">T39+AS39+BR39+CQ39</f>
        <v>0.00452113921713678</v>
      </c>
      <c r="EA39" s="57" t="n">
        <f aca="false">U39+AT39+BS39+CR39</f>
        <v>0.000956494789508872</v>
      </c>
      <c r="EB39" s="57" t="n">
        <f aca="false">V39+AU39+BT39+CS39</f>
        <v>0.00491338073753012</v>
      </c>
      <c r="EC39" s="57" t="n">
        <f aca="false">G39*dt*C39</f>
        <v>0.0871693260626558</v>
      </c>
    </row>
    <row r="40" customFormat="false" ht="15" hidden="false" customHeight="false" outlineLevel="0" collapsed="false">
      <c r="A40" s="8" t="n">
        <v>34</v>
      </c>
      <c r="B40" s="54" t="n">
        <f aca="false">start_age+A40*dt</f>
        <v>78.5</v>
      </c>
      <c r="C40" s="16" t="n">
        <f aca="false">(1+disc_rate)^-(A40*dt)</f>
        <v>0.881127266865465</v>
      </c>
      <c r="D40" s="55" t="n">
        <f aca="false">IF(A40*dt&gt;=wane_start,(1-wane_decay)^(A40*dt-wane_start),1)</f>
        <v>1</v>
      </c>
      <c r="E40" s="25" t="n">
        <f aca="false">MIN(p_nonvasc_death*MIN(EXP(gomp_int+gomp_slope*INT(B40)),1)/qx_ref,0.999)</f>
        <v>0.0762163453506268</v>
      </c>
      <c r="F40" s="55" t="n">
        <f aca="false">rr_stroke_per_decade^((B40-ref_age)/10)</f>
        <v>1.41148923478537</v>
      </c>
      <c r="G40" s="57" t="n">
        <f aca="false">DH39</f>
        <v>0.380264156700798</v>
      </c>
      <c r="H40" s="57" t="n">
        <f aca="false">DI39</f>
        <v>0.0518749486153727</v>
      </c>
      <c r="I40" s="57" t="n">
        <f aca="false">DJ39</f>
        <v>0.0194646337461991</v>
      </c>
      <c r="J40" s="57" t="n">
        <f aca="false">DK39</f>
        <v>0.110013095434299</v>
      </c>
      <c r="K40" s="57" t="n">
        <f aca="false">DL39</f>
        <v>0.438383165503331</v>
      </c>
      <c r="L40" s="57" t="n">
        <f aca="false">1-EXP(LN(1-E40)*dt)</f>
        <v>0.0196242316180795</v>
      </c>
      <c r="M40" s="57" t="n">
        <f aca="false">G40*(1-L40)</f>
        <v>0.372801764813648</v>
      </c>
      <c r="N40" s="57" t="n">
        <f aca="false">IF(Warfarin!$B$2=1,EXP(LN(or_apx_stroke)*D40)*(1-EXP(-r_stroke*F40*dt))/(1-(1-EXP(-r_stroke*F40*dt))+EXP(LN(or_apx_stroke)*D40)*(1-EXP(-r_stroke*F40*dt))),(1-EXP(-r_stroke*F40*dt)))</f>
        <v>0.00567544570026701</v>
      </c>
      <c r="O40" s="57" t="n">
        <f aca="false">IF(Warfarin!$B$2=1,EXP(LN(or_apx_ich)*D40)*(1-EXP(-r_ich*dt))/(1-(1-EXP(-r_ich*dt))+EXP(LN(or_apx_ich)*D40)*(1-EXP(-r_ich*dt))),(1-EXP(-r_ich*dt)))</f>
        <v>0.0020060281549299</v>
      </c>
      <c r="P40" s="57" t="n">
        <f aca="false">IF(Warfarin!$B$2=1,EXP(LN(or_apx_mb)*D40)*(1-EXP(-r_mb*dt))/(1-(1-EXP(-r_mb*dt))+EXP(LN(or_apx_mb)*D40)*(1-EXP(-r_mb*dt))),(1-EXP(-r_mb*dt)))</f>
        <v>0.00835410477572107</v>
      </c>
      <c r="Q40" s="57" t="n">
        <f aca="false">IF(Warfarin!$B$2=1,EXP(LN(or_apx_mi)*D40)*(1-EXP(-r_mi*dt))/(1-(1-EXP(-r_mi*dt))+EXP(LN(or_apx_mi)*D40)*(1-EXP(-r_mi*dt))),(1-EXP(-r_mi*dt)))</f>
        <v>0.00150338686144691</v>
      </c>
      <c r="R40" s="57" t="n">
        <f aca="false">(1-EXP(-r_tia*dt))</f>
        <v>0.0020060281549299</v>
      </c>
      <c r="S40" s="57" t="n">
        <f aca="false">(1-EXP(-r_minor*dt))</f>
        <v>0.0437937690785545</v>
      </c>
      <c r="T40" s="57" t="n">
        <f aca="false">M40*N40</f>
        <v>0.00211581617316357</v>
      </c>
      <c r="U40" s="57" t="n">
        <f aca="false">M40*O40</f>
        <v>0.000747850836423731</v>
      </c>
      <c r="V40" s="57" t="n">
        <f aca="false">M40*P40</f>
        <v>0.00311442500382694</v>
      </c>
      <c r="W40" s="57" t="n">
        <f aca="false">M40*Q40</f>
        <v>0.000560465275145059</v>
      </c>
      <c r="X40" s="57" t="n">
        <f aca="false">M40*R40</f>
        <v>0.000747850836423731</v>
      </c>
      <c r="Y40" s="57" t="n">
        <f aca="false">M40*S40</f>
        <v>0.0163263944003265</v>
      </c>
      <c r="Z40" s="57" t="n">
        <f aca="false">T40*f_stroke_fatal</f>
        <v>0.000501448433039767</v>
      </c>
      <c r="AA40" s="57" t="n">
        <f aca="false">T40*(1-f_stroke_fatal)*f_stroke_major</f>
        <v>0.000537584457461228</v>
      </c>
      <c r="AB40" s="57" t="n">
        <f aca="false">T40*(1-f_stroke_fatal)*(1-f_stroke_major)</f>
        <v>0.00107678328266258</v>
      </c>
      <c r="AC40" s="57" t="n">
        <f aca="false">U40*(1-f_bleed_fatal)</f>
        <v>0.000685031366164138</v>
      </c>
      <c r="AD40" s="57" t="n">
        <f aca="false">V40*(1-f_bleed_fatal)</f>
        <v>0.00285281330350548</v>
      </c>
      <c r="AE40" s="57" t="n">
        <f aca="false">W40*f_mi_fatal</f>
        <v>6.78162982925522E-005</v>
      </c>
      <c r="AF40" s="57" t="n">
        <f aca="false">W40-AE40</f>
        <v>0.000492648976852507</v>
      </c>
      <c r="AG40" s="57" t="n">
        <f aca="false">M40-T40-U40-V40-AE40</f>
        <v>0.366755856501941</v>
      </c>
      <c r="AH40" s="19" t="n">
        <f aca="false">Z40*c_stroke_fatal+AA40*c_stroke_major+AB40*c_stroke_minor+U40*c_ich+V40*c_major_bleed+AE40*c_mi_fatal+AF40*c_mi_nonfatal+X40*c_tia+Y40*c_minor_bleed</f>
        <v>128.951487566876</v>
      </c>
      <c r="AI40" s="57" t="n">
        <f aca="false">dt*(AF40*dec_mi+AD40*dec_major_bleed+Y40*dec_minor_bleed+X40*dec_tia)</f>
        <v>0.000153327927346239</v>
      </c>
      <c r="AJ40" s="57" t="n">
        <f aca="false">G40*L40+Z40+U40-AC40+V40-AD40+AE40</f>
        <v>0.00835608778906351</v>
      </c>
      <c r="AK40" s="57" t="n">
        <f aca="false">1-EXP(LN(1-E40)*hr_death_prior_stroke*dt)</f>
        <v>0.0445611263260992</v>
      </c>
      <c r="AL40" s="57" t="n">
        <f aca="false">H40*(1-AK40)</f>
        <v>0.0495633424769631</v>
      </c>
      <c r="AM40" s="57" t="n">
        <f aca="false">(1-EXP(-r_stroke*F40*rr_stroke_prior*rr_asa_stroke*dt))</f>
        <v>0.0200805514191222</v>
      </c>
      <c r="AN40" s="57" t="n">
        <f aca="false">(1-EXP(-r_ich*rr_asa_ich*dt))</f>
        <v>0.00102357767802375</v>
      </c>
      <c r="AO40" s="57" t="n">
        <f aca="false">(1-EXP(-r_mb*rr_asa_mb*dt))</f>
        <v>0.00951809672747972</v>
      </c>
      <c r="AP40" s="57" t="n">
        <f aca="false">(1-EXP(-r_mi*rr_asa_mi*dt))</f>
        <v>0.00213413516393479</v>
      </c>
      <c r="AQ40" s="57" t="n">
        <f aca="false">(1-EXP(-r_tia*rr_asa_tia*dt))</f>
        <v>0.00312764565589152</v>
      </c>
      <c r="AR40" s="57" t="n">
        <f aca="false">(1-EXP(-r_minor*rr_asa_minor*dt))</f>
        <v>0.0278181950466747</v>
      </c>
      <c r="AS40" s="57" t="n">
        <f aca="false">AL40*AM40</f>
        <v>0.000995259247112224</v>
      </c>
      <c r="AT40" s="57" t="n">
        <f aca="false">AL40*AN40</f>
        <v>5.07319310076656E-005</v>
      </c>
      <c r="AU40" s="57" t="n">
        <f aca="false">AL40*AO40</f>
        <v>0.000471748687832939</v>
      </c>
      <c r="AV40" s="57" t="n">
        <f aca="false">AL40*AP40</f>
        <v>0.00010577487202223</v>
      </c>
      <c r="AW40" s="57" t="n">
        <f aca="false">AL40*AQ40</f>
        <v>0.000155016572789537</v>
      </c>
      <c r="AX40" s="57" t="n">
        <f aca="false">AL40*AR40</f>
        <v>0.0013787627281893</v>
      </c>
      <c r="AY40" s="57" t="n">
        <f aca="false">AS40*f_stroke_fatal_recur</f>
        <v>0.000370326013257987</v>
      </c>
      <c r="AZ40" s="57" t="n">
        <f aca="false">AS40*(1-f_stroke_fatal_recur)*f_stroke_major</f>
        <v>0.000208102766873461</v>
      </c>
      <c r="BA40" s="57" t="n">
        <f aca="false">AS40*(1-f_stroke_fatal_recur)*(1-f_stroke_major)</f>
        <v>0.000416830466980776</v>
      </c>
      <c r="BB40" s="57" t="n">
        <f aca="false">AT40*(1-f_bleed_fatal)</f>
        <v>4.64704488030217E-005</v>
      </c>
      <c r="BC40" s="57" t="n">
        <f aca="false">AU40*(1-f_bleed_fatal)</f>
        <v>0.000432121798054972</v>
      </c>
      <c r="BD40" s="57" t="n">
        <f aca="false">AV40*f_mi_fatal</f>
        <v>1.27987595146898E-005</v>
      </c>
      <c r="BE40" s="57" t="n">
        <f aca="false">AV40-BD40</f>
        <v>9.29761125075401E-005</v>
      </c>
      <c r="BF40" s="57" t="n">
        <f aca="false">AL40-AS40-AT40-AU40-BD40</f>
        <v>0.0480328038514956</v>
      </c>
      <c r="BG40" s="19" t="n">
        <f aca="false">AY40*c_stroke_fatal+AZ40*c_stroke_major+BA40*c_stroke_minor+AT40*c_ich+AU40*c_major_bleed+BD40*c_mi_fatal+BE40*c_mi_nonfatal+AW40*c_tia+AX40*c_minor_bleed</f>
        <v>40.9901118475334</v>
      </c>
      <c r="BH40" s="57" t="n">
        <f aca="false">dt*(BE40*dec_mi+BC40*dec_major_bleed+AX40*dec_minor_bleed+AW40*dec_tia)</f>
        <v>2.13169604870708E-005</v>
      </c>
      <c r="BI40" s="57" t="n">
        <f aca="false">H40*AK40+AY40+AT40-BB40+AU40-BC40+BD40</f>
        <v>0.00273861928316481</v>
      </c>
      <c r="BJ40" s="57" t="n">
        <f aca="false">1-EXP(LN(1-E40)*hr_death_prior_stroke*dt)</f>
        <v>0.0445611263260992</v>
      </c>
      <c r="BK40" s="57" t="n">
        <f aca="false">I40*(1-BJ40)</f>
        <v>0.0185972677429434</v>
      </c>
      <c r="BL40" s="57" t="n">
        <f aca="false">(1-EXP(-r_stroke*F40*rr_stroke_prior*rr_asa_stroke*dt))</f>
        <v>0.0200805514191222</v>
      </c>
      <c r="BM40" s="57" t="n">
        <f aca="false">(1-EXP(-r_ich*rr_asa_ich*dt))</f>
        <v>0.00102357767802375</v>
      </c>
      <c r="BN40" s="57" t="n">
        <f aca="false">(1-EXP(-r_mb*rr_asa_mb*dt))</f>
        <v>0.00951809672747972</v>
      </c>
      <c r="BO40" s="57" t="n">
        <f aca="false">(1-EXP(-r_mi*rr_asa_mi*dt))</f>
        <v>0.00213413516393479</v>
      </c>
      <c r="BP40" s="57" t="n">
        <f aca="false">(1-EXP(-r_tia*rr_asa_tia*dt))</f>
        <v>0.00312764565589152</v>
      </c>
      <c r="BQ40" s="57" t="n">
        <f aca="false">(1-EXP(-r_minor*rr_asa_minor*dt))</f>
        <v>0.0278181950466747</v>
      </c>
      <c r="BR40" s="57" t="n">
        <f aca="false">BK40*BL40</f>
        <v>0.000373443391167359</v>
      </c>
      <c r="BS40" s="57" t="n">
        <f aca="false">BK40*BM40</f>
        <v>1.9035748133908E-005</v>
      </c>
      <c r="BT40" s="57" t="n">
        <f aca="false">BK40*BN40</f>
        <v>0.000177010593244174</v>
      </c>
      <c r="BU40" s="57" t="n">
        <f aca="false">BK40*BO40</f>
        <v>3.96890830433258E-005</v>
      </c>
      <c r="BV40" s="57" t="n">
        <f aca="false">BK40*BP40</f>
        <v>5.81656636676686E-005</v>
      </c>
      <c r="BW40" s="57" t="n">
        <f aca="false">BK40*BQ40</f>
        <v>0.000517342421408433</v>
      </c>
      <c r="BX40" s="57" t="n">
        <f aca="false">BR40*f_stroke_fatal_recur</f>
        <v>0.000138954551419463</v>
      </c>
      <c r="BY40" s="57" t="n">
        <f aca="false">BR40*(1-f_stroke_fatal_recur)*f_stroke_major</f>
        <v>7.80847836360496E-005</v>
      </c>
      <c r="BZ40" s="57" t="n">
        <f aca="false">BR40*(1-f_stroke_fatal_recur)*(1-f_stroke_major)</f>
        <v>0.000156404056111847</v>
      </c>
      <c r="CA40" s="57" t="n">
        <f aca="false">BS40*(1-f_bleed_fatal)</f>
        <v>1.74367452906597E-005</v>
      </c>
      <c r="CB40" s="57" t="n">
        <f aca="false">BT40*(1-f_bleed_fatal)</f>
        <v>0.000162141703411664</v>
      </c>
      <c r="CC40" s="57" t="n">
        <f aca="false">BU40*f_mi_fatal</f>
        <v>4.80237904824242E-006</v>
      </c>
      <c r="CD40" s="57" t="n">
        <f aca="false">BU40-CC40</f>
        <v>3.48867039950834E-005</v>
      </c>
      <c r="CE40" s="57" t="n">
        <f aca="false">BK40-BR40-BS40-BT40-CC40</f>
        <v>0.0180229756313498</v>
      </c>
      <c r="CF40" s="19" t="n">
        <f aca="false">BX40*c_stroke_fatal+BY40*c_stroke_major+BZ40*c_stroke_minor+BS40*c_ich+BT40*c_major_bleed+CC40*c_mi_fatal+CD40*c_mi_nonfatal+BV40*c_tia+BW40*c_minor_bleed</f>
        <v>15.3804010533812</v>
      </c>
      <c r="CG40" s="57" t="n">
        <f aca="false">dt*(CD40*dec_mi+CB40*dec_major_bleed+BW40*dec_minor_bleed+BV40*dec_tia)</f>
        <v>7.99859738733449E-006</v>
      </c>
      <c r="CH40" s="57" t="n">
        <f aca="false">I40*BJ40+BX40+BS40-CA40+BT40-CB40+CC40</f>
        <v>0.00102759082639909</v>
      </c>
      <c r="CI40" s="57" t="n">
        <f aca="false">1-EXP(LN(1-E40)*dt)</f>
        <v>0.0196242316180795</v>
      </c>
      <c r="CJ40" s="57" t="n">
        <f aca="false">J40*(1-CI40)</f>
        <v>0.107854172968475</v>
      </c>
      <c r="CK40" s="57" t="n">
        <f aca="false">(1-EXP(-r_stroke*F40*rr_asa_stroke*dt))</f>
        <v>0.00917803417723928</v>
      </c>
      <c r="CL40" s="57" t="n">
        <f aca="false">(1-EXP(-r_ich*rr_asa_ich*dt))</f>
        <v>0.00102357767802375</v>
      </c>
      <c r="CM40" s="57" t="n">
        <f aca="false">(1-EXP(-r_mb*rr_asa_mb*dt))</f>
        <v>0.00951809672747972</v>
      </c>
      <c r="CN40" s="57" t="n">
        <f aca="false">(1-EXP(-r_mi*rr_asa_mi*dt))</f>
        <v>0.00213413516393479</v>
      </c>
      <c r="CO40" s="57" t="n">
        <f aca="false">(1-EXP(-r_tia*rr_asa_tia*dt))</f>
        <v>0.00312764565589152</v>
      </c>
      <c r="CP40" s="57" t="n">
        <f aca="false">(1-EXP(-r_minor*rr_asa_minor*dt))</f>
        <v>0.0278181950466747</v>
      </c>
      <c r="CQ40" s="57" t="n">
        <f aca="false">CJ40*CK40</f>
        <v>0.00098988928566254</v>
      </c>
      <c r="CR40" s="57" t="n">
        <f aca="false">CJ40*CL40</f>
        <v>0.000110397123932243</v>
      </c>
      <c r="CS40" s="57" t="n">
        <f aca="false">CJ40*CM40</f>
        <v>0.00102656645077627</v>
      </c>
      <c r="CT40" s="57" t="n">
        <f aca="false">CJ40*CN40</f>
        <v>0.000230175383109128</v>
      </c>
      <c r="CU40" s="57" t="n">
        <f aca="false">CJ40*CO40</f>
        <v>0.000337329635554623</v>
      </c>
      <c r="CV40" s="57" t="n">
        <f aca="false">CJ40*CP40</f>
        <v>0.00300030842023483</v>
      </c>
      <c r="CW40" s="57" t="n">
        <f aca="false">CQ40*f_stroke_fatal</f>
        <v>0.000234603760702022</v>
      </c>
      <c r="CX40" s="57" t="n">
        <f aca="false">CQ40*(1-f_stroke_fatal)*f_stroke_major</f>
        <v>0.000251510079811853</v>
      </c>
      <c r="CY40" s="57" t="n">
        <f aca="false">CQ40*(1-f_stroke_fatal)*(1-f_stroke_major)</f>
        <v>0.000503775445148666</v>
      </c>
      <c r="CZ40" s="57" t="n">
        <f aca="false">CR40*(1-f_bleed_fatal)</f>
        <v>0.000101123765521935</v>
      </c>
      <c r="DA40" s="57" t="n">
        <f aca="false">CS40*(1-f_bleed_fatal)</f>
        <v>0.000940334868911066</v>
      </c>
      <c r="DB40" s="57" t="n">
        <f aca="false">CT40*f_mi_fatal</f>
        <v>2.78512213562044E-005</v>
      </c>
      <c r="DC40" s="57" t="n">
        <f aca="false">CT40-DB40</f>
        <v>0.000202324161752923</v>
      </c>
      <c r="DD40" s="57" t="n">
        <f aca="false">CJ40-CQ40-CR40-CS40-DB40</f>
        <v>0.105699468886748</v>
      </c>
      <c r="DE40" s="19" t="n">
        <f aca="false">CW40*c_stroke_fatal+CX40*c_stroke_major+CY40*c_stroke_minor+CR40*c_ich+CS40*c_major_bleed+DB40*c_mi_fatal+DC40*c_mi_nonfatal+CU40*c_tia+CV40*c_minor_bleed</f>
        <v>51.0975187091868</v>
      </c>
      <c r="DF40" s="57" t="n">
        <f aca="false">dt*(DC40*dec_mi+DA40*dec_major_bleed+CV40*dec_minor_bleed+CU40*dec_tia)</f>
        <v>4.63875725210281E-005</v>
      </c>
      <c r="DG40" s="57" t="n">
        <f aca="false">J40*CI40+CW40+CR40-CZ40+CS40-DA40+DB40</f>
        <v>0.00251688238815832</v>
      </c>
      <c r="DH40" s="57" t="n">
        <f aca="false">AG40</f>
        <v>0.366755856501941</v>
      </c>
      <c r="DI40" s="57" t="n">
        <f aca="false">AB40+AC40+BF40+BA40+BB40+BC40+CY40+CZ40</f>
        <v>0.0512949404248317</v>
      </c>
      <c r="DJ40" s="57" t="n">
        <f aca="false">AA40+AZ40+BY40+CX40+CE40+BZ40+CA40+CB40</f>
        <v>0.0194342402239465</v>
      </c>
      <c r="DK40" s="57" t="n">
        <f aca="false">AD40+DD40+DA40</f>
        <v>0.109492617059164</v>
      </c>
      <c r="DL40" s="57" t="n">
        <f aca="false">K40+AJ40+BI40+CH40+DG40</f>
        <v>0.453022345790117</v>
      </c>
      <c r="DM40" s="58" t="n">
        <f aca="false">SUM(DH40:DL40)</f>
        <v>1</v>
      </c>
      <c r="DN40" s="19" t="n">
        <f aca="false">dt*(G40*Warfarin!$H$2+(H40+I40+J40)*c_aspirin)</f>
        <v>38.2971153646932</v>
      </c>
      <c r="DO40" s="19" t="n">
        <f aca="false">dt*(H40*c_lt_minor_stroke+I40*c_lt_major_stroke)</f>
        <v>267.313113318282</v>
      </c>
      <c r="DP40" s="19" t="n">
        <f aca="false">AH40+BG40+CF40+DE40</f>
        <v>236.419519176978</v>
      </c>
      <c r="DQ40" s="19" t="n">
        <f aca="false">DN40+DO40+DP40</f>
        <v>542.029747859953</v>
      </c>
      <c r="DR40" s="57" t="n">
        <f aca="false">dt*(G40*(u_af-dec_per_year_over_70*MAX(B40-ref_age,0))+H40*(u_minor_stroke-dec_per_year_over_70*MAX(B40-ref_age,0))+I40*(u_major_stroke-dec_per_year_over_70*MAX(B40-ref_age,0))+J40*(u_af-dec_per_year_over_70*MAX(B40-ref_age,0)))-AI40-BH40-CG40-DF40</f>
        <v>0.110051053286736</v>
      </c>
      <c r="DS40" s="57" t="n">
        <f aca="false">dt*(G40+H40+I40+J40)</f>
        <v>0.140404208624167</v>
      </c>
      <c r="DT40" s="19" t="n">
        <f aca="false">DQ40*C40</f>
        <v>477.597190291618</v>
      </c>
      <c r="DU40" s="19" t="n">
        <f aca="false">DN40*C40</f>
        <v>33.7446325901235</v>
      </c>
      <c r="DV40" s="19" t="n">
        <f aca="false">DP40*C40</f>
        <v>208.315684766058</v>
      </c>
      <c r="DW40" s="19" t="n">
        <f aca="false">DO40*C40</f>
        <v>235.536872935436</v>
      </c>
      <c r="DX40" s="57" t="n">
        <f aca="false">DR40*C40</f>
        <v>0.0969689837982073</v>
      </c>
      <c r="DY40" s="57" t="n">
        <f aca="false">DS40*C40</f>
        <v>0.123713976601421</v>
      </c>
      <c r="DZ40" s="57" t="n">
        <f aca="false">T40+AS40+BR40+CQ40</f>
        <v>0.0044744080971057</v>
      </c>
      <c r="EA40" s="57" t="n">
        <f aca="false">U40+AT40+BS40+CR40</f>
        <v>0.000928015639497548</v>
      </c>
      <c r="EB40" s="57" t="n">
        <f aca="false">V40+AU40+BT40+CS40</f>
        <v>0.00478975073568033</v>
      </c>
      <c r="EC40" s="57" t="n">
        <f aca="false">G40*dt*C40</f>
        <v>0.0837652792701688</v>
      </c>
    </row>
    <row r="41" customFormat="false" ht="15" hidden="false" customHeight="false" outlineLevel="0" collapsed="false">
      <c r="A41" s="8" t="n">
        <v>35</v>
      </c>
      <c r="B41" s="54" t="n">
        <f aca="false">start_age+A41*dt</f>
        <v>78.75</v>
      </c>
      <c r="C41" s="16" t="n">
        <f aca="false">(1+disc_rate)^-(A41*dt)</f>
        <v>0.877853672446281</v>
      </c>
      <c r="D41" s="55" t="n">
        <f aca="false">IF(A41*dt&gt;=wane_start,(1-wane_decay)^(A41*dt-wane_start),1)</f>
        <v>1</v>
      </c>
      <c r="E41" s="25" t="n">
        <f aca="false">MIN(p_nonvasc_death*MIN(EXP(gomp_int+gomp_slope*INT(B41)),1)/qx_ref,0.999)</f>
        <v>0.0762163453506268</v>
      </c>
      <c r="F41" s="55" t="n">
        <f aca="false">rr_stroke_per_decade^((B41-ref_age)/10)</f>
        <v>1.42586973743121</v>
      </c>
      <c r="G41" s="57" t="n">
        <f aca="false">DH40</f>
        <v>0.366755856501941</v>
      </c>
      <c r="H41" s="57" t="n">
        <f aca="false">DI40</f>
        <v>0.0512949404248317</v>
      </c>
      <c r="I41" s="57" t="n">
        <f aca="false">DJ40</f>
        <v>0.0194342402239465</v>
      </c>
      <c r="J41" s="57" t="n">
        <f aca="false">DK40</f>
        <v>0.109492617059164</v>
      </c>
      <c r="K41" s="57" t="n">
        <f aca="false">DL40</f>
        <v>0.453022345790117</v>
      </c>
      <c r="L41" s="57" t="n">
        <f aca="false">1-EXP(LN(1-E41)*dt)</f>
        <v>0.0196242316180795</v>
      </c>
      <c r="M41" s="57" t="n">
        <f aca="false">G41*(1-L41)</f>
        <v>0.35955855462666</v>
      </c>
      <c r="N41" s="57" t="n">
        <f aca="false">IF(Warfarin!$B$2=1,EXP(LN(or_apx_stroke)*D41)*(1-EXP(-r_stroke*F41*dt))/(1-(1-EXP(-r_stroke*F41*dt))+EXP(LN(or_apx_stroke)*D41)*(1-EXP(-r_stroke*F41*dt))),(1-EXP(-r_stroke*F41*dt)))</f>
        <v>0.00573310208051692</v>
      </c>
      <c r="O41" s="57" t="n">
        <f aca="false">IF(Warfarin!$B$2=1,EXP(LN(or_apx_ich)*D41)*(1-EXP(-r_ich*dt))/(1-(1-EXP(-r_ich*dt))+EXP(LN(or_apx_ich)*D41)*(1-EXP(-r_ich*dt))),(1-EXP(-r_ich*dt)))</f>
        <v>0.0020060281549299</v>
      </c>
      <c r="P41" s="57" t="n">
        <f aca="false">IF(Warfarin!$B$2=1,EXP(LN(or_apx_mb)*D41)*(1-EXP(-r_mb*dt))/(1-(1-EXP(-r_mb*dt))+EXP(LN(or_apx_mb)*D41)*(1-EXP(-r_mb*dt))),(1-EXP(-r_mb*dt)))</f>
        <v>0.00835410477572107</v>
      </c>
      <c r="Q41" s="57" t="n">
        <f aca="false">IF(Warfarin!$B$2=1,EXP(LN(or_apx_mi)*D41)*(1-EXP(-r_mi*dt))/(1-(1-EXP(-r_mi*dt))+EXP(LN(or_apx_mi)*D41)*(1-EXP(-r_mi*dt))),(1-EXP(-r_mi*dt)))</f>
        <v>0.00150338686144691</v>
      </c>
      <c r="R41" s="57" t="n">
        <f aca="false">(1-EXP(-r_tia*dt))</f>
        <v>0.0020060281549299</v>
      </c>
      <c r="S41" s="57" t="n">
        <f aca="false">(1-EXP(-r_minor*dt))</f>
        <v>0.0437937690785545</v>
      </c>
      <c r="T41" s="57" t="n">
        <f aca="false">M41*N41</f>
        <v>0.00206138589759776</v>
      </c>
      <c r="U41" s="57" t="n">
        <f aca="false">M41*O41</f>
        <v>0.000721284583926979</v>
      </c>
      <c r="V41" s="57" t="n">
        <f aca="false">M41*P41</f>
        <v>0.00300378983835795</v>
      </c>
      <c r="W41" s="57" t="n">
        <f aca="false">M41*Q41</f>
        <v>0.000540555606946562</v>
      </c>
      <c r="X41" s="57" t="n">
        <f aca="false">M41*R41</f>
        <v>0.000721284583926979</v>
      </c>
      <c r="Y41" s="57" t="n">
        <f aca="false">M41*S41</f>
        <v>0.0157464243115388</v>
      </c>
      <c r="Z41" s="57" t="n">
        <f aca="false">T41*f_stroke_fatal</f>
        <v>0.000488548457730669</v>
      </c>
      <c r="AA41" s="57" t="n">
        <f aca="false">T41*(1-f_stroke_fatal)*f_stroke_major</f>
        <v>0.000523754867475741</v>
      </c>
      <c r="AB41" s="57" t="n">
        <f aca="false">T41*(1-f_stroke_fatal)*(1-f_stroke_major)</f>
        <v>0.00104908257239135</v>
      </c>
      <c r="AC41" s="57" t="n">
        <f aca="false">U41*(1-f_bleed_fatal)</f>
        <v>0.000660696678877113</v>
      </c>
      <c r="AD41" s="57" t="n">
        <f aca="false">V41*(1-f_bleed_fatal)</f>
        <v>0.00275147149193588</v>
      </c>
      <c r="AE41" s="57" t="n">
        <f aca="false">W41*f_mi_fatal</f>
        <v>6.5407228440534E-005</v>
      </c>
      <c r="AF41" s="57" t="n">
        <f aca="false">W41-AE41</f>
        <v>0.000475148378506028</v>
      </c>
      <c r="AG41" s="57" t="n">
        <f aca="false">M41-T41-U41-V41-AE41</f>
        <v>0.353706687078337</v>
      </c>
      <c r="AH41" s="19" t="n">
        <f aca="false">Z41*c_stroke_fatal+AA41*c_stroke_major+AB41*c_stroke_minor+U41*c_ich+V41*c_major_bleed+AE41*c_mi_fatal+AF41*c_mi_nonfatal+X41*c_tia+Y41*c_minor_bleed</f>
        <v>125.136639599281</v>
      </c>
      <c r="AI41" s="57" t="n">
        <f aca="false">dt*(AF41*dec_mi+AD41*dec_major_bleed+Y41*dec_minor_bleed+X41*dec_tia)</f>
        <v>0.000147881188191459</v>
      </c>
      <c r="AJ41" s="57" t="n">
        <f aca="false">G41*L41+Z41+U41-AC41+V41-AD41+AE41</f>
        <v>0.00806416381292435</v>
      </c>
      <c r="AK41" s="57" t="n">
        <f aca="false">1-EXP(LN(1-E41)*hr_death_prior_stroke*dt)</f>
        <v>0.0445611263260992</v>
      </c>
      <c r="AL41" s="57" t="n">
        <f aca="false">H41*(1-AK41)</f>
        <v>0.049009180104671</v>
      </c>
      <c r="AM41" s="57" t="n">
        <f aca="false">(1-EXP(-r_stroke*F41*rr_stroke_prior*rr_asa_stroke*dt))</f>
        <v>0.0202830467422638</v>
      </c>
      <c r="AN41" s="57" t="n">
        <f aca="false">(1-EXP(-r_ich*rr_asa_ich*dt))</f>
        <v>0.00102357767802375</v>
      </c>
      <c r="AO41" s="57" t="n">
        <f aca="false">(1-EXP(-r_mb*rr_asa_mb*dt))</f>
        <v>0.00951809672747972</v>
      </c>
      <c r="AP41" s="57" t="n">
        <f aca="false">(1-EXP(-r_mi*rr_asa_mi*dt))</f>
        <v>0.00213413516393479</v>
      </c>
      <c r="AQ41" s="57" t="n">
        <f aca="false">(1-EXP(-r_tia*rr_asa_tia*dt))</f>
        <v>0.00312764565589152</v>
      </c>
      <c r="AR41" s="57" t="n">
        <f aca="false">(1-EXP(-r_minor*rr_asa_minor*dt))</f>
        <v>0.0278181950466747</v>
      </c>
      <c r="AS41" s="57" t="n">
        <f aca="false">AL41*AM41</f>
        <v>0.000994055490863067</v>
      </c>
      <c r="AT41" s="57" t="n">
        <f aca="false">AL41*AN41</f>
        <v>5.01647027733868E-005</v>
      </c>
      <c r="AU41" s="57" t="n">
        <f aca="false">AL41*AO41</f>
        <v>0.000466474116770734</v>
      </c>
      <c r="AV41" s="57" t="n">
        <f aca="false">AL41*AP41</f>
        <v>0.000104592214616992</v>
      </c>
      <c r="AW41" s="57" t="n">
        <f aca="false">AL41*AQ41</f>
        <v>0.000153283349253179</v>
      </c>
      <c r="AX41" s="57" t="n">
        <f aca="false">AL41*AR41</f>
        <v>0.00136334693122935</v>
      </c>
      <c r="AY41" s="57" t="n">
        <f aca="false">AS41*f_stroke_fatal_recur</f>
        <v>0.000369878107595238</v>
      </c>
      <c r="AZ41" s="57" t="n">
        <f aca="false">AS41*(1-f_stroke_fatal_recur)*f_stroke_major</f>
        <v>0.000207851068628187</v>
      </c>
      <c r="BA41" s="57" t="n">
        <f aca="false">AS41*(1-f_stroke_fatal_recur)*(1-f_stroke_major)</f>
        <v>0.000416326314639641</v>
      </c>
      <c r="BB41" s="57" t="n">
        <f aca="false">AT41*(1-f_bleed_fatal)</f>
        <v>4.59508677404223E-005</v>
      </c>
      <c r="BC41" s="57" t="n">
        <f aca="false">AU41*(1-f_bleed_fatal)</f>
        <v>0.000427290290961992</v>
      </c>
      <c r="BD41" s="57" t="n">
        <f aca="false">AV41*f_mi_fatal</f>
        <v>1.2655657968656E-005</v>
      </c>
      <c r="BE41" s="57" t="n">
        <f aca="false">AV41-BD41</f>
        <v>9.19365566483358E-005</v>
      </c>
      <c r="BF41" s="57" t="n">
        <f aca="false">AL41-AS41-AT41-AU41-BD41</f>
        <v>0.0474858301362952</v>
      </c>
      <c r="BG41" s="19" t="n">
        <f aca="false">AY41*c_stroke_fatal+AZ41*c_stroke_major+BA41*c_stroke_minor+AT41*c_ich+AU41*c_major_bleed+BD41*c_mi_fatal+BE41*c_mi_nonfatal+AW41*c_tia+AX41*c_minor_bleed</f>
        <v>40.8739844469975</v>
      </c>
      <c r="BH41" s="57" t="n">
        <f aca="false">dt*(BE41*dec_mi+BC41*dec_major_bleed+AX41*dec_minor_bleed+AW41*dec_tia)</f>
        <v>2.10786178571511E-005</v>
      </c>
      <c r="BI41" s="57" t="n">
        <f aca="false">H41*AK41+AY41+AT41-BB41+AU41-BC41+BD41</f>
        <v>0.00271169174656626</v>
      </c>
      <c r="BJ41" s="57" t="n">
        <f aca="false">1-EXP(LN(1-E41)*hr_death_prior_stroke*dt)</f>
        <v>0.0445611263260992</v>
      </c>
      <c r="BK41" s="57" t="n">
        <f aca="false">I41*(1-BJ41)</f>
        <v>0.0185682285902755</v>
      </c>
      <c r="BL41" s="57" t="n">
        <f aca="false">(1-EXP(-r_stroke*F41*rr_stroke_prior*rr_asa_stroke*dt))</f>
        <v>0.0202830467422638</v>
      </c>
      <c r="BM41" s="57" t="n">
        <f aca="false">(1-EXP(-r_ich*rr_asa_ich*dt))</f>
        <v>0.00102357767802375</v>
      </c>
      <c r="BN41" s="57" t="n">
        <f aca="false">(1-EXP(-r_mb*rr_asa_mb*dt))</f>
        <v>0.00951809672747972</v>
      </c>
      <c r="BO41" s="57" t="n">
        <f aca="false">(1-EXP(-r_mi*rr_asa_mi*dt))</f>
        <v>0.00213413516393479</v>
      </c>
      <c r="BP41" s="57" t="n">
        <f aca="false">(1-EXP(-r_tia*rr_asa_tia*dt))</f>
        <v>0.00312764565589152</v>
      </c>
      <c r="BQ41" s="57" t="n">
        <f aca="false">(1-EXP(-r_minor*rr_asa_minor*dt))</f>
        <v>0.0278181950466747</v>
      </c>
      <c r="BR41" s="57" t="n">
        <f aca="false">BK41*BL41</f>
        <v>0.000376620248417596</v>
      </c>
      <c r="BS41" s="57" t="n">
        <f aca="false">BK41*BM41</f>
        <v>1.90060243054483E-005</v>
      </c>
      <c r="BT41" s="57" t="n">
        <f aca="false">BK41*BN41</f>
        <v>0.000176734195780196</v>
      </c>
      <c r="BU41" s="57" t="n">
        <f aca="false">BK41*BO41</f>
        <v>3.96271095664863E-005</v>
      </c>
      <c r="BV41" s="57" t="n">
        <f aca="false">BK41*BP41</f>
        <v>5.80748394879758E-005</v>
      </c>
      <c r="BW41" s="57" t="n">
        <f aca="false">BK41*BQ41</f>
        <v>0.000516534604595525</v>
      </c>
      <c r="BX41" s="57" t="n">
        <f aca="false">BR41*f_stroke_fatal_recur</f>
        <v>0.000140136628233703</v>
      </c>
      <c r="BY41" s="57" t="n">
        <f aca="false">BR41*(1-f_stroke_fatal_recur)*f_stroke_major</f>
        <v>7.87490455212363E-005</v>
      </c>
      <c r="BZ41" s="57" t="n">
        <f aca="false">BR41*(1-f_stroke_fatal_recur)*(1-f_stroke_major)</f>
        <v>0.000157734574662657</v>
      </c>
      <c r="CA41" s="57" t="n">
        <f aca="false">BS41*(1-f_bleed_fatal)</f>
        <v>1.74095182637907E-005</v>
      </c>
      <c r="CB41" s="57" t="n">
        <f aca="false">BT41*(1-f_bleed_fatal)</f>
        <v>0.00016188852333466</v>
      </c>
      <c r="CC41" s="57" t="n">
        <f aca="false">BU41*f_mi_fatal</f>
        <v>4.79488025754484E-006</v>
      </c>
      <c r="CD41" s="57" t="n">
        <f aca="false">BU41-CC41</f>
        <v>3.48322293089414E-005</v>
      </c>
      <c r="CE41" s="57" t="n">
        <f aca="false">BK41-BR41-BS41-BT41-CC41</f>
        <v>0.0179910732415147</v>
      </c>
      <c r="CF41" s="19" t="n">
        <f aca="false">BX41*c_stroke_fatal+BY41*c_stroke_major+BZ41*c_stroke_minor+BS41*c_ich+BT41*c_major_bleed+CC41*c_mi_fatal+CD41*c_mi_nonfatal+BV41*c_tia+BW41*c_minor_bleed</f>
        <v>15.4860270052728</v>
      </c>
      <c r="CG41" s="57" t="n">
        <f aca="false">dt*(CD41*dec_mi+CB41*dec_major_bleed+BW41*dec_minor_bleed+BV41*dec_tia)</f>
        <v>7.98610778435243E-006</v>
      </c>
      <c r="CH41" s="57" t="n">
        <f aca="false">I41*BJ41+BX41+BS41-CA41+BT41-CB41+CC41</f>
        <v>0.00102738532064948</v>
      </c>
      <c r="CI41" s="57" t="n">
        <f aca="false">1-EXP(LN(1-E41)*dt)</f>
        <v>0.0196242316180795</v>
      </c>
      <c r="CJ41" s="57" t="n">
        <f aca="false">J41*(1-CI41)</f>
        <v>0.107343908581525</v>
      </c>
      <c r="CK41" s="57" t="n">
        <f aca="false">(1-EXP(-r_stroke*F41*rr_asa_stroke*dt))</f>
        <v>0.0092711068193867</v>
      </c>
      <c r="CL41" s="57" t="n">
        <f aca="false">(1-EXP(-r_ich*rr_asa_ich*dt))</f>
        <v>0.00102357767802375</v>
      </c>
      <c r="CM41" s="57" t="n">
        <f aca="false">(1-EXP(-r_mb*rr_asa_mb*dt))</f>
        <v>0.00951809672747972</v>
      </c>
      <c r="CN41" s="57" t="n">
        <f aca="false">(1-EXP(-r_mi*rr_asa_mi*dt))</f>
        <v>0.00213413516393479</v>
      </c>
      <c r="CO41" s="57" t="n">
        <f aca="false">(1-EXP(-r_tia*rr_asa_tia*dt))</f>
        <v>0.00312764565589152</v>
      </c>
      <c r="CP41" s="57" t="n">
        <f aca="false">(1-EXP(-r_minor*rr_asa_minor*dt))</f>
        <v>0.0278181950466747</v>
      </c>
      <c r="CQ41" s="57" t="n">
        <f aca="false">CJ41*CK41</f>
        <v>0.000995196842869803</v>
      </c>
      <c r="CR41" s="57" t="n">
        <f aca="false">CJ41*CL41</f>
        <v>0.000109874828695871</v>
      </c>
      <c r="CS41" s="57" t="n">
        <f aca="false">CJ41*CM41</f>
        <v>0.0010217097049847</v>
      </c>
      <c r="CT41" s="57" t="n">
        <f aca="false">CJ41*CN41</f>
        <v>0.000229086409938035</v>
      </c>
      <c r="CU41" s="57" t="n">
        <f aca="false">CJ41*CO41</f>
        <v>0.000335733709361425</v>
      </c>
      <c r="CV41" s="57" t="n">
        <f aca="false">CJ41*CP41</f>
        <v>0.0029861137859933</v>
      </c>
      <c r="CW41" s="57" t="n">
        <f aca="false">CQ41*f_stroke_fatal</f>
        <v>0.000235861651760143</v>
      </c>
      <c r="CX41" s="57" t="n">
        <f aca="false">CQ41*(1-f_stroke_fatal)*f_stroke_major</f>
        <v>0.000252858618639517</v>
      </c>
      <c r="CY41" s="57" t="n">
        <f aca="false">CQ41*(1-f_stroke_fatal)*(1-f_stroke_major)</f>
        <v>0.000506476572470143</v>
      </c>
      <c r="CZ41" s="57" t="n">
        <f aca="false">CR41*(1-f_bleed_fatal)</f>
        <v>0.000100645343085418</v>
      </c>
      <c r="DA41" s="57" t="n">
        <f aca="false">CS41*(1-f_bleed_fatal)</f>
        <v>0.000935886089765985</v>
      </c>
      <c r="DB41" s="57" t="n">
        <f aca="false">CT41*f_mi_fatal</f>
        <v>2.77194556025023E-005</v>
      </c>
      <c r="DC41" s="57" t="n">
        <f aca="false">CT41-DB41</f>
        <v>0.000201366954335533</v>
      </c>
      <c r="DD41" s="57" t="n">
        <f aca="false">CJ41-CQ41-CR41-CS41-DB41</f>
        <v>0.105189407749373</v>
      </c>
      <c r="DE41" s="19" t="n">
        <f aca="false">CW41*c_stroke_fatal+CX41*c_stroke_major+CY41*c_stroke_minor+CR41*c_ich+CS41*c_major_bleed+DB41*c_mi_fatal+DC41*c_mi_nonfatal+CU41*c_tia+CV41*c_minor_bleed</f>
        <v>51.2249090611852</v>
      </c>
      <c r="DF41" s="57" t="n">
        <f aca="false">dt*(DC41*dec_mi+DA41*dec_major_bleed+CV41*dec_minor_bleed+CU41*dec_tia)</f>
        <v>4.6168110208138E-005</v>
      </c>
      <c r="DG41" s="57" t="n">
        <f aca="false">J41*CI41+CW41+CR41-CZ41+CS41-DA41+DB41</f>
        <v>0.00250734268583053</v>
      </c>
      <c r="DH41" s="57" t="n">
        <f aca="false">AG41</f>
        <v>0.353706687078337</v>
      </c>
      <c r="DI41" s="57" t="n">
        <f aca="false">AB41+AC41+BF41+BA41+BB41+BC41+CY41+CZ41</f>
        <v>0.0506922987764613</v>
      </c>
      <c r="DJ41" s="57" t="n">
        <f aca="false">AA41+AZ41+BY41+CX41+CE41+BZ41+CA41+CB41</f>
        <v>0.0193913194580405</v>
      </c>
      <c r="DK41" s="57" t="n">
        <f aca="false">AD41+DD41+DA41</f>
        <v>0.108876765331074</v>
      </c>
      <c r="DL41" s="57" t="n">
        <f aca="false">K41+AJ41+BI41+CH41+DG41</f>
        <v>0.467332929356087</v>
      </c>
      <c r="DM41" s="58" t="n">
        <f aca="false">SUM(DH41:DL41)</f>
        <v>1</v>
      </c>
      <c r="DN41" s="19" t="n">
        <f aca="false">dt*(G41*Warfarin!$H$2+(H41+I41+J41)*c_aspirin)</f>
        <v>36.9885083718902</v>
      </c>
      <c r="DO41" s="19" t="n">
        <f aca="false">dt*(H41*c_lt_minor_stroke+I41*c_lt_major_stroke)</f>
        <v>265.546724372331</v>
      </c>
      <c r="DP41" s="19" t="n">
        <f aca="false">AH41+BG41+CF41+DE41</f>
        <v>232.721560112737</v>
      </c>
      <c r="DQ41" s="19" t="n">
        <f aca="false">DN41+DO41+DP41</f>
        <v>535.256792856957</v>
      </c>
      <c r="DR41" s="57" t="n">
        <f aca="false">dt*(G41*(u_af-dec_per_year_over_70*MAX(B41-ref_age,0))+H41*(u_minor_stroke-dec_per_year_over_70*MAX(B41-ref_age,0))+I41*(u_major_stroke-dec_per_year_over_70*MAX(B41-ref_age,0))+J41*(u_af-dec_per_year_over_70*MAX(B41-ref_age,0)))-AI41-BH41-CG41-DF41</f>
        <v>0.10710397132697</v>
      </c>
      <c r="DS41" s="57" t="n">
        <f aca="false">dt*(G41+H41+I41+J41)</f>
        <v>0.136744413552471</v>
      </c>
      <c r="DT41" s="19" t="n">
        <f aca="false">DQ41*C41</f>
        <v>469.877141311299</v>
      </c>
      <c r="DU41" s="19" t="n">
        <f aca="false">DN41*C41</f>
        <v>32.4704979125738</v>
      </c>
      <c r="DV41" s="19" t="n">
        <f aca="false">DP41*C41</f>
        <v>204.295476202394</v>
      </c>
      <c r="DW41" s="19" t="n">
        <f aca="false">DO41*C41</f>
        <v>233.111167196331</v>
      </c>
      <c r="DX41" s="57" t="n">
        <f aca="false">DR41*C41</f>
        <v>0.0940216145629623</v>
      </c>
      <c r="DY41" s="57" t="n">
        <f aca="false">DS41*C41</f>
        <v>0.12004158562355</v>
      </c>
      <c r="DZ41" s="57" t="n">
        <f aca="false">T41+AS41+BR41+CQ41</f>
        <v>0.00442725847974823</v>
      </c>
      <c r="EA41" s="57" t="n">
        <f aca="false">U41+AT41+BS41+CR41</f>
        <v>0.000900330139701685</v>
      </c>
      <c r="EB41" s="57" t="n">
        <f aca="false">V41+AU41+BT41+CS41</f>
        <v>0.00466870785589358</v>
      </c>
      <c r="EC41" s="57" t="n">
        <f aca="false">G41*dt*C41</f>
        <v>0.0804894938803527</v>
      </c>
    </row>
    <row r="42" customFormat="false" ht="15" hidden="false" customHeight="false" outlineLevel="0" collapsed="false">
      <c r="A42" s="8" t="n">
        <v>36</v>
      </c>
      <c r="B42" s="54" t="n">
        <f aca="false">start_age+A42*dt</f>
        <v>79</v>
      </c>
      <c r="C42" s="16" t="n">
        <f aca="false">(1+disc_rate)^-(A42*dt)</f>
        <v>0.874592240198017</v>
      </c>
      <c r="D42" s="55" t="n">
        <f aca="false">IF(A42*dt&gt;=wane_start,(1-wane_decay)^(A42*dt-wane_start),1)</f>
        <v>1</v>
      </c>
      <c r="E42" s="25" t="n">
        <f aca="false">MIN(p_nonvasc_death*MIN(EXP(gomp_int+gomp_slope*INT(B42)),1)/qx_ref,0.999)</f>
        <v>0.0846232874094045</v>
      </c>
      <c r="F42" s="55" t="n">
        <f aca="false">rr_stroke_per_decade^((B42-ref_age)/10)</f>
        <v>1.44039675118833</v>
      </c>
      <c r="G42" s="57" t="n">
        <f aca="false">DH41</f>
        <v>0.353706687078337</v>
      </c>
      <c r="H42" s="57" t="n">
        <f aca="false">DI41</f>
        <v>0.0506922987764613</v>
      </c>
      <c r="I42" s="57" t="n">
        <f aca="false">DJ41</f>
        <v>0.0193913194580405</v>
      </c>
      <c r="J42" s="57" t="n">
        <f aca="false">DK41</f>
        <v>0.108876765331074</v>
      </c>
      <c r="K42" s="57" t="n">
        <f aca="false">DL41</f>
        <v>0.467332929356087</v>
      </c>
      <c r="L42" s="57" t="n">
        <f aca="false">1-EXP(LN(1-E42)*dt)</f>
        <v>0.0218623746896884</v>
      </c>
      <c r="M42" s="57" t="n">
        <f aca="false">G42*(1-L42)</f>
        <v>0.345973818955182</v>
      </c>
      <c r="N42" s="57" t="n">
        <f aca="false">IF(Warfarin!$B$2=1,EXP(LN(or_apx_stroke)*D42)*(1-EXP(-r_stroke*F42*dt))/(1-(1-EXP(-r_stroke*F42*dt))+EXP(LN(or_apx_stroke)*D42)*(1-EXP(-r_stroke*F42*dt))),(1-EXP(-r_stroke*F42*dt)))</f>
        <v>0.00579134247969637</v>
      </c>
      <c r="O42" s="57" t="n">
        <f aca="false">IF(Warfarin!$B$2=1,EXP(LN(or_apx_ich)*D42)*(1-EXP(-r_ich*dt))/(1-(1-EXP(-r_ich*dt))+EXP(LN(or_apx_ich)*D42)*(1-EXP(-r_ich*dt))),(1-EXP(-r_ich*dt)))</f>
        <v>0.0020060281549299</v>
      </c>
      <c r="P42" s="57" t="n">
        <f aca="false">IF(Warfarin!$B$2=1,EXP(LN(or_apx_mb)*D42)*(1-EXP(-r_mb*dt))/(1-(1-EXP(-r_mb*dt))+EXP(LN(or_apx_mb)*D42)*(1-EXP(-r_mb*dt))),(1-EXP(-r_mb*dt)))</f>
        <v>0.00835410477572107</v>
      </c>
      <c r="Q42" s="57" t="n">
        <f aca="false">IF(Warfarin!$B$2=1,EXP(LN(or_apx_mi)*D42)*(1-EXP(-r_mi*dt))/(1-(1-EXP(-r_mi*dt))+EXP(LN(or_apx_mi)*D42)*(1-EXP(-r_mi*dt))),(1-EXP(-r_mi*dt)))</f>
        <v>0.00150338686144691</v>
      </c>
      <c r="R42" s="57" t="n">
        <f aca="false">(1-EXP(-r_tia*dt))</f>
        <v>0.0020060281549299</v>
      </c>
      <c r="S42" s="57" t="n">
        <f aca="false">(1-EXP(-r_minor*dt))</f>
        <v>0.0437937690785545</v>
      </c>
      <c r="T42" s="57" t="n">
        <f aca="false">M42*N42</f>
        <v>0.00200365287457793</v>
      </c>
      <c r="U42" s="57" t="n">
        <f aca="false">M42*O42</f>
        <v>0.000694033221692713</v>
      </c>
      <c r="V42" s="57" t="n">
        <f aca="false">M42*P42</f>
        <v>0.00289030153320794</v>
      </c>
      <c r="W42" s="57" t="n">
        <f aca="false">M42*Q42</f>
        <v>0.000520132493821832</v>
      </c>
      <c r="X42" s="57" t="n">
        <f aca="false">M42*R42</f>
        <v>0.000694033221692713</v>
      </c>
      <c r="Y42" s="57" t="n">
        <f aca="false">M42*S42</f>
        <v>0.0151514975345488</v>
      </c>
      <c r="Z42" s="57" t="n">
        <f aca="false">T42*f_stroke_fatal</f>
        <v>0.000474865731274968</v>
      </c>
      <c r="AA42" s="57" t="n">
        <f aca="false">T42*(1-f_stroke_fatal)*f_stroke_major</f>
        <v>0.000509086118719885</v>
      </c>
      <c r="AB42" s="57" t="n">
        <f aca="false">T42*(1-f_stroke_fatal)*(1-f_stroke_major)</f>
        <v>0.00101970102458307</v>
      </c>
      <c r="AC42" s="57" t="n">
        <f aca="false">U42*(1-f_bleed_fatal)</f>
        <v>0.000635734431070525</v>
      </c>
      <c r="AD42" s="57" t="n">
        <f aca="false">V42*(1-f_bleed_fatal)</f>
        <v>0.00264751620441847</v>
      </c>
      <c r="AE42" s="57" t="n">
        <f aca="false">W42*f_mi_fatal</f>
        <v>6.29360317524417E-005</v>
      </c>
      <c r="AF42" s="57" t="n">
        <f aca="false">W42-AE42</f>
        <v>0.00045719646206939</v>
      </c>
      <c r="AG42" s="57" t="n">
        <f aca="false">M42-T42-U42-V42-AE42</f>
        <v>0.340322895293951</v>
      </c>
      <c r="AH42" s="19" t="n">
        <f aca="false">Z42*c_stroke_fatal+AA42*c_stroke_major+AB42*c_stroke_minor+U42*c_ich+V42*c_major_bleed+AE42*c_mi_fatal+AF42*c_mi_nonfatal+X42*c_tia+Y42*c_minor_bleed</f>
        <v>121.153245799903</v>
      </c>
      <c r="AI42" s="57" t="n">
        <f aca="false">dt*(AF42*dec_mi+AD42*dec_major_bleed+Y42*dec_minor_bleed+X42*dec_tia)</f>
        <v>0.000142293984587164</v>
      </c>
      <c r="AJ42" s="57" t="n">
        <f aca="false">G42*L42+Z42+U42-AC42+V42-AD42+AE42</f>
        <v>0.00857175400559405</v>
      </c>
      <c r="AK42" s="57" t="n">
        <f aca="false">1-EXP(LN(1-E42)*hr_death_prior_stroke*dt)</f>
        <v>0.049570474672099</v>
      </c>
      <c r="AL42" s="57" t="n">
        <f aca="false">H42*(1-AK42)</f>
        <v>0.0481794574638922</v>
      </c>
      <c r="AM42" s="57" t="n">
        <f aca="false">(1-EXP(-r_stroke*F42*rr_stroke_prior*rr_asa_stroke*dt))</f>
        <v>0.0204875626374278</v>
      </c>
      <c r="AN42" s="57" t="n">
        <f aca="false">(1-EXP(-r_ich*rr_asa_ich*dt))</f>
        <v>0.00102357767802375</v>
      </c>
      <c r="AO42" s="57" t="n">
        <f aca="false">(1-EXP(-r_mb*rr_asa_mb*dt))</f>
        <v>0.00951809672747972</v>
      </c>
      <c r="AP42" s="57" t="n">
        <f aca="false">(1-EXP(-r_mi*rr_asa_mi*dt))</f>
        <v>0.00213413516393479</v>
      </c>
      <c r="AQ42" s="57" t="n">
        <f aca="false">(1-EXP(-r_tia*rr_asa_tia*dt))</f>
        <v>0.00312764565589152</v>
      </c>
      <c r="AR42" s="57" t="n">
        <f aca="false">(1-EXP(-r_minor*rr_asa_minor*dt))</f>
        <v>0.0278181950466747</v>
      </c>
      <c r="AS42" s="57" t="n">
        <f aca="false">AL42*AM42</f>
        <v>0.00098707965262878</v>
      </c>
      <c r="AT42" s="57" t="n">
        <f aca="false">AL42*AN42</f>
        <v>4.93154171993346E-005</v>
      </c>
      <c r="AU42" s="57" t="n">
        <f aca="false">AL42*AO42</f>
        <v>0.000458576736418821</v>
      </c>
      <c r="AV42" s="57" t="n">
        <f aca="false">AL42*AP42</f>
        <v>0.000102821474352993</v>
      </c>
      <c r="AW42" s="57" t="n">
        <f aca="false">AL42*AQ42</f>
        <v>0.000150688270840153</v>
      </c>
      <c r="AX42" s="57" t="n">
        <f aca="false">AL42*AR42</f>
        <v>0.00134026554497352</v>
      </c>
      <c r="AY42" s="57" t="n">
        <f aca="false">AS42*f_stroke_fatal_recur</f>
        <v>0.000367282467946643</v>
      </c>
      <c r="AZ42" s="57" t="n">
        <f aca="false">AS42*(1-f_stroke_fatal_recur)*f_stroke_major</f>
        <v>0.000206392462499152</v>
      </c>
      <c r="BA42" s="57" t="n">
        <f aca="false">AS42*(1-f_stroke_fatal_recur)*(1-f_stroke_major)</f>
        <v>0.000413404722182986</v>
      </c>
      <c r="BB42" s="57" t="n">
        <f aca="false">AT42*(1-f_bleed_fatal)</f>
        <v>4.51729221545905E-005</v>
      </c>
      <c r="BC42" s="57" t="n">
        <f aca="false">AU42*(1-f_bleed_fatal)</f>
        <v>0.00042005629055964</v>
      </c>
      <c r="BD42" s="57" t="n">
        <f aca="false">AV42*f_mi_fatal</f>
        <v>1.24413983967121E-005</v>
      </c>
      <c r="BE42" s="57" t="n">
        <f aca="false">AV42-BD42</f>
        <v>9.03800759562808E-005</v>
      </c>
      <c r="BF42" s="57" t="n">
        <f aca="false">AL42-AS42-AT42-AU42-BD42</f>
        <v>0.0466720442592486</v>
      </c>
      <c r="BG42" s="19" t="n">
        <f aca="false">AY42*c_stroke_fatal+AZ42*c_stroke_major+BA42*c_stroke_minor+AT42*c_ich+AU42*c_major_bleed+BD42*c_mi_fatal+BE42*c_mi_nonfatal+AW42*c_tia+AX42*c_minor_bleed</f>
        <v>40.5217323276695</v>
      </c>
      <c r="BH42" s="57" t="n">
        <f aca="false">dt*(BE42*dec_mi+BC42*dec_major_bleed+AX42*dec_minor_bleed+AW42*dec_tia)</f>
        <v>2.07217580518034E-005</v>
      </c>
      <c r="BI42" s="57" t="n">
        <f aca="false">H42*AK42+AY42+AT42-BB42+AU42-BC42+BD42</f>
        <v>0.00293522811981633</v>
      </c>
      <c r="BJ42" s="57" t="n">
        <f aca="false">1-EXP(LN(1-E42)*hr_death_prior_stroke*dt)</f>
        <v>0.049570474672099</v>
      </c>
      <c r="BK42" s="57" t="n">
        <f aca="false">I42*(1-BJ42)</f>
        <v>0.0184300825479871</v>
      </c>
      <c r="BL42" s="57" t="n">
        <f aca="false">(1-EXP(-r_stroke*F42*rr_stroke_prior*rr_asa_stroke*dt))</f>
        <v>0.0204875626374278</v>
      </c>
      <c r="BM42" s="57" t="n">
        <f aca="false">(1-EXP(-r_ich*rr_asa_ich*dt))</f>
        <v>0.00102357767802375</v>
      </c>
      <c r="BN42" s="57" t="n">
        <f aca="false">(1-EXP(-r_mb*rr_asa_mb*dt))</f>
        <v>0.00951809672747972</v>
      </c>
      <c r="BO42" s="57" t="n">
        <f aca="false">(1-EXP(-r_mi*rr_asa_mi*dt))</f>
        <v>0.00213413516393479</v>
      </c>
      <c r="BP42" s="57" t="n">
        <f aca="false">(1-EXP(-r_tia*rr_asa_tia*dt))</f>
        <v>0.00312764565589152</v>
      </c>
      <c r="BQ42" s="57" t="n">
        <f aca="false">(1-EXP(-r_minor*rr_asa_minor*dt))</f>
        <v>0.0278181950466747</v>
      </c>
      <c r="BR42" s="57" t="n">
        <f aca="false">BK42*BL42</f>
        <v>0.000377587470614851</v>
      </c>
      <c r="BS42" s="57" t="n">
        <f aca="false">BK42*BM42</f>
        <v>1.88646211002546E-005</v>
      </c>
      <c r="BT42" s="57" t="n">
        <f aca="false">BK42*BN42</f>
        <v>0.000175419308387177</v>
      </c>
      <c r="BU42" s="57" t="n">
        <f aca="false">BK42*BO42</f>
        <v>3.93322872398802E-005</v>
      </c>
      <c r="BV42" s="57" t="n">
        <f aca="false">BK42*BP42</f>
        <v>5.7642767618934E-005</v>
      </c>
      <c r="BW42" s="57" t="n">
        <f aca="false">BK42*BQ42</f>
        <v>0.000512691631046221</v>
      </c>
      <c r="BX42" s="57" t="n">
        <f aca="false">BR42*f_stroke_fatal_recur</f>
        <v>0.00014049652194108</v>
      </c>
      <c r="BY42" s="57" t="n">
        <f aca="false">BR42*(1-f_stroke_fatal_recur)*f_stroke_major</f>
        <v>7.89512859083657E-005</v>
      </c>
      <c r="BZ42" s="57" t="n">
        <f aca="false">BR42*(1-f_stroke_fatal_recur)*(1-f_stroke_major)</f>
        <v>0.000158139662765405</v>
      </c>
      <c r="CA42" s="57" t="n">
        <f aca="false">BS42*(1-f_bleed_fatal)</f>
        <v>1.72799929278332E-005</v>
      </c>
      <c r="CB42" s="57" t="n">
        <f aca="false">BT42*(1-f_bleed_fatal)</f>
        <v>0.000160684086482654</v>
      </c>
      <c r="CC42" s="57" t="n">
        <f aca="false">BU42*f_mi_fatal</f>
        <v>4.7592067560255E-006</v>
      </c>
      <c r="CD42" s="57" t="n">
        <f aca="false">BU42-CC42</f>
        <v>3.45730804838547E-005</v>
      </c>
      <c r="CE42" s="57" t="n">
        <f aca="false">BK42-BR42-BS42-BT42-CC42</f>
        <v>0.0178534519411288</v>
      </c>
      <c r="CF42" s="19" t="n">
        <f aca="false">BX42*c_stroke_fatal+BY42*c_stroke_major+BZ42*c_stroke_minor+BS42*c_ich+BT42*c_major_bleed+CC42*c_mi_fatal+CD42*c_mi_nonfatal+BV42*c_tia+BW42*c_minor_bleed</f>
        <v>15.5007737965104</v>
      </c>
      <c r="CG42" s="57" t="n">
        <f aca="false">dt*(CD42*dec_mi+CB42*dec_major_bleed+BW42*dec_minor_bleed+BV42*dec_tia)</f>
        <v>7.92669182130928E-006</v>
      </c>
      <c r="CH42" s="57" t="n">
        <f aca="false">I42*BJ42+BX42+BS42-CA42+BT42-CB42+CC42</f>
        <v>0.00112281248882742</v>
      </c>
      <c r="CI42" s="57" t="n">
        <f aca="false">1-EXP(LN(1-E42)*dt)</f>
        <v>0.0218623746896884</v>
      </c>
      <c r="CJ42" s="57" t="n">
        <f aca="false">J42*(1-CI42)</f>
        <v>0.106496460692405</v>
      </c>
      <c r="CK42" s="57" t="n">
        <f aca="false">(1-EXP(-r_stroke*F42*rr_asa_stroke*dt))</f>
        <v>0.00936511882530033</v>
      </c>
      <c r="CL42" s="57" t="n">
        <f aca="false">(1-EXP(-r_ich*rr_asa_ich*dt))</f>
        <v>0.00102357767802375</v>
      </c>
      <c r="CM42" s="57" t="n">
        <f aca="false">(1-EXP(-r_mb*rr_asa_mb*dt))</f>
        <v>0.00951809672747972</v>
      </c>
      <c r="CN42" s="57" t="n">
        <f aca="false">(1-EXP(-r_mi*rr_asa_mi*dt))</f>
        <v>0.00213413516393479</v>
      </c>
      <c r="CO42" s="57" t="n">
        <f aca="false">(1-EXP(-r_tia*rr_asa_tia*dt))</f>
        <v>0.00312764565589152</v>
      </c>
      <c r="CP42" s="57" t="n">
        <f aca="false">(1-EXP(-r_minor*rr_asa_minor*dt))</f>
        <v>0.0278181950466747</v>
      </c>
      <c r="CQ42" s="57" t="n">
        <f aca="false">CJ42*CK42</f>
        <v>0.000997352008858301</v>
      </c>
      <c r="CR42" s="57" t="n">
        <f aca="false">CJ42*CL42</f>
        <v>0.000109007399953279</v>
      </c>
      <c r="CS42" s="57" t="n">
        <f aca="false">CJ42*CM42</f>
        <v>0.00101364361400456</v>
      </c>
      <c r="CT42" s="57" t="n">
        <f aca="false">CJ42*CN42</f>
        <v>0.000227277841598261</v>
      </c>
      <c r="CU42" s="57" t="n">
        <f aca="false">CJ42*CO42</f>
        <v>0.000333083192652423</v>
      </c>
      <c r="CV42" s="57" t="n">
        <f aca="false">CJ42*CP42</f>
        <v>0.00296253931532186</v>
      </c>
      <c r="CW42" s="57" t="n">
        <f aca="false">CQ42*f_stroke_fatal</f>
        <v>0.000236372426099417</v>
      </c>
      <c r="CX42" s="57" t="n">
        <f aca="false">CQ42*(1-f_stroke_fatal)*f_stroke_major</f>
        <v>0.000253406201058708</v>
      </c>
      <c r="CY42" s="57" t="n">
        <f aca="false">CQ42*(1-f_stroke_fatal)*(1-f_stroke_major)</f>
        <v>0.000507573381700176</v>
      </c>
      <c r="CZ42" s="57" t="n">
        <f aca="false">CR42*(1-f_bleed_fatal)</f>
        <v>9.98507783572039E-005</v>
      </c>
      <c r="DA42" s="57" t="n">
        <f aca="false">CS42*(1-f_bleed_fatal)</f>
        <v>0.000928497550428172</v>
      </c>
      <c r="DB42" s="57" t="n">
        <f aca="false">CT42*f_mi_fatal</f>
        <v>2.75006188333896E-005</v>
      </c>
      <c r="DC42" s="57" t="n">
        <f aca="false">CT42-DB42</f>
        <v>0.000199777222764872</v>
      </c>
      <c r="DD42" s="57" t="n">
        <f aca="false">CJ42-CQ42-CR42-CS42-DB42</f>
        <v>0.104348957050756</v>
      </c>
      <c r="DE42" s="19" t="n">
        <f aca="false">CW42*c_stroke_fatal+CX42*c_stroke_major+CY42*c_stroke_minor+CR42*c_ich+CS42*c_major_bleed+DB42*c_mi_fatal+DC42*c_mi_nonfatal+CU42*c_tia+CV42*c_minor_bleed</f>
        <v>51.1904214838909</v>
      </c>
      <c r="DF42" s="57" t="n">
        <f aca="false">dt*(DC42*dec_mi+DA42*dec_major_bleed+CV42*dec_minor_bleed+CU42*dec_tia)</f>
        <v>4.58036268568461E-005</v>
      </c>
      <c r="DG42" s="57" t="n">
        <f aca="false">J42*CI42+CW42+CR42-CZ42+CS42-DA42+DB42</f>
        <v>0.00273848036877449</v>
      </c>
      <c r="DH42" s="57" t="n">
        <f aca="false">AG42</f>
        <v>0.340322895293951</v>
      </c>
      <c r="DI42" s="57" t="n">
        <f aca="false">AB42+AC42+BF42+BA42+BB42+BC42+CY42+CZ42</f>
        <v>0.0498135378098568</v>
      </c>
      <c r="DJ42" s="57" t="n">
        <f aca="false">AA42+AZ42+BY42+CX42+CE42+BZ42+CA42+CB42</f>
        <v>0.0192373917514908</v>
      </c>
      <c r="DK42" s="57" t="n">
        <f aca="false">AD42+DD42+DA42</f>
        <v>0.107924970805602</v>
      </c>
      <c r="DL42" s="57" t="n">
        <f aca="false">K42+AJ42+BI42+CH42+DG42</f>
        <v>0.4827012043391</v>
      </c>
      <c r="DM42" s="58" t="n">
        <f aca="false">SUM(DH42:DL42)</f>
        <v>1</v>
      </c>
      <c r="DN42" s="19" t="n">
        <f aca="false">dt*(G42*Warfarin!$H$2+(H42+I42+J42)*c_aspirin)</f>
        <v>35.7227301871349</v>
      </c>
      <c r="DO42" s="19" t="n">
        <f aca="false">dt*(H42*c_lt_minor_stroke+I42*c_lt_major_stroke)</f>
        <v>263.637363722694</v>
      </c>
      <c r="DP42" s="19" t="n">
        <f aca="false">AH42+BG42+CF42+DE42</f>
        <v>228.366173407974</v>
      </c>
      <c r="DQ42" s="19" t="n">
        <f aca="false">DN42+DO42+DP42</f>
        <v>527.726267317803</v>
      </c>
      <c r="DR42" s="57" t="n">
        <f aca="false">dt*(G42*(u_af-dec_per_year_over_70*MAX(B42-ref_age,0))+H42*(u_minor_stroke-dec_per_year_over_70*MAX(B42-ref_age,0))+I42*(u_major_stroke-dec_per_year_over_70*MAX(B42-ref_age,0))+J42*(u_af-dec_per_year_over_70*MAX(B42-ref_age,0)))-AI42-BH42-CG42-DF42</f>
        <v>0.104226032021516</v>
      </c>
      <c r="DS42" s="57" t="n">
        <f aca="false">dt*(G42+H42+I42+J42)</f>
        <v>0.133166767660978</v>
      </c>
      <c r="DT42" s="19" t="n">
        <f aca="false">DQ42*C42</f>
        <v>461.545298344815</v>
      </c>
      <c r="DU42" s="19" t="n">
        <f aca="false">DN42*C42</f>
        <v>31.2428226203556</v>
      </c>
      <c r="DV42" s="19" t="n">
        <f aca="false">DP42*C42</f>
        <v>199.727283186328</v>
      </c>
      <c r="DW42" s="19" t="n">
        <f aca="false">DO42*C42</f>
        <v>230.57519253813</v>
      </c>
      <c r="DX42" s="57" t="n">
        <f aca="false">DR42*C42</f>
        <v>0.091155278832648</v>
      </c>
      <c r="DY42" s="57" t="n">
        <f aca="false">DS42*C42</f>
        <v>0.116466621648544</v>
      </c>
      <c r="DZ42" s="57" t="n">
        <f aca="false">T42+AS42+BR42+CQ42</f>
        <v>0.00436567200667986</v>
      </c>
      <c r="EA42" s="57" t="n">
        <f aca="false">U42+AT42+BS42+CR42</f>
        <v>0.000871220659945582</v>
      </c>
      <c r="EB42" s="57" t="n">
        <f aca="false">V42+AU42+BT42+CS42</f>
        <v>0.0045379411920185</v>
      </c>
      <c r="EC42" s="57" t="n">
        <f aca="false">G42*dt*C42</f>
        <v>0.0773372809562154</v>
      </c>
    </row>
    <row r="43" customFormat="false" ht="15" hidden="false" customHeight="false" outlineLevel="0" collapsed="false">
      <c r="A43" s="8" t="n">
        <v>37</v>
      </c>
      <c r="B43" s="54" t="n">
        <f aca="false">start_age+A43*dt</f>
        <v>79.25</v>
      </c>
      <c r="C43" s="16" t="n">
        <f aca="false">(1+disc_rate)^-(A43*dt)</f>
        <v>0.871342924935355</v>
      </c>
      <c r="D43" s="55" t="n">
        <f aca="false">IF(A43*dt&gt;=wane_start,(1-wane_decay)^(A43*dt-wane_start),1)</f>
        <v>1</v>
      </c>
      <c r="E43" s="25" t="n">
        <f aca="false">MIN(p_nonvasc_death*MIN(EXP(gomp_int+gomp_slope*INT(B43)),1)/qx_ref,0.999)</f>
        <v>0.0846232874094045</v>
      </c>
      <c r="F43" s="55" t="n">
        <f aca="false">rr_stroke_per_decade^((B43-ref_age)/10)</f>
        <v>1.45507176873791</v>
      </c>
      <c r="G43" s="57" t="n">
        <f aca="false">DH42</f>
        <v>0.340322895293951</v>
      </c>
      <c r="H43" s="57" t="n">
        <f aca="false">DI42</f>
        <v>0.0498135378098568</v>
      </c>
      <c r="I43" s="57" t="n">
        <f aca="false">DJ42</f>
        <v>0.0192373917514908</v>
      </c>
      <c r="J43" s="57" t="n">
        <f aca="false">DK42</f>
        <v>0.107924970805602</v>
      </c>
      <c r="K43" s="57" t="n">
        <f aca="false">DL42</f>
        <v>0.4827012043391</v>
      </c>
      <c r="L43" s="57" t="n">
        <f aca="false">1-EXP(LN(1-E43)*dt)</f>
        <v>0.0218623746896884</v>
      </c>
      <c r="M43" s="57" t="n">
        <f aca="false">G43*(1-L43)</f>
        <v>0.332882628641555</v>
      </c>
      <c r="N43" s="57" t="n">
        <f aca="false">IF(Warfarin!$B$2=1,EXP(LN(or_apx_stroke)*D43)*(1-EXP(-r_stroke*F43*dt))/(1-(1-EXP(-r_stroke*F43*dt))+EXP(LN(or_apx_stroke)*D43)*(1-EXP(-r_stroke*F43*dt))),(1-EXP(-r_stroke*F43*dt)))</f>
        <v>0.00585017277857691</v>
      </c>
      <c r="O43" s="57" t="n">
        <f aca="false">IF(Warfarin!$B$2=1,EXP(LN(or_apx_ich)*D43)*(1-EXP(-r_ich*dt))/(1-(1-EXP(-r_ich*dt))+EXP(LN(or_apx_ich)*D43)*(1-EXP(-r_ich*dt))),(1-EXP(-r_ich*dt)))</f>
        <v>0.0020060281549299</v>
      </c>
      <c r="P43" s="57" t="n">
        <f aca="false">IF(Warfarin!$B$2=1,EXP(LN(or_apx_mb)*D43)*(1-EXP(-r_mb*dt))/(1-(1-EXP(-r_mb*dt))+EXP(LN(or_apx_mb)*D43)*(1-EXP(-r_mb*dt))),(1-EXP(-r_mb*dt)))</f>
        <v>0.00835410477572107</v>
      </c>
      <c r="Q43" s="57" t="n">
        <f aca="false">IF(Warfarin!$B$2=1,EXP(LN(or_apx_mi)*D43)*(1-EXP(-r_mi*dt))/(1-(1-EXP(-r_mi*dt))+EXP(LN(or_apx_mi)*D43)*(1-EXP(-r_mi*dt))),(1-EXP(-r_mi*dt)))</f>
        <v>0.00150338686144691</v>
      </c>
      <c r="R43" s="57" t="n">
        <f aca="false">(1-EXP(-r_tia*dt))</f>
        <v>0.0020060281549299</v>
      </c>
      <c r="S43" s="57" t="n">
        <f aca="false">(1-EXP(-r_minor*dt))</f>
        <v>0.0437937690785545</v>
      </c>
      <c r="T43" s="57" t="n">
        <f aca="false">M43*N43</f>
        <v>0.00194742089253995</v>
      </c>
      <c r="U43" s="57" t="n">
        <f aca="false">M43*O43</f>
        <v>0.000667771925342032</v>
      </c>
      <c r="V43" s="57" t="n">
        <f aca="false">M43*P43</f>
        <v>0.002780936357689</v>
      </c>
      <c r="W43" s="57" t="n">
        <f aca="false">M43*Q43</f>
        <v>0.000500451370303624</v>
      </c>
      <c r="X43" s="57" t="n">
        <f aca="false">M43*R43</f>
        <v>0.000667771925342032</v>
      </c>
      <c r="Y43" s="57" t="n">
        <f aca="false">M43*S43</f>
        <v>0.0145781849689905</v>
      </c>
      <c r="Z43" s="57" t="n">
        <f aca="false">T43*f_stroke_fatal</f>
        <v>0.000461538751531968</v>
      </c>
      <c r="AA43" s="57" t="n">
        <f aca="false">T43*(1-f_stroke_fatal)*f_stroke_major</f>
        <v>0.000494798752955658</v>
      </c>
      <c r="AB43" s="57" t="n">
        <f aca="false">T43*(1-f_stroke_fatal)*(1-f_stroke_major)</f>
        <v>0.000991083388052325</v>
      </c>
      <c r="AC43" s="57" t="n">
        <f aca="false">U43*(1-f_bleed_fatal)</f>
        <v>0.000611679083613301</v>
      </c>
      <c r="AD43" s="57" t="n">
        <f aca="false">V43*(1-f_bleed_fatal)</f>
        <v>0.00254733770364312</v>
      </c>
      <c r="AE43" s="57" t="n">
        <f aca="false">W43*f_mi_fatal</f>
        <v>6.05546158067385E-005</v>
      </c>
      <c r="AF43" s="57" t="n">
        <f aca="false">W43-AE43</f>
        <v>0.000439896754496886</v>
      </c>
      <c r="AG43" s="57" t="n">
        <f aca="false">M43-T43-U43-V43-AE43</f>
        <v>0.327425944850177</v>
      </c>
      <c r="AH43" s="19" t="n">
        <f aca="false">Z43*c_stroke_fatal+AA43*c_stroke_major+AB43*c_stroke_minor+U43*c_ich+V43*c_major_bleed+AE43*c_mi_fatal+AF43*c_mi_nonfatal+X43*c_tia+Y43*c_minor_bleed</f>
        <v>117.29253476198</v>
      </c>
      <c r="AI43" s="57" t="n">
        <f aca="false">dt*(AF43*dec_mi+AD43*dec_major_bleed+Y43*dec_minor_bleed+X43*dec_tia)</f>
        <v>0.000136909768988596</v>
      </c>
      <c r="AJ43" s="57" t="n">
        <f aca="false">G43*L43+Z43+U43-AC43+V43-AD43+AE43</f>
        <v>0.00825205151550927</v>
      </c>
      <c r="AK43" s="57" t="n">
        <f aca="false">1-EXP(LN(1-E43)*hr_death_prior_stroke*dt)</f>
        <v>0.049570474672099</v>
      </c>
      <c r="AL43" s="57" t="n">
        <f aca="false">H43*(1-AK43)</f>
        <v>0.0473442570955256</v>
      </c>
      <c r="AM43" s="57" t="n">
        <f aca="false">(1-EXP(-r_stroke*F43*rr_stroke_prior*rr_asa_stroke*dt))</f>
        <v>0.0206941188294866</v>
      </c>
      <c r="AN43" s="57" t="n">
        <f aca="false">(1-EXP(-r_ich*rr_asa_ich*dt))</f>
        <v>0.00102357767802375</v>
      </c>
      <c r="AO43" s="57" t="n">
        <f aca="false">(1-EXP(-r_mb*rr_asa_mb*dt))</f>
        <v>0.00951809672747972</v>
      </c>
      <c r="AP43" s="57" t="n">
        <f aca="false">(1-EXP(-r_mi*rr_asa_mi*dt))</f>
        <v>0.00213413516393479</v>
      </c>
      <c r="AQ43" s="57" t="n">
        <f aca="false">(1-EXP(-r_tia*rr_asa_tia*dt))</f>
        <v>0.00312764565589152</v>
      </c>
      <c r="AR43" s="57" t="n">
        <f aca="false">(1-EXP(-r_minor*rr_asa_minor*dt))</f>
        <v>0.0278181950466747</v>
      </c>
      <c r="AS43" s="57" t="n">
        <f aca="false">AL43*AM43</f>
        <v>0.00097974768222857</v>
      </c>
      <c r="AT43" s="57" t="n">
        <f aca="false">AL43*AN43</f>
        <v>4.84605247455974E-005</v>
      </c>
      <c r="AU43" s="57" t="n">
        <f aca="false">AL43*AO43</f>
        <v>0.000450627218525881</v>
      </c>
      <c r="AV43" s="57" t="n">
        <f aca="false">AL43*AP43</f>
        <v>0.000101039043877931</v>
      </c>
      <c r="AW43" s="57" t="n">
        <f aca="false">AL43*AQ43</f>
        <v>0.000148076060036232</v>
      </c>
      <c r="AX43" s="57" t="n">
        <f aca="false">AL43*AR43</f>
        <v>0.00131703177822325</v>
      </c>
      <c r="AY43" s="57" t="n">
        <f aca="false">AS43*f_stroke_fatal_recur</f>
        <v>0.000364554315080429</v>
      </c>
      <c r="AZ43" s="57" t="n">
        <f aca="false">AS43*(1-f_stroke_fatal_recur)*f_stroke_major</f>
        <v>0.000204859391260331</v>
      </c>
      <c r="BA43" s="57" t="n">
        <f aca="false">AS43*(1-f_stroke_fatal_recur)*(1-f_stroke_major)</f>
        <v>0.00041033397588781</v>
      </c>
      <c r="BB43" s="57" t="n">
        <f aca="false">AT43*(1-f_bleed_fatal)</f>
        <v>4.43898406669672E-005</v>
      </c>
      <c r="BC43" s="57" t="n">
        <f aca="false">AU43*(1-f_bleed_fatal)</f>
        <v>0.000412774532169707</v>
      </c>
      <c r="BD43" s="57" t="n">
        <f aca="false">AV43*f_mi_fatal</f>
        <v>1.22257243092296E-005</v>
      </c>
      <c r="BE43" s="57" t="n">
        <f aca="false">AV43-BD43</f>
        <v>8.88133195687009E-005</v>
      </c>
      <c r="BF43" s="57" t="n">
        <f aca="false">AL43-AS43-AT43-AU43-BD43</f>
        <v>0.0458531959457164</v>
      </c>
      <c r="BG43" s="19" t="n">
        <f aca="false">AY43*c_stroke_fatal+AZ43*c_stroke_major+BA43*c_stroke_minor+AT43*c_ich+AU43*c_major_bleed+BD43*c_mi_fatal+BE43*c_mi_nonfatal+AW43*c_tia+AX43*c_minor_bleed</f>
        <v>40.1564633433319</v>
      </c>
      <c r="BH43" s="57" t="n">
        <f aca="false">dt*(BE43*dec_mi+BC43*dec_major_bleed+AX43*dec_minor_bleed+AW43*dec_tia)</f>
        <v>2.03625423015837E-005</v>
      </c>
      <c r="BI43" s="57" t="n">
        <f aca="false">H43*AK43+AY43+AT43-BB43+AU43-BC43+BD43</f>
        <v>0.00288798412415561</v>
      </c>
      <c r="BJ43" s="57" t="n">
        <f aca="false">1-EXP(LN(1-E43)*hr_death_prior_stroke*dt)</f>
        <v>0.049570474672099</v>
      </c>
      <c r="BK43" s="57" t="n">
        <f aca="false">I43*(1-BJ43)</f>
        <v>0.0182837851109163</v>
      </c>
      <c r="BL43" s="57" t="n">
        <f aca="false">(1-EXP(-r_stroke*F43*rr_stroke_prior*rr_asa_stroke*dt))</f>
        <v>0.0206941188294866</v>
      </c>
      <c r="BM43" s="57" t="n">
        <f aca="false">(1-EXP(-r_ich*rr_asa_ich*dt))</f>
        <v>0.00102357767802375</v>
      </c>
      <c r="BN43" s="57" t="n">
        <f aca="false">(1-EXP(-r_mb*rr_asa_mb*dt))</f>
        <v>0.00951809672747972</v>
      </c>
      <c r="BO43" s="57" t="n">
        <f aca="false">(1-EXP(-r_mi*rr_asa_mi*dt))</f>
        <v>0.00213413516393479</v>
      </c>
      <c r="BP43" s="57" t="n">
        <f aca="false">(1-EXP(-r_tia*rr_asa_tia*dt))</f>
        <v>0.00312764565589152</v>
      </c>
      <c r="BQ43" s="57" t="n">
        <f aca="false">(1-EXP(-r_minor*rr_asa_minor*dt))</f>
        <v>0.0278181950466747</v>
      </c>
      <c r="BR43" s="57" t="n">
        <f aca="false">BK43*BL43</f>
        <v>0.000378366821738099</v>
      </c>
      <c r="BS43" s="57" t="n">
        <f aca="false">BK43*BM43</f>
        <v>1.87148743093168E-005</v>
      </c>
      <c r="BT43" s="57" t="n">
        <f aca="false">BK43*BN43</f>
        <v>0.000174026835230155</v>
      </c>
      <c r="BU43" s="57" t="n">
        <f aca="false">BK43*BO43</f>
        <v>3.90200687350338E-005</v>
      </c>
      <c r="BV43" s="57" t="n">
        <f aca="false">BK43*BP43</f>
        <v>5.71852010754114E-005</v>
      </c>
      <c r="BW43" s="57" t="n">
        <f aca="false">BK43*BQ43</f>
        <v>0.000508621900406956</v>
      </c>
      <c r="BX43" s="57" t="n">
        <f aca="false">BR43*f_stroke_fatal_recur</f>
        <v>0.000140786510700529</v>
      </c>
      <c r="BY43" s="57" t="n">
        <f aca="false">BR43*(1-f_stroke_fatal_recur)*f_stroke_major</f>
        <v>7.91142435755107E-005</v>
      </c>
      <c r="BZ43" s="57" t="n">
        <f aca="false">BR43*(1-f_stroke_fatal_recur)*(1-f_stroke_major)</f>
        <v>0.000158466067462059</v>
      </c>
      <c r="CA43" s="57" t="n">
        <f aca="false">BS43*(1-f_bleed_fatal)</f>
        <v>1.71428248673342E-005</v>
      </c>
      <c r="CB43" s="57" t="n">
        <f aca="false">BT43*(1-f_bleed_fatal)</f>
        <v>0.000159408581070822</v>
      </c>
      <c r="CC43" s="57" t="n">
        <f aca="false">BU43*f_mi_fatal</f>
        <v>4.72142831693909E-006</v>
      </c>
      <c r="CD43" s="57" t="n">
        <f aca="false">BU43-CC43</f>
        <v>3.42986404180947E-005</v>
      </c>
      <c r="CE43" s="57" t="n">
        <f aca="false">BK43-BR43-BS43-BT43-CC43</f>
        <v>0.0177079551513218</v>
      </c>
      <c r="CF43" s="19" t="n">
        <f aca="false">BX43*c_stroke_fatal+BY43*c_stroke_major+BZ43*c_stroke_minor+BS43*c_ich+BT43*c_major_bleed+CC43*c_mi_fatal+CD43*c_mi_nonfatal+BV43*c_tia+BW43*c_minor_bleed</f>
        <v>15.5079452424918</v>
      </c>
      <c r="CG43" s="57" t="n">
        <f aca="false">dt*(CD43*dec_mi+CB43*dec_major_bleed+BW43*dec_minor_bleed+BV43*dec_tia)</f>
        <v>7.86376998170881E-006</v>
      </c>
      <c r="CH43" s="57" t="n">
        <f aca="false">I43*BJ43+BX43+BS43-CA43+BT43-CB43+CC43</f>
        <v>0.0011153048831933</v>
      </c>
      <c r="CI43" s="57" t="n">
        <f aca="false">1-EXP(LN(1-E43)*dt)</f>
        <v>0.0218623746896884</v>
      </c>
      <c r="CJ43" s="57" t="n">
        <f aca="false">J43*(1-CI43)</f>
        <v>0.105565474655477</v>
      </c>
      <c r="CK43" s="57" t="n">
        <f aca="false">(1-EXP(-r_stroke*F43*rr_asa_stroke*dt))</f>
        <v>0.00946007958444561</v>
      </c>
      <c r="CL43" s="57" t="n">
        <f aca="false">(1-EXP(-r_ich*rr_asa_ich*dt))</f>
        <v>0.00102357767802375</v>
      </c>
      <c r="CM43" s="57" t="n">
        <f aca="false">(1-EXP(-r_mb*rr_asa_mb*dt))</f>
        <v>0.00951809672747972</v>
      </c>
      <c r="CN43" s="57" t="n">
        <f aca="false">(1-EXP(-r_mi*rr_asa_mi*dt))</f>
        <v>0.00213413516393479</v>
      </c>
      <c r="CO43" s="57" t="n">
        <f aca="false">(1-EXP(-r_tia*rr_asa_tia*dt))</f>
        <v>0.00312764565589152</v>
      </c>
      <c r="CP43" s="57" t="n">
        <f aca="false">(1-EXP(-r_minor*rr_asa_minor*dt))</f>
        <v>0.0278181950466747</v>
      </c>
      <c r="CQ43" s="57" t="n">
        <f aca="false">CJ43*CK43</f>
        <v>0.000998657791610585</v>
      </c>
      <c r="CR43" s="57" t="n">
        <f aca="false">CJ43*CL43</f>
        <v>0.000108054463427327</v>
      </c>
      <c r="CS43" s="57" t="n">
        <f aca="false">CJ43*CM43</f>
        <v>0.00100478239885314</v>
      </c>
      <c r="CT43" s="57" t="n">
        <f aca="false">CJ43*CN43</f>
        <v>0.00022529099155972</v>
      </c>
      <c r="CU43" s="57" t="n">
        <f aca="false">CJ43*CO43</f>
        <v>0.000330171398218328</v>
      </c>
      <c r="CV43" s="57" t="n">
        <f aca="false">CJ43*CP43</f>
        <v>0.00293664096416084</v>
      </c>
      <c r="CW43" s="57" t="n">
        <f aca="false">CQ43*f_stroke_fatal</f>
        <v>0.000236681896611709</v>
      </c>
      <c r="CX43" s="57" t="n">
        <f aca="false">CQ43*(1-f_stroke_fatal)*f_stroke_major</f>
        <v>0.000253737973034626</v>
      </c>
      <c r="CY43" s="57" t="n">
        <f aca="false">CQ43*(1-f_stroke_fatal)*(1-f_stroke_major)</f>
        <v>0.000508237921964251</v>
      </c>
      <c r="CZ43" s="57" t="n">
        <f aca="false">CR43*(1-f_bleed_fatal)</f>
        <v>9.89778884994319E-005</v>
      </c>
      <c r="DA43" s="57" t="n">
        <f aca="false">CS43*(1-f_bleed_fatal)</f>
        <v>0.000920380677349472</v>
      </c>
      <c r="DB43" s="57" t="n">
        <f aca="false">CT43*f_mi_fatal</f>
        <v>2.72602099787261E-005</v>
      </c>
      <c r="DC43" s="57" t="n">
        <f aca="false">CT43-DB43</f>
        <v>0.000198030781580994</v>
      </c>
      <c r="DD43" s="57" t="n">
        <f aca="false">CJ43-CQ43-CR43-CS43-DB43</f>
        <v>0.103426719791607</v>
      </c>
      <c r="DE43" s="19" t="n">
        <f aca="false">CW43*c_stroke_fatal+CX43*c_stroke_major+CY43*c_stroke_minor+CR43*c_ich+CS43*c_major_bleed+DB43*c_mi_fatal+DC43*c_mi_nonfatal+CU43*c_tia+CV43*c_minor_bleed</f>
        <v>51.1133021070689</v>
      </c>
      <c r="DF43" s="57" t="n">
        <f aca="false">dt*(DC43*dec_mi+DA43*dec_major_bleed+CV43*dec_minor_bleed+CU43*dec_tia)</f>
        <v>4.54032141410886E-005</v>
      </c>
      <c r="DG43" s="57" t="n">
        <f aca="false">J43*CI43+CW43+CR43-CZ43+CS43-DA43+DB43</f>
        <v>0.00271691655314776</v>
      </c>
      <c r="DH43" s="57" t="n">
        <f aca="false">AG43</f>
        <v>0.327425944850177</v>
      </c>
      <c r="DI43" s="57" t="n">
        <f aca="false">AB43+AC43+BF43+BA43+BB43+BC43+CY43+CZ43</f>
        <v>0.0489306725765701</v>
      </c>
      <c r="DJ43" s="57" t="n">
        <f aca="false">AA43+AZ43+BY43+CX43+CE43+BZ43+CA43+CB43</f>
        <v>0.0190754829855481</v>
      </c>
      <c r="DK43" s="57" t="n">
        <f aca="false">AD43+DD43+DA43</f>
        <v>0.106894438172599</v>
      </c>
      <c r="DL43" s="57" t="n">
        <f aca="false">K43+AJ43+BI43+CH43+DG43</f>
        <v>0.497673461415106</v>
      </c>
      <c r="DM43" s="58" t="n">
        <f aca="false">SUM(DH43:DL43)</f>
        <v>1</v>
      </c>
      <c r="DN43" s="19" t="n">
        <f aca="false">dt*(G43*Warfarin!$H$2+(H43+I43+J43)*c_aspirin)</f>
        <v>34.4177519586493</v>
      </c>
      <c r="DO43" s="19" t="n">
        <f aca="false">dt*(H43*c_lt_minor_stroke+I43*c_lt_major_stroke)</f>
        <v>260.256834928948</v>
      </c>
      <c r="DP43" s="19" t="n">
        <f aca="false">AH43+BG43+CF43+DE43</f>
        <v>224.070245454872</v>
      </c>
      <c r="DQ43" s="19" t="n">
        <f aca="false">DN43+DO43+DP43</f>
        <v>518.74483234247</v>
      </c>
      <c r="DR43" s="57" t="n">
        <f aca="false">dt*(G43*(u_af-dec_per_year_over_70*MAX(B43-ref_age,0))+H43*(u_minor_stroke-dec_per_year_over_70*MAX(B43-ref_age,0))+I43*(u_major_stroke-dec_per_year_over_70*MAX(B43-ref_age,0))+J43*(u_af-dec_per_year_over_70*MAX(B43-ref_age,0)))-AI43-BH43-CG43-DF43</f>
        <v>0.101152367548391</v>
      </c>
      <c r="DS43" s="57" t="n">
        <f aca="false">dt*(G43+H43+I43+J43)</f>
        <v>0.129324698915225</v>
      </c>
      <c r="DT43" s="19" t="n">
        <f aca="false">DQ43*C43</f>
        <v>452.004639508388</v>
      </c>
      <c r="DU43" s="19" t="n">
        <f aca="false">DN43*C43</f>
        <v>29.989664661349</v>
      </c>
      <c r="DV43" s="19" t="n">
        <f aca="false">DP43*C43</f>
        <v>195.242023065631</v>
      </c>
      <c r="DW43" s="19" t="n">
        <f aca="false">DO43*C43</f>
        <v>226.772951781408</v>
      </c>
      <c r="DX43" s="57" t="n">
        <f aca="false">DR43*C43</f>
        <v>0.0881383998037511</v>
      </c>
      <c r="DY43" s="57" t="n">
        <f aca="false">DS43*C43</f>
        <v>0.112686161419176</v>
      </c>
      <c r="DZ43" s="57" t="n">
        <f aca="false">T43+AS43+BR43+CQ43</f>
        <v>0.00430419318811721</v>
      </c>
      <c r="EA43" s="57" t="n">
        <f aca="false">U43+AT43+BS43+CR43</f>
        <v>0.000843001787824273</v>
      </c>
      <c r="EB43" s="57" t="n">
        <f aca="false">V43+AU43+BT43+CS43</f>
        <v>0.00441037281029817</v>
      </c>
      <c r="EC43" s="57" t="n">
        <f aca="false">G43*dt*C43</f>
        <v>0.0741344867519749</v>
      </c>
    </row>
    <row r="44" customFormat="false" ht="15" hidden="false" customHeight="false" outlineLevel="0" collapsed="false">
      <c r="A44" s="8" t="n">
        <v>38</v>
      </c>
      <c r="B44" s="54" t="n">
        <f aca="false">start_age+A44*dt</f>
        <v>79.5</v>
      </c>
      <c r="C44" s="16" t="n">
        <f aca="false">(1+disc_rate)^-(A44*dt)</f>
        <v>0.868105681640852</v>
      </c>
      <c r="D44" s="55" t="n">
        <f aca="false">IF(A44*dt&gt;=wane_start,(1-wane_decay)^(A44*dt-wane_start),1)</f>
        <v>1</v>
      </c>
      <c r="E44" s="25" t="n">
        <f aca="false">MIN(p_nonvasc_death*MIN(EXP(gomp_int+gomp_slope*INT(B44)),1)/qx_ref,0.999)</f>
        <v>0.0846232874094045</v>
      </c>
      <c r="F44" s="55" t="n">
        <f aca="false">rr_stroke_per_decade^((B44-ref_age)/10)</f>
        <v>1.46989629796884</v>
      </c>
      <c r="G44" s="57" t="n">
        <f aca="false">DH43</f>
        <v>0.327425944850177</v>
      </c>
      <c r="H44" s="57" t="n">
        <f aca="false">DI43</f>
        <v>0.0489306725765701</v>
      </c>
      <c r="I44" s="57" t="n">
        <f aca="false">DJ43</f>
        <v>0.0190754829855481</v>
      </c>
      <c r="J44" s="57" t="n">
        <f aca="false">DK43</f>
        <v>0.106894438172599</v>
      </c>
      <c r="K44" s="57" t="n">
        <f aca="false">DL43</f>
        <v>0.497673461415106</v>
      </c>
      <c r="L44" s="57" t="n">
        <f aca="false">1-EXP(LN(1-E44)*dt)</f>
        <v>0.0218623746896884</v>
      </c>
      <c r="M44" s="57" t="n">
        <f aca="false">G44*(1-L44)</f>
        <v>0.320267636160737</v>
      </c>
      <c r="N44" s="57" t="n">
        <f aca="false">IF(Warfarin!$B$2=1,EXP(LN(or_apx_stroke)*D44)*(1-EXP(-r_stroke*F44*dt))/(1-(1-EXP(-r_stroke*F44*dt))+EXP(LN(or_apx_stroke)*D44)*(1-EXP(-r_stroke*F44*dt))),(1-EXP(-r_stroke*F44*dt)))</f>
        <v>0.00590959891643106</v>
      </c>
      <c r="O44" s="57" t="n">
        <f aca="false">IF(Warfarin!$B$2=1,EXP(LN(or_apx_ich)*D44)*(1-EXP(-r_ich*dt))/(1-(1-EXP(-r_ich*dt))+EXP(LN(or_apx_ich)*D44)*(1-EXP(-r_ich*dt))),(1-EXP(-r_ich*dt)))</f>
        <v>0.0020060281549299</v>
      </c>
      <c r="P44" s="57" t="n">
        <f aca="false">IF(Warfarin!$B$2=1,EXP(LN(or_apx_mb)*D44)*(1-EXP(-r_mb*dt))/(1-(1-EXP(-r_mb*dt))+EXP(LN(or_apx_mb)*D44)*(1-EXP(-r_mb*dt))),(1-EXP(-r_mb*dt)))</f>
        <v>0.00835410477572107</v>
      </c>
      <c r="Q44" s="57" t="n">
        <f aca="false">IF(Warfarin!$B$2=1,EXP(LN(or_apx_mi)*D44)*(1-EXP(-r_mi*dt))/(1-(1-EXP(-r_mi*dt))+EXP(LN(or_apx_mi)*D44)*(1-EXP(-r_mi*dt))),(1-EXP(-r_mi*dt)))</f>
        <v>0.00150338686144691</v>
      </c>
      <c r="R44" s="57" t="n">
        <f aca="false">(1-EXP(-r_tia*dt))</f>
        <v>0.0020060281549299</v>
      </c>
      <c r="S44" s="57" t="n">
        <f aca="false">(1-EXP(-r_minor*dt))</f>
        <v>0.0437937690785545</v>
      </c>
      <c r="T44" s="57" t="n">
        <f aca="false">M44*N44</f>
        <v>0.00189265327562343</v>
      </c>
      <c r="U44" s="57" t="n">
        <f aca="false">M44*O44</f>
        <v>0.000642465895251283</v>
      </c>
      <c r="V44" s="57" t="n">
        <f aca="false">M44*P44</f>
        <v>0.00267554938875931</v>
      </c>
      <c r="W44" s="57" t="n">
        <f aca="false">M44*Q44</f>
        <v>0.000481486156350712</v>
      </c>
      <c r="X44" s="57" t="n">
        <f aca="false">M44*R44</f>
        <v>0.000642465895251283</v>
      </c>
      <c r="Y44" s="57" t="n">
        <f aca="false">M44*S44</f>
        <v>0.0140257269013578</v>
      </c>
      <c r="Z44" s="57" t="n">
        <f aca="false">T44*f_stroke_fatal</f>
        <v>0.000448558826322753</v>
      </c>
      <c r="AA44" s="57" t="n">
        <f aca="false">T44*(1-f_stroke_fatal)*f_stroke_major</f>
        <v>0.000480883451617125</v>
      </c>
      <c r="AB44" s="57" t="n">
        <f aca="false">T44*(1-f_stroke_fatal)*(1-f_stroke_major)</f>
        <v>0.000963210997683551</v>
      </c>
      <c r="AC44" s="57" t="n">
        <f aca="false">U44*(1-f_bleed_fatal)</f>
        <v>0.000588498760050175</v>
      </c>
      <c r="AD44" s="57" t="n">
        <f aca="false">V44*(1-f_bleed_fatal)</f>
        <v>0.00245080324010353</v>
      </c>
      <c r="AE44" s="57" t="n">
        <f aca="false">W44*f_mi_fatal</f>
        <v>5.82598249184361E-005</v>
      </c>
      <c r="AF44" s="57" t="n">
        <f aca="false">W44-AE44</f>
        <v>0.000423226331432275</v>
      </c>
      <c r="AG44" s="57" t="n">
        <f aca="false">M44-T44-U44-V44-AE44</f>
        <v>0.314998707776185</v>
      </c>
      <c r="AH44" s="19" t="n">
        <f aca="false">Z44*c_stroke_fatal+AA44*c_stroke_major+AB44*c_stroke_minor+U44*c_ich+V44*c_major_bleed+AE44*c_mi_fatal+AF44*c_mi_nonfatal+X44*c_tia+Y44*c_minor_bleed</f>
        <v>113.550788597008</v>
      </c>
      <c r="AI44" s="57" t="n">
        <f aca="false">dt*(AF44*dec_mi+AD44*dec_major_bleed+Y44*dec_minor_bleed+X44*dec_tia)</f>
        <v>0.000131721406611773</v>
      </c>
      <c r="AJ44" s="57" t="n">
        <f aca="false">G44*L44+Z44+U44-AC44+V44-AD44+AE44</f>
        <v>0.00794384062453791</v>
      </c>
      <c r="AK44" s="57" t="n">
        <f aca="false">1-EXP(LN(1-E44)*hr_death_prior_stroke*dt)</f>
        <v>0.049570474672099</v>
      </c>
      <c r="AL44" s="57" t="n">
        <f aca="false">H44*(1-AK44)</f>
        <v>0.0465051559109245</v>
      </c>
      <c r="AM44" s="57" t="n">
        <f aca="false">(1-EXP(-r_stroke*F44*rr_stroke_prior*rr_asa_stroke*dt))</f>
        <v>0.0209027352269155</v>
      </c>
      <c r="AN44" s="57" t="n">
        <f aca="false">(1-EXP(-r_ich*rr_asa_ich*dt))</f>
        <v>0.00102357767802375</v>
      </c>
      <c r="AO44" s="57" t="n">
        <f aca="false">(1-EXP(-r_mb*rr_asa_mb*dt))</f>
        <v>0.00951809672747972</v>
      </c>
      <c r="AP44" s="57" t="n">
        <f aca="false">(1-EXP(-r_mi*rr_asa_mi*dt))</f>
        <v>0.00213413516393479</v>
      </c>
      <c r="AQ44" s="57" t="n">
        <f aca="false">(1-EXP(-r_tia*rr_asa_tia*dt))</f>
        <v>0.00312764565589152</v>
      </c>
      <c r="AR44" s="57" t="n">
        <f aca="false">(1-EXP(-r_minor*rr_asa_minor*dt))</f>
        <v>0.0278181950466747</v>
      </c>
      <c r="AS44" s="57" t="n">
        <f aca="false">AL44*AM44</f>
        <v>0.000972084960692481</v>
      </c>
      <c r="AT44" s="57" t="n">
        <f aca="false">AL44*AN44</f>
        <v>4.76016395034364E-005</v>
      </c>
      <c r="AU44" s="57" t="n">
        <f aca="false">AL44*AO44</f>
        <v>0.000442640572286705</v>
      </c>
      <c r="AV44" s="57" t="n">
        <f aca="false">AL44*AP44</f>
        <v>9.92482885337739E-005</v>
      </c>
      <c r="AW44" s="57" t="n">
        <f aca="false">AL44*AQ44</f>
        <v>0.000145451648861361</v>
      </c>
      <c r="AX44" s="57" t="n">
        <f aca="false">AL44*AR44</f>
        <v>0.00129368949780612</v>
      </c>
      <c r="AY44" s="57" t="n">
        <f aca="false">AS44*f_stroke_fatal_recur</f>
        <v>0.000361703093024065</v>
      </c>
      <c r="AZ44" s="57" t="n">
        <f aca="false">AS44*(1-f_stroke_fatal_recur)*f_stroke_major</f>
        <v>0.000203257161933583</v>
      </c>
      <c r="BA44" s="57" t="n">
        <f aca="false">AS44*(1-f_stroke_fatal_recur)*(1-f_stroke_major)</f>
        <v>0.000407124705734833</v>
      </c>
      <c r="BB44" s="57" t="n">
        <f aca="false">AT44*(1-f_bleed_fatal)</f>
        <v>4.36031017851477E-005</v>
      </c>
      <c r="BC44" s="57" t="n">
        <f aca="false">AU44*(1-f_bleed_fatal)</f>
        <v>0.000405458764214621</v>
      </c>
      <c r="BD44" s="57" t="n">
        <f aca="false">AV44*f_mi_fatal</f>
        <v>1.20090429125866E-005</v>
      </c>
      <c r="BE44" s="57" t="n">
        <f aca="false">AV44-BD44</f>
        <v>8.72392456211873E-005</v>
      </c>
      <c r="BF44" s="57" t="n">
        <f aca="false">AL44-AS44-AT44-AU44-BD44</f>
        <v>0.0450308196955293</v>
      </c>
      <c r="BG44" s="19" t="n">
        <f aca="false">AY44*c_stroke_fatal+AZ44*c_stroke_major+BA44*c_stroke_minor+AT44*c_ich+AU44*c_major_bleed+BD44*c_mi_fatal+BE44*c_mi_nonfatal+AW44*c_tia+AX44*c_minor_bleed</f>
        <v>39.7792649622559</v>
      </c>
      <c r="BH44" s="57" t="n">
        <f aca="false">dt*(BE44*dec_mi+BC44*dec_major_bleed+AX44*dec_minor_bleed+AW44*dec_tia)</f>
        <v>2.00016488286483E-005</v>
      </c>
      <c r="BI44" s="57" t="n">
        <f aca="false">H44*AK44+AY44+AT44-BB44+AU44-BC44+BD44</f>
        <v>0.00284040914737266</v>
      </c>
      <c r="BJ44" s="57" t="n">
        <f aca="false">1-EXP(LN(1-E44)*hr_death_prior_stroke*dt)</f>
        <v>0.049570474672099</v>
      </c>
      <c r="BK44" s="57" t="n">
        <f aca="false">I44*(1-BJ44)</f>
        <v>0.018129902239355</v>
      </c>
      <c r="BL44" s="57" t="n">
        <f aca="false">(1-EXP(-r_stroke*F44*rr_stroke_prior*rr_asa_stroke*dt))</f>
        <v>0.0209027352269155</v>
      </c>
      <c r="BM44" s="57" t="n">
        <f aca="false">(1-EXP(-r_ich*rr_asa_ich*dt))</f>
        <v>0.00102357767802375</v>
      </c>
      <c r="BN44" s="57" t="n">
        <f aca="false">(1-EXP(-r_mb*rr_asa_mb*dt))</f>
        <v>0.00951809672747972</v>
      </c>
      <c r="BO44" s="57" t="n">
        <f aca="false">(1-EXP(-r_mi*rr_asa_mi*dt))</f>
        <v>0.00213413516393479</v>
      </c>
      <c r="BP44" s="57" t="n">
        <f aca="false">(1-EXP(-r_tia*rr_asa_tia*dt))</f>
        <v>0.00312764565589152</v>
      </c>
      <c r="BQ44" s="57" t="n">
        <f aca="false">(1-EXP(-r_minor*rr_asa_minor*dt))</f>
        <v>0.0278181950466747</v>
      </c>
      <c r="BR44" s="57" t="n">
        <f aca="false">BK44*BL44</f>
        <v>0.0003789645461991</v>
      </c>
      <c r="BS44" s="57" t="n">
        <f aca="false">BK44*BM44</f>
        <v>1.85573632369565E-005</v>
      </c>
      <c r="BT44" s="57" t="n">
        <f aca="false">BK44*BN44</f>
        <v>0.000172562163173932</v>
      </c>
      <c r="BU44" s="57" t="n">
        <f aca="false">BK44*BO44</f>
        <v>3.86916618877075E-005</v>
      </c>
      <c r="BV44" s="57" t="n">
        <f aca="false">BK44*BP44</f>
        <v>5.67039099806565E-005</v>
      </c>
      <c r="BW44" s="57" t="n">
        <f aca="false">BK44*BQ44</f>
        <v>0.000504341156671521</v>
      </c>
      <c r="BX44" s="57" t="n">
        <f aca="false">BR44*f_stroke_fatal_recur</f>
        <v>0.000141008917995223</v>
      </c>
      <c r="BY44" s="57" t="n">
        <f aca="false">BR44*(1-f_stroke_fatal_recur)*f_stroke_major</f>
        <v>7.92392241918909E-005</v>
      </c>
      <c r="BZ44" s="57" t="n">
        <f aca="false">BR44*(1-f_stroke_fatal_recur)*(1-f_stroke_major)</f>
        <v>0.000158716404011986</v>
      </c>
      <c r="CA44" s="57" t="n">
        <f aca="false">BS44*(1-f_bleed_fatal)</f>
        <v>1.69985447250521E-005</v>
      </c>
      <c r="CB44" s="57" t="n">
        <f aca="false">BT44*(1-f_bleed_fatal)</f>
        <v>0.000158066941467321</v>
      </c>
      <c r="CC44" s="57" t="n">
        <f aca="false">BU44*f_mi_fatal</f>
        <v>4.68169108841261E-006</v>
      </c>
      <c r="CD44" s="57" t="n">
        <f aca="false">BU44-CC44</f>
        <v>3.40099707992949E-005</v>
      </c>
      <c r="CE44" s="57" t="n">
        <f aca="false">BK44-BR44-BS44-BT44-CC44</f>
        <v>0.0175551364756566</v>
      </c>
      <c r="CF44" s="19" t="n">
        <f aca="false">BX44*c_stroke_fatal+BY44*c_stroke_major+BZ44*c_stroke_minor+BS44*c_ich+BT44*c_major_bleed+CC44*c_mi_fatal+CD44*c_mi_nonfatal+BV44*c_tia+BW44*c_minor_bleed</f>
        <v>15.5078328583709</v>
      </c>
      <c r="CG44" s="57" t="n">
        <f aca="false">dt*(CD44*dec_mi+CB44*dec_major_bleed+BW44*dec_minor_bleed+BV44*dec_tia)</f>
        <v>7.7975856824107E-006</v>
      </c>
      <c r="CH44" s="57" t="n">
        <f aca="false">I44*BJ44+BX44+BS44-CA44+BT44-CB44+CC44</f>
        <v>0.00110732539549532</v>
      </c>
      <c r="CI44" s="57" t="n">
        <f aca="false">1-EXP(LN(1-E44)*dt)</f>
        <v>0.0218623746896884</v>
      </c>
      <c r="CJ44" s="57" t="n">
        <f aca="false">J44*(1-CI44)</f>
        <v>0.104557471913026</v>
      </c>
      <c r="CK44" s="57" t="n">
        <f aca="false">(1-EXP(-r_stroke*F44*rr_asa_stroke*dt))</f>
        <v>0.00955599857827083</v>
      </c>
      <c r="CL44" s="57" t="n">
        <f aca="false">(1-EXP(-r_ich*rr_asa_ich*dt))</f>
        <v>0.00102357767802375</v>
      </c>
      <c r="CM44" s="57" t="n">
        <f aca="false">(1-EXP(-r_mb*rr_asa_mb*dt))</f>
        <v>0.00951809672747972</v>
      </c>
      <c r="CN44" s="57" t="n">
        <f aca="false">(1-EXP(-r_mi*rr_asa_mi*dt))</f>
        <v>0.00213413516393479</v>
      </c>
      <c r="CO44" s="57" t="n">
        <f aca="false">(1-EXP(-r_tia*rr_asa_tia*dt))</f>
        <v>0.00312764565589152</v>
      </c>
      <c r="CP44" s="57" t="n">
        <f aca="false">(1-EXP(-r_minor*rr_asa_minor*dt))</f>
        <v>0.0278181950466747</v>
      </c>
      <c r="CQ44" s="57" t="n">
        <f aca="false">CJ44*CK44</f>
        <v>0.000999151052948472</v>
      </c>
      <c r="CR44" s="57" t="n">
        <f aca="false">CJ44*CL44</f>
        <v>0.000107022694320769</v>
      </c>
      <c r="CS44" s="57" t="n">
        <f aca="false">CJ44*CM44</f>
        <v>0.000995188131248929</v>
      </c>
      <c r="CT44" s="57" t="n">
        <f aca="false">CJ44*CN44</f>
        <v>0.000223139777461714</v>
      </c>
      <c r="CU44" s="57" t="n">
        <f aca="false">CJ44*CO44</f>
        <v>0.000327018722819776</v>
      </c>
      <c r="CV44" s="57" t="n">
        <f aca="false">CJ44*CP44</f>
        <v>0.00290860014726378</v>
      </c>
      <c r="CW44" s="57" t="n">
        <f aca="false">CQ44*f_stroke_fatal</f>
        <v>0.000236798799548788</v>
      </c>
      <c r="CX44" s="57" t="n">
        <f aca="false">CQ44*(1-f_stroke_fatal)*f_stroke_major</f>
        <v>0.000253863300382095</v>
      </c>
      <c r="CY44" s="57" t="n">
        <f aca="false">CQ44*(1-f_stroke_fatal)*(1-f_stroke_major)</f>
        <v>0.000508488953017589</v>
      </c>
      <c r="CZ44" s="57" t="n">
        <f aca="false">CR44*(1-f_bleed_fatal)</f>
        <v>9.8032787997824E-005</v>
      </c>
      <c r="DA44" s="57" t="n">
        <f aca="false">CS44*(1-f_bleed_fatal)</f>
        <v>0.000911592328224019</v>
      </c>
      <c r="DB44" s="57" t="n">
        <f aca="false">CT44*f_mi_fatal</f>
        <v>2.69999130728674E-005</v>
      </c>
      <c r="DC44" s="57" t="n">
        <f aca="false">CT44-DB44</f>
        <v>0.000196139864388846</v>
      </c>
      <c r="DD44" s="57" t="n">
        <f aca="false">CJ44-CQ44-CR44-CS44-DB44</f>
        <v>0.102429110121435</v>
      </c>
      <c r="DE44" s="19" t="n">
        <f aca="false">CW44*c_stroke_fatal+CX44*c_stroke_major+CY44*c_stroke_minor+CR44*c_ich+CS44*c_major_bleed+DB44*c_mi_fatal+DC44*c_mi_nonfatal+CU44*c_tia+CV44*c_minor_bleed</f>
        <v>50.9957910537473</v>
      </c>
      <c r="DF44" s="57" t="n">
        <f aca="false">dt*(DC44*dec_mi+DA44*dec_major_bleed+CV44*dec_minor_bleed+CU44*dec_tia)</f>
        <v>4.49696769025204E-005</v>
      </c>
      <c r="DG44" s="57" t="n">
        <f aca="false">J44*CI44+CW44+CR44-CZ44+CS44-DA44+DB44</f>
        <v>0.00269335068154261</v>
      </c>
      <c r="DH44" s="57" t="n">
        <f aca="false">AG44</f>
        <v>0.314998707776185</v>
      </c>
      <c r="DI44" s="57" t="n">
        <f aca="false">AB44+AC44+BF44+BA44+BB44+BC44+CY44+CZ44</f>
        <v>0.048045237766013</v>
      </c>
      <c r="DJ44" s="57" t="n">
        <f aca="false">AA44+AZ44+BY44+CX44+CE44+BZ44+CA44+CB44</f>
        <v>0.0189061615039856</v>
      </c>
      <c r="DK44" s="57" t="n">
        <f aca="false">AD44+DD44+DA44</f>
        <v>0.105791505689763</v>
      </c>
      <c r="DL44" s="57" t="n">
        <f aca="false">K44+AJ44+BI44+CH44+DG44</f>
        <v>0.512258387264054</v>
      </c>
      <c r="DM44" s="58" t="n">
        <f aca="false">SUM(DH44:DL44)</f>
        <v>1</v>
      </c>
      <c r="DN44" s="19" t="n">
        <f aca="false">dt*(G44*Warfarin!$H$2+(H44+I44+J44)*c_aspirin)</f>
        <v>33.1586519134138</v>
      </c>
      <c r="DO44" s="19" t="n">
        <f aca="false">dt*(H44*c_lt_minor_stroke+I44*c_lt_major_stroke)</f>
        <v>256.813105530796</v>
      </c>
      <c r="DP44" s="19" t="n">
        <f aca="false">AH44+BG44+CF44+DE44</f>
        <v>219.833677471382</v>
      </c>
      <c r="DQ44" s="19" t="n">
        <f aca="false">DN44+DO44+DP44</f>
        <v>509.805434915592</v>
      </c>
      <c r="DR44" s="57" t="n">
        <f aca="false">dt*(G44*(u_af-dec_per_year_over_70*MAX(B44-ref_age,0))+H44*(u_minor_stroke-dec_per_year_over_70*MAX(B44-ref_age,0))+I44*(u_major_stroke-dec_per_year_over_70*MAX(B44-ref_age,0))+J44*(u_af-dec_per_year_over_70*MAX(B44-ref_age,0)))-AI44-BH44-CG44-DF44</f>
        <v>0.0981600373589918</v>
      </c>
      <c r="DS44" s="57" t="n">
        <f aca="false">dt*(G44+H44+I44+J44)</f>
        <v>0.125581634646224</v>
      </c>
      <c r="DT44" s="19" t="n">
        <f aca="false">DQ44*C44</f>
        <v>442.564994581611</v>
      </c>
      <c r="DU44" s="19" t="n">
        <f aca="false">DN44*C44</f>
        <v>28.7852141215858</v>
      </c>
      <c r="DV44" s="19" t="n">
        <f aca="false">DP44*C44</f>
        <v>190.83886442891</v>
      </c>
      <c r="DW44" s="19" t="n">
        <f aca="false">DO44*C44</f>
        <v>222.940916031116</v>
      </c>
      <c r="DX44" s="57" t="n">
        <f aca="false">DR44*C44</f>
        <v>0.0852132861414191</v>
      </c>
      <c r="DY44" s="57" t="n">
        <f aca="false">DS44*C44</f>
        <v>0.109018130546133</v>
      </c>
      <c r="DZ44" s="57" t="n">
        <f aca="false">T44+AS44+BR44+CQ44</f>
        <v>0.00424285383546348</v>
      </c>
      <c r="EA44" s="57" t="n">
        <f aca="false">U44+AT44+BS44+CR44</f>
        <v>0.000815647592312444</v>
      </c>
      <c r="EB44" s="57" t="n">
        <f aca="false">V44+AU44+BT44+CS44</f>
        <v>0.00428594025546888</v>
      </c>
      <c r="EC44" s="57" t="n">
        <f aca="false">G44*dt*C44</f>
        <v>0.0710600807602658</v>
      </c>
    </row>
    <row r="45" customFormat="false" ht="15" hidden="false" customHeight="false" outlineLevel="0" collapsed="false">
      <c r="A45" s="8" t="n">
        <v>39</v>
      </c>
      <c r="B45" s="54" t="n">
        <f aca="false">start_age+A45*dt</f>
        <v>79.75</v>
      </c>
      <c r="C45" s="16" t="n">
        <f aca="false">(1+disc_rate)^-(A45*dt)</f>
        <v>0.864880465464317</v>
      </c>
      <c r="D45" s="55" t="n">
        <f aca="false">IF(A45*dt&gt;=wane_start,(1-wane_decay)^(A45*dt-wane_start),1)</f>
        <v>1</v>
      </c>
      <c r="E45" s="25" t="n">
        <f aca="false">MIN(p_nonvasc_death*MIN(EXP(gomp_int+gomp_slope*INT(B45)),1)/qx_ref,0.999)</f>
        <v>0.0846232874094045</v>
      </c>
      <c r="F45" s="55" t="n">
        <f aca="false">rr_stroke_per_decade^((B45-ref_age)/10)</f>
        <v>1.48487186213264</v>
      </c>
      <c r="G45" s="57" t="n">
        <f aca="false">DH44</f>
        <v>0.314998707776185</v>
      </c>
      <c r="H45" s="57" t="n">
        <f aca="false">DI44</f>
        <v>0.048045237766013</v>
      </c>
      <c r="I45" s="57" t="n">
        <f aca="false">DJ44</f>
        <v>0.0189061615039856</v>
      </c>
      <c r="J45" s="57" t="n">
        <f aca="false">DK44</f>
        <v>0.105791505689763</v>
      </c>
      <c r="K45" s="57" t="n">
        <f aca="false">DL44</f>
        <v>0.512258387264054</v>
      </c>
      <c r="L45" s="57" t="n">
        <f aca="false">1-EXP(LN(1-E45)*dt)</f>
        <v>0.0218623746896884</v>
      </c>
      <c r="M45" s="57" t="n">
        <f aca="false">G45*(1-L45)</f>
        <v>0.308112088000014</v>
      </c>
      <c r="N45" s="57" t="n">
        <f aca="false">IF(Warfarin!$B$2=1,EXP(LN(or_apx_stroke)*D45)*(1-EXP(-r_stroke*F45*dt))/(1-(1-EXP(-r_stroke*F45*dt))+EXP(LN(or_apx_stroke)*D45)*(1-EXP(-r_stroke*F45*dt))),(1-EXP(-r_stroke*F45*dt)))</f>
        <v>0.00596962689159952</v>
      </c>
      <c r="O45" s="57" t="n">
        <f aca="false">IF(Warfarin!$B$2=1,EXP(LN(or_apx_ich)*D45)*(1-EXP(-r_ich*dt))/(1-(1-EXP(-r_ich*dt))+EXP(LN(or_apx_ich)*D45)*(1-EXP(-r_ich*dt))),(1-EXP(-r_ich*dt)))</f>
        <v>0.0020060281549299</v>
      </c>
      <c r="P45" s="57" t="n">
        <f aca="false">IF(Warfarin!$B$2=1,EXP(LN(or_apx_mb)*D45)*(1-EXP(-r_mb*dt))/(1-(1-EXP(-r_mb*dt))+EXP(LN(or_apx_mb)*D45)*(1-EXP(-r_mb*dt))),(1-EXP(-r_mb*dt)))</f>
        <v>0.00835410477572107</v>
      </c>
      <c r="Q45" s="57" t="n">
        <f aca="false">IF(Warfarin!$B$2=1,EXP(LN(or_apx_mi)*D45)*(1-EXP(-r_mi*dt))/(1-(1-EXP(-r_mi*dt))+EXP(LN(or_apx_mi)*D45)*(1-EXP(-r_mi*dt))),(1-EXP(-r_mi*dt)))</f>
        <v>0.00150338686144691</v>
      </c>
      <c r="R45" s="57" t="n">
        <f aca="false">(1-EXP(-r_tia*dt))</f>
        <v>0.0020060281549299</v>
      </c>
      <c r="S45" s="57" t="n">
        <f aca="false">(1-EXP(-r_minor*dt))</f>
        <v>0.0437937690785545</v>
      </c>
      <c r="T45" s="57" t="n">
        <f aca="false">M45*N45</f>
        <v>0.00183931420615176</v>
      </c>
      <c r="U45" s="57" t="n">
        <f aca="false">M45*O45</f>
        <v>0.000618081523402266</v>
      </c>
      <c r="V45" s="57" t="n">
        <f aca="false">M45*P45</f>
        <v>0.00257400066581831</v>
      </c>
      <c r="W45" s="57" t="n">
        <f aca="false">M45*Q45</f>
        <v>0.000463211664952195</v>
      </c>
      <c r="X45" s="57" t="n">
        <f aca="false">M45*R45</f>
        <v>0.000618081523402266</v>
      </c>
      <c r="Y45" s="57" t="n">
        <f aca="false">M45*S45</f>
        <v>0.0134933896321839</v>
      </c>
      <c r="Z45" s="57" t="n">
        <f aca="false">T45*f_stroke_fatal</f>
        <v>0.000435917466857968</v>
      </c>
      <c r="AA45" s="57" t="n">
        <f aca="false">T45*(1-f_stroke_fatal)*f_stroke_major</f>
        <v>0.000467331114184834</v>
      </c>
      <c r="AB45" s="57" t="n">
        <f aca="false">T45*(1-f_stroke_fatal)*(1-f_stroke_major)</f>
        <v>0.000936065625108962</v>
      </c>
      <c r="AC45" s="57" t="n">
        <f aca="false">U45*(1-f_bleed_fatal)</f>
        <v>0.000566162675436476</v>
      </c>
      <c r="AD45" s="57" t="n">
        <f aca="false">V45*(1-f_bleed_fatal)</f>
        <v>0.00235778460988957</v>
      </c>
      <c r="AE45" s="57" t="n">
        <f aca="false">W45*f_mi_fatal</f>
        <v>5.60486114592156E-005</v>
      </c>
      <c r="AF45" s="57" t="n">
        <f aca="false">W45-AE45</f>
        <v>0.00040716305349298</v>
      </c>
      <c r="AG45" s="57" t="n">
        <f aca="false">M45-T45-U45-V45-AE45</f>
        <v>0.303024642993183</v>
      </c>
      <c r="AH45" s="19" t="n">
        <f aca="false">Z45*c_stroke_fatal+AA45*c_stroke_major+AB45*c_stroke_minor+U45*c_ich+V45*c_major_bleed+AE45*c_mi_fatal+AF45*c_mi_nonfatal+X45*c_tia+Y45*c_minor_bleed</f>
        <v>109.924402031201</v>
      </c>
      <c r="AI45" s="57" t="n">
        <f aca="false">dt*(AF45*dec_mi+AD45*dec_major_bleed+Y45*dec_minor_bleed+X45*dec_tia)</f>
        <v>0.000126722006981322</v>
      </c>
      <c r="AJ45" s="57" t="n">
        <f aca="false">G45*L45+Z45+U45-AC45+V45-AD45+AE45</f>
        <v>0.00764672075838234</v>
      </c>
      <c r="AK45" s="57" t="n">
        <f aca="false">1-EXP(LN(1-E45)*hr_death_prior_stroke*dt)</f>
        <v>0.049570474672099</v>
      </c>
      <c r="AL45" s="57" t="n">
        <f aca="false">H45*(1-AK45)</f>
        <v>0.0456636125242179</v>
      </c>
      <c r="AM45" s="57" t="n">
        <f aca="false">(1-EXP(-r_stroke*F45*rr_stroke_prior*rr_asa_stroke*dt))</f>
        <v>0.0211134319233167</v>
      </c>
      <c r="AN45" s="57" t="n">
        <f aca="false">(1-EXP(-r_ich*rr_asa_ich*dt))</f>
        <v>0.00102357767802375</v>
      </c>
      <c r="AO45" s="57" t="n">
        <f aca="false">(1-EXP(-r_mb*rr_asa_mb*dt))</f>
        <v>0.00951809672747972</v>
      </c>
      <c r="AP45" s="57" t="n">
        <f aca="false">(1-EXP(-r_mi*rr_asa_mi*dt))</f>
        <v>0.00213413516393479</v>
      </c>
      <c r="AQ45" s="57" t="n">
        <f aca="false">(1-EXP(-r_tia*rr_asa_tia*dt))</f>
        <v>0.00312764565589152</v>
      </c>
      <c r="AR45" s="57" t="n">
        <f aca="false">(1-EXP(-r_minor*rr_asa_minor*dt))</f>
        <v>0.0278181950466747</v>
      </c>
      <c r="AS45" s="57" t="n">
        <f aca="false">AL45*AM45</f>
        <v>0.000964115574402788</v>
      </c>
      <c r="AT45" s="57" t="n">
        <f aca="false">AL45*AN45</f>
        <v>4.6740254477715E-005</v>
      </c>
      <c r="AU45" s="57" t="n">
        <f aca="false">AL45*AO45</f>
        <v>0.00043463068093166</v>
      </c>
      <c r="AV45" s="57" t="n">
        <f aca="false">AL45*AP45</f>
        <v>9.74523212002266E-005</v>
      </c>
      <c r="AW45" s="57" t="n">
        <f aca="false">AL45*AQ45</f>
        <v>0.000142819599343684</v>
      </c>
      <c r="AX45" s="57" t="n">
        <f aca="false">AL45*AR45</f>
        <v>0.00127027927973447</v>
      </c>
      <c r="AY45" s="57" t="n">
        <f aca="false">AS45*f_stroke_fatal_recur</f>
        <v>0.000358737764079533</v>
      </c>
      <c r="AZ45" s="57" t="n">
        <f aca="false">AS45*(1-f_stroke_fatal_recur)*f_stroke_major</f>
        <v>0.000201590810837644</v>
      </c>
      <c r="BA45" s="57" t="n">
        <f aca="false">AS45*(1-f_stroke_fatal_recur)*(1-f_stroke_major)</f>
        <v>0.000403786999485611</v>
      </c>
      <c r="BB45" s="57" t="n">
        <f aca="false">AT45*(1-f_bleed_fatal)</f>
        <v>4.2814073101587E-005</v>
      </c>
      <c r="BC45" s="57" t="n">
        <f aca="false">AU45*(1-f_bleed_fatal)</f>
        <v>0.000398121703733401</v>
      </c>
      <c r="BD45" s="57" t="n">
        <f aca="false">AV45*f_mi_fatal</f>
        <v>1.17917308652274E-005</v>
      </c>
      <c r="BE45" s="57" t="n">
        <f aca="false">AV45-BD45</f>
        <v>8.56605903349992E-005</v>
      </c>
      <c r="BF45" s="57" t="n">
        <f aca="false">AL45-AS45-AT45-AU45-BD45</f>
        <v>0.0442063342835405</v>
      </c>
      <c r="BG45" s="19" t="n">
        <f aca="false">AY45*c_stroke_fatal+AZ45*c_stroke_major+BA45*c_stroke_minor+AT45*c_ich+AU45*c_major_bleed+BD45*c_mi_fatal+BE45*c_mi_nonfatal+AW45*c_tia+AX45*c_minor_bleed</f>
        <v>39.3911640842621</v>
      </c>
      <c r="BH45" s="57" t="n">
        <f aca="false">dt*(BE45*dec_mi+BC45*dec_major_bleed+AX45*dec_minor_bleed+AW45*dec_tia)</f>
        <v>1.96397049760738E-005</v>
      </c>
      <c r="BI45" s="57" t="n">
        <f aca="false">H45*AK45+AY45+AT45-BB45+AU45-BC45+BD45</f>
        <v>0.00279258989531427</v>
      </c>
      <c r="BJ45" s="57" t="n">
        <f aca="false">1-EXP(LN(1-E45)*hr_death_prior_stroke*dt)</f>
        <v>0.049570474672099</v>
      </c>
      <c r="BK45" s="57" t="n">
        <f aca="false">I45*(1-BJ45)</f>
        <v>0.0179689741040057</v>
      </c>
      <c r="BL45" s="57" t="n">
        <f aca="false">(1-EXP(-r_stroke*F45*rr_stroke_prior*rr_asa_stroke*dt))</f>
        <v>0.0211134319233167</v>
      </c>
      <c r="BM45" s="57" t="n">
        <f aca="false">(1-EXP(-r_ich*rr_asa_ich*dt))</f>
        <v>0.00102357767802375</v>
      </c>
      <c r="BN45" s="57" t="n">
        <f aca="false">(1-EXP(-r_mb*rr_asa_mb*dt))</f>
        <v>0.00951809672747972</v>
      </c>
      <c r="BO45" s="57" t="n">
        <f aca="false">(1-EXP(-r_mi*rr_asa_mi*dt))</f>
        <v>0.00213413516393479</v>
      </c>
      <c r="BP45" s="57" t="n">
        <f aca="false">(1-EXP(-r_tia*rr_asa_tia*dt))</f>
        <v>0.00312764565589152</v>
      </c>
      <c r="BQ45" s="57" t="n">
        <f aca="false">(1-EXP(-r_minor*rr_asa_minor*dt))</f>
        <v>0.0278181950466747</v>
      </c>
      <c r="BR45" s="57" t="n">
        <f aca="false">BK45*BL45</f>
        <v>0.000379386711476765</v>
      </c>
      <c r="BS45" s="57" t="n">
        <f aca="false">BK45*BM45</f>
        <v>1.8392640789847E-005</v>
      </c>
      <c r="BT45" s="57" t="n">
        <f aca="false">BK45*BN45</f>
        <v>0.000171030433615504</v>
      </c>
      <c r="BU45" s="57" t="n">
        <f aca="false">BK45*BO45</f>
        <v>3.83482194951922E-005</v>
      </c>
      <c r="BV45" s="57" t="n">
        <f aca="false">BK45*BP45</f>
        <v>5.62005837972206E-005</v>
      </c>
      <c r="BW45" s="57" t="n">
        <f aca="false">BK45*BQ45</f>
        <v>0.000499864426413877</v>
      </c>
      <c r="BX45" s="57" t="n">
        <f aca="false">BR45*f_stroke_fatal_recur</f>
        <v>0.000141166001473389</v>
      </c>
      <c r="BY45" s="57" t="n">
        <f aca="false">BR45*(1-f_stroke_fatal_recur)*f_stroke_major</f>
        <v>7.9327496431124E-005</v>
      </c>
      <c r="BZ45" s="57" t="n">
        <f aca="false">BR45*(1-f_stroke_fatal_recur)*(1-f_stroke_major)</f>
        <v>0.000158893213572251</v>
      </c>
      <c r="CA45" s="57" t="n">
        <f aca="false">BS45*(1-f_bleed_fatal)</f>
        <v>1.68476589634998E-005</v>
      </c>
      <c r="CB45" s="57" t="n">
        <f aca="false">BT45*(1-f_bleed_fatal)</f>
        <v>0.000156663877191802</v>
      </c>
      <c r="CC45" s="57" t="n">
        <f aca="false">BU45*f_mi_fatal</f>
        <v>4.64013455891825E-006</v>
      </c>
      <c r="CD45" s="57" t="n">
        <f aca="false">BU45-CC45</f>
        <v>3.37080849362739E-005</v>
      </c>
      <c r="CE45" s="57" t="n">
        <f aca="false">BK45-BR45-BS45-BT45-CC45</f>
        <v>0.0173955241835646</v>
      </c>
      <c r="CF45" s="19" t="n">
        <f aca="false">BX45*c_stroke_fatal+BY45*c_stroke_major+BZ45*c_stroke_minor+BS45*c_ich+BT45*c_major_bleed+CC45*c_mi_fatal+CD45*c_mi_nonfatal+BV45*c_tia+BW45*c_minor_bleed</f>
        <v>15.5007185859715</v>
      </c>
      <c r="CG45" s="57" t="n">
        <f aca="false">dt*(CD45*dec_mi+CB45*dec_major_bleed+BW45*dec_minor_bleed+BV45*dec_tia)</f>
        <v>7.72837124829353E-006</v>
      </c>
      <c r="CH45" s="57" t="n">
        <f aca="false">I45*BJ45+BX45+BS45-CA45+BT45-CB45+CC45</f>
        <v>0.00109890507426229</v>
      </c>
      <c r="CI45" s="57" t="n">
        <f aca="false">1-EXP(LN(1-E45)*dt)</f>
        <v>0.0218623746896884</v>
      </c>
      <c r="CJ45" s="57" t="n">
        <f aca="false">J45*(1-CI45)</f>
        <v>0.103478652153387</v>
      </c>
      <c r="CK45" s="57" t="n">
        <f aca="false">(1-EXP(-r_stroke*F45*rr_asa_stroke*dt))</f>
        <v>0.00965288538106879</v>
      </c>
      <c r="CL45" s="57" t="n">
        <f aca="false">(1-EXP(-r_ich*rr_asa_ich*dt))</f>
        <v>0.00102357767802375</v>
      </c>
      <c r="CM45" s="57" t="n">
        <f aca="false">(1-EXP(-r_mb*rr_asa_mb*dt))</f>
        <v>0.00951809672747972</v>
      </c>
      <c r="CN45" s="57" t="n">
        <f aca="false">(1-EXP(-r_mi*rr_asa_mi*dt))</f>
        <v>0.00213413516393479</v>
      </c>
      <c r="CO45" s="57" t="n">
        <f aca="false">(1-EXP(-r_tia*rr_asa_tia*dt))</f>
        <v>0.00312764565589152</v>
      </c>
      <c r="CP45" s="57" t="n">
        <f aca="false">(1-EXP(-r_minor*rr_asa_minor*dt))</f>
        <v>0.0278181950466747</v>
      </c>
      <c r="CQ45" s="57" t="n">
        <f aca="false">CJ45*CK45</f>
        <v>0.000998867568624131</v>
      </c>
      <c r="CR45" s="57" t="n">
        <f aca="false">CJ45*CL45</f>
        <v>0.000105918438496191</v>
      </c>
      <c r="CS45" s="57" t="n">
        <f aca="false">CJ45*CM45</f>
        <v>0.000984919820425165</v>
      </c>
      <c r="CT45" s="57" t="n">
        <f aca="false">CJ45*CN45</f>
        <v>0.00022083743027712</v>
      </c>
      <c r="CU45" s="57" t="n">
        <f aca="false">CJ45*CO45</f>
        <v>0.00032364455688505</v>
      </c>
      <c r="CV45" s="57" t="n">
        <f aca="false">CJ45*CP45</f>
        <v>0.00287858932876992</v>
      </c>
      <c r="CW45" s="57" t="n">
        <f aca="false">CQ45*f_stroke_fatal</f>
        <v>0.000236731613763919</v>
      </c>
      <c r="CX45" s="57" t="n">
        <f aca="false">CQ45*(1-f_stroke_fatal)*f_stroke_major</f>
        <v>0.000253791272968451</v>
      </c>
      <c r="CY45" s="57" t="n">
        <f aca="false">CQ45*(1-f_stroke_fatal)*(1-f_stroke_major)</f>
        <v>0.000508344681891762</v>
      </c>
      <c r="CZ45" s="57" t="n">
        <f aca="false">CR45*(1-f_bleed_fatal)</f>
        <v>9.70212896625107E-005</v>
      </c>
      <c r="DA45" s="57" t="n">
        <f aca="false">CS45*(1-f_bleed_fatal)</f>
        <v>0.000902186555509451</v>
      </c>
      <c r="DB45" s="57" t="n">
        <f aca="false">CT45*f_mi_fatal</f>
        <v>2.67213290635315E-005</v>
      </c>
      <c r="DC45" s="57" t="n">
        <f aca="false">CT45-DB45</f>
        <v>0.000194116101213588</v>
      </c>
      <c r="DD45" s="57" t="n">
        <f aca="false">CJ45-CQ45-CR45-CS45-DB45</f>
        <v>0.101362224996778</v>
      </c>
      <c r="DE45" s="19" t="n">
        <f aca="false">CW45*c_stroke_fatal+CX45*c_stroke_major+CY45*c_stroke_minor+CR45*c_ich+CS45*c_major_bleed+DB45*c_mi_fatal+DC45*c_mi_nonfatal+CU45*c_tia+CV45*c_minor_bleed</f>
        <v>50.8400449924276</v>
      </c>
      <c r="DF45" s="57" t="n">
        <f aca="false">dt*(DC45*dec_mi+DA45*dec_major_bleed+CV45*dec_minor_bleed+CU45*dec_tia)</f>
        <v>4.45056815979343E-005</v>
      </c>
      <c r="DG45" s="57" t="n">
        <f aca="false">J45*CI45+CW45+CR45-CZ45+CS45-DA45+DB45</f>
        <v>0.00266793689295275</v>
      </c>
      <c r="DH45" s="57" t="n">
        <f aca="false">AG45</f>
        <v>0.303024642993183</v>
      </c>
      <c r="DI45" s="57" t="n">
        <f aca="false">AB45+AC45+BF45+BA45+BB45+BC45+CY45+CZ45</f>
        <v>0.0471586513319608</v>
      </c>
      <c r="DJ45" s="57" t="n">
        <f aca="false">AA45+AZ45+BY45+CX45+CE45+BZ45+CA45+CB45</f>
        <v>0.0187299696277142</v>
      </c>
      <c r="DK45" s="57" t="n">
        <f aca="false">AD45+DD45+DA45</f>
        <v>0.104622196162177</v>
      </c>
      <c r="DL45" s="57" t="n">
        <f aca="false">K45+AJ45+BI45+CH45+DG45</f>
        <v>0.526464539884966</v>
      </c>
      <c r="DM45" s="58" t="n">
        <f aca="false">SUM(DH45:DL45)</f>
        <v>1</v>
      </c>
      <c r="DN45" s="19" t="n">
        <f aca="false">dt*(G45*Warfarin!$H$2+(H45+I45+J45)*c_aspirin)</f>
        <v>31.943867173369</v>
      </c>
      <c r="DO45" s="19" t="n">
        <f aca="false">dt*(H45*c_lt_minor_stroke+I45*c_lt_major_stroke)</f>
        <v>253.314034824633</v>
      </c>
      <c r="DP45" s="19" t="n">
        <f aca="false">AH45+BG45+CF45+DE45</f>
        <v>215.656329693862</v>
      </c>
      <c r="DQ45" s="19" t="n">
        <f aca="false">DN45+DO45+DP45</f>
        <v>500.914231691865</v>
      </c>
      <c r="DR45" s="57" t="n">
        <f aca="false">dt*(G45*(u_af-dec_per_year_over_70*MAX(B45-ref_age,0))+H45*(u_minor_stroke-dec_per_year_over_70*MAX(B45-ref_age,0))+I45*(u_major_stroke-dec_per_year_over_70*MAX(B45-ref_age,0))+J45*(u_af-dec_per_year_over_70*MAX(B45-ref_age,0)))-AI45-BH45-CG45-DF45</f>
        <v>0.0952471795197319</v>
      </c>
      <c r="DS45" s="57" t="n">
        <f aca="false">dt*(G45+H45+I45+J45)</f>
        <v>0.121935403183987</v>
      </c>
      <c r="DT45" s="19" t="n">
        <f aca="false">DQ45*C45</f>
        <v>433.23093386336</v>
      </c>
      <c r="DU45" s="19" t="n">
        <f aca="false">DN45*C45</f>
        <v>27.6276267096337</v>
      </c>
      <c r="DV45" s="19" t="n">
        <f aca="false">DP45*C45</f>
        <v>186.516946805954</v>
      </c>
      <c r="DW45" s="19" t="n">
        <f aca="false">DO45*C45</f>
        <v>219.086360347773</v>
      </c>
      <c r="DX45" s="57" t="n">
        <f aca="false">DR45*C45</f>
        <v>0.0823774249571891</v>
      </c>
      <c r="DY45" s="57" t="n">
        <f aca="false">DS45*C45</f>
        <v>0.105459548262345</v>
      </c>
      <c r="DZ45" s="57" t="n">
        <f aca="false">T45+AS45+BR45+CQ45</f>
        <v>0.00418168406065545</v>
      </c>
      <c r="EA45" s="57" t="n">
        <f aca="false">U45+AT45+BS45+CR45</f>
        <v>0.000789132857166019</v>
      </c>
      <c r="EB45" s="57" t="n">
        <f aca="false">V45+AU45+BT45+CS45</f>
        <v>0.00416458160079064</v>
      </c>
      <c r="EC45" s="57" t="n">
        <f aca="false">G45*dt*C45</f>
        <v>0.0681090572505313</v>
      </c>
    </row>
    <row r="46" customFormat="false" ht="15" hidden="false" customHeight="false" outlineLevel="0" collapsed="false">
      <c r="A46" s="8" t="n">
        <v>40</v>
      </c>
      <c r="B46" s="54" t="n">
        <f aca="false">start_age+A46*dt</f>
        <v>80</v>
      </c>
      <c r="C46" s="16" t="n">
        <f aca="false">(1+disc_rate)^-(A46*dt)</f>
        <v>0.861667231722184</v>
      </c>
      <c r="D46" s="55" t="n">
        <f aca="false">IF(A46*dt&gt;=wane_start,(1-wane_decay)^(A46*dt-wane_start),1)</f>
        <v>1</v>
      </c>
      <c r="E46" s="25" t="n">
        <f aca="false">MIN(p_nonvasc_death*MIN(EXP(gomp_int+gomp_slope*INT(B46)),1)/qx_ref,0.999)</f>
        <v>0.0939575459703644</v>
      </c>
      <c r="F46" s="55" t="n">
        <f aca="false">rr_stroke_per_decade^((B46-ref_age)/10)</f>
        <v>1.5</v>
      </c>
      <c r="G46" s="57" t="n">
        <f aca="false">DH45</f>
        <v>0.303024642993183</v>
      </c>
      <c r="H46" s="57" t="n">
        <f aca="false">DI45</f>
        <v>0.0471586513319608</v>
      </c>
      <c r="I46" s="57" t="n">
        <f aca="false">DJ45</f>
        <v>0.0187299696277142</v>
      </c>
      <c r="J46" s="57" t="n">
        <f aca="false">DK45</f>
        <v>0.104622196162177</v>
      </c>
      <c r="K46" s="57" t="n">
        <f aca="false">DL45</f>
        <v>0.526464539884966</v>
      </c>
      <c r="L46" s="57" t="n">
        <f aca="false">1-EXP(LN(1-E46)*dt)</f>
        <v>0.0243655277169612</v>
      </c>
      <c r="M46" s="57" t="n">
        <f aca="false">G46*(1-L46)</f>
        <v>0.29564128765541</v>
      </c>
      <c r="N46" s="57" t="n">
        <f aca="false">IF(Warfarin!$B$2=1,EXP(LN(or_apx_stroke)*D46)*(1-EXP(-r_stroke*F46*dt))/(1-(1-EXP(-r_stroke*F46*dt))+EXP(LN(or_apx_stroke)*D46)*(1-EXP(-r_stroke*F46*dt))),(1-EXP(-r_stroke*F46*dt)))</f>
        <v>0.00603026276206364</v>
      </c>
      <c r="O46" s="57" t="n">
        <f aca="false">IF(Warfarin!$B$2=1,EXP(LN(or_apx_ich)*D46)*(1-EXP(-r_ich*dt))/(1-(1-EXP(-r_ich*dt))+EXP(LN(or_apx_ich)*D46)*(1-EXP(-r_ich*dt))),(1-EXP(-r_ich*dt)))</f>
        <v>0.0020060281549299</v>
      </c>
      <c r="P46" s="57" t="n">
        <f aca="false">IF(Warfarin!$B$2=1,EXP(LN(or_apx_mb)*D46)*(1-EXP(-r_mb*dt))/(1-(1-EXP(-r_mb*dt))+EXP(LN(or_apx_mb)*D46)*(1-EXP(-r_mb*dt))),(1-EXP(-r_mb*dt)))</f>
        <v>0.00835410477572107</v>
      </c>
      <c r="Q46" s="57" t="n">
        <f aca="false">IF(Warfarin!$B$2=1,EXP(LN(or_apx_mi)*D46)*(1-EXP(-r_mi*dt))/(1-(1-EXP(-r_mi*dt))+EXP(LN(or_apx_mi)*D46)*(1-EXP(-r_mi*dt))),(1-EXP(-r_mi*dt)))</f>
        <v>0.00150338686144691</v>
      </c>
      <c r="R46" s="57" t="n">
        <f aca="false">(1-EXP(-r_tia*dt))</f>
        <v>0.0020060281549299</v>
      </c>
      <c r="S46" s="57" t="n">
        <f aca="false">(1-EXP(-r_minor*dt))</f>
        <v>0.0437937690785545</v>
      </c>
      <c r="T46" s="57" t="n">
        <f aca="false">M46*N46</f>
        <v>0.00178279464787696</v>
      </c>
      <c r="U46" s="57" t="n">
        <f aca="false">M46*O46</f>
        <v>0.000593064746796481</v>
      </c>
      <c r="V46" s="57" t="n">
        <f aca="false">M46*P46</f>
        <v>0.00246981829310239</v>
      </c>
      <c r="W46" s="57" t="n">
        <f aca="false">M46*Q46</f>
        <v>0.00044446322756239</v>
      </c>
      <c r="X46" s="57" t="n">
        <f aca="false">M46*R46</f>
        <v>0.000593064746796481</v>
      </c>
      <c r="Y46" s="57" t="n">
        <f aca="false">M46*S46</f>
        <v>0.0129472462816675</v>
      </c>
      <c r="Z46" s="57" t="n">
        <f aca="false">T46*f_stroke_fatal</f>
        <v>0.000422522331546841</v>
      </c>
      <c r="AA46" s="57" t="n">
        <f aca="false">T46*(1-f_stroke_fatal)*f_stroke_major</f>
        <v>0.000452970681337931</v>
      </c>
      <c r="AB46" s="57" t="n">
        <f aca="false">T46*(1-f_stroke_fatal)*(1-f_stroke_major)</f>
        <v>0.000907301634992193</v>
      </c>
      <c r="AC46" s="57" t="n">
        <f aca="false">U46*(1-f_bleed_fatal)</f>
        <v>0.000543247308065576</v>
      </c>
      <c r="AD46" s="57" t="n">
        <f aca="false">V46*(1-f_bleed_fatal)</f>
        <v>0.00226235355648179</v>
      </c>
      <c r="AE46" s="57" t="n">
        <f aca="false">W46*f_mi_fatal</f>
        <v>5.37800505350492E-005</v>
      </c>
      <c r="AF46" s="57" t="n">
        <f aca="false">W46-AE46</f>
        <v>0.000390683177027341</v>
      </c>
      <c r="AG46" s="57" t="n">
        <f aca="false">M46-T46-U46-V46-AE46</f>
        <v>0.290741829917099</v>
      </c>
      <c r="AH46" s="19" t="n">
        <f aca="false">Z46*c_stroke_fatal+AA46*c_stroke_major+AB46*c_stroke_minor+U46*c_ich+V46*c_major_bleed+AE46*c_mi_fatal+AF46*c_mi_nonfatal+X46*c_tia+Y46*c_minor_bleed</f>
        <v>106.137565329824</v>
      </c>
      <c r="AI46" s="57" t="n">
        <f aca="false">dt*(AF46*dec_mi+AD46*dec_major_bleed+Y46*dec_minor_bleed+X46*dec_tia)</f>
        <v>0.000121592948726614</v>
      </c>
      <c r="AJ46" s="57" t="n">
        <f aca="false">G46*L46+Z46+U46-AC46+V46-AD46+AE46</f>
        <v>0.00811693989520607</v>
      </c>
      <c r="AK46" s="57" t="n">
        <f aca="false">1-EXP(LN(1-E46)*hr_death_prior_stroke*dt)</f>
        <v>0.055155335593114</v>
      </c>
      <c r="AL46" s="57" t="n">
        <f aca="false">H46*(1-AK46)</f>
        <v>0.0445576000916279</v>
      </c>
      <c r="AM46" s="57" t="n">
        <f aca="false">(1-EXP(-r_stroke*F46*rr_stroke_prior*rr_asa_stroke*dt))</f>
        <v>0.0213262291989511</v>
      </c>
      <c r="AN46" s="57" t="n">
        <f aca="false">(1-EXP(-r_ich*rr_asa_ich*dt))</f>
        <v>0.00102357767802375</v>
      </c>
      <c r="AO46" s="57" t="n">
        <f aca="false">(1-EXP(-r_mb*rr_asa_mb*dt))</f>
        <v>0.00951809672747972</v>
      </c>
      <c r="AP46" s="57" t="n">
        <f aca="false">(1-EXP(-r_mi*rr_asa_mi*dt))</f>
        <v>0.00213413516393479</v>
      </c>
      <c r="AQ46" s="57" t="n">
        <f aca="false">(1-EXP(-r_tia*rr_asa_tia*dt))</f>
        <v>0.00312764565589152</v>
      </c>
      <c r="AR46" s="57" t="n">
        <f aca="false">(1-EXP(-r_minor*rr_asa_minor*dt))</f>
        <v>0.0278181950466747</v>
      </c>
      <c r="AS46" s="57" t="n">
        <f aca="false">AL46*AM46</f>
        <v>0.000950245592109261</v>
      </c>
      <c r="AT46" s="57" t="n">
        <f aca="false">AL46*AN46</f>
        <v>4.56081648400991E-005</v>
      </c>
      <c r="AU46" s="57" t="n">
        <f aca="false">AL46*AO46</f>
        <v>0.000424103547616473</v>
      </c>
      <c r="AV46" s="57" t="n">
        <f aca="false">AL46*AP46</f>
        <v>9.50919411760871E-005</v>
      </c>
      <c r="AW46" s="57" t="n">
        <f aca="false">AL46*AQ46</f>
        <v>0.000139360384363532</v>
      </c>
      <c r="AX46" s="57" t="n">
        <f aca="false">AL46*AR46</f>
        <v>0.00123951201016064</v>
      </c>
      <c r="AY46" s="57" t="n">
        <f aca="false">AS46*f_stroke_fatal_recur</f>
        <v>0.000353576882367935</v>
      </c>
      <c r="AZ46" s="57" t="n">
        <f aca="false">AS46*(1-f_stroke_fatal_recur)*f_stroke_major</f>
        <v>0.000198690680343862</v>
      </c>
      <c r="BA46" s="57" t="n">
        <f aca="false">AS46*(1-f_stroke_fatal_recur)*(1-f_stroke_major)</f>
        <v>0.000397978029397464</v>
      </c>
      <c r="BB46" s="57" t="n">
        <f aca="false">AT46*(1-f_bleed_fatal)</f>
        <v>4.17770789935308E-005</v>
      </c>
      <c r="BC46" s="57" t="n">
        <f aca="false">AU46*(1-f_bleed_fatal)</f>
        <v>0.00038847884961669</v>
      </c>
      <c r="BD46" s="57" t="n">
        <f aca="false">AV46*f_mi_fatal</f>
        <v>1.15061248823065E-005</v>
      </c>
      <c r="BE46" s="57" t="n">
        <f aca="false">AV46-BD46</f>
        <v>8.35858162937806E-005</v>
      </c>
      <c r="BF46" s="57" t="n">
        <f aca="false">AL46-AS46-AT46-AU46-BD46</f>
        <v>0.0431261366621797</v>
      </c>
      <c r="BG46" s="19" t="n">
        <f aca="false">AY46*c_stroke_fatal+AZ46*c_stroke_major+BA46*c_stroke_minor+AT46*c_ich+AU46*c_major_bleed+BD46*c_mi_fatal+BE46*c_mi_nonfatal+AW46*c_tia+AX46*c_minor_bleed</f>
        <v>38.7640009185613</v>
      </c>
      <c r="BH46" s="57" t="n">
        <f aca="false">dt*(BE46*dec_mi+BC46*dec_major_bleed+AX46*dec_minor_bleed+AW46*dec_tia)</f>
        <v>1.91640142307475E-005</v>
      </c>
      <c r="BI46" s="57" t="n">
        <f aca="false">H46*AK46+AY46+AT46-BB46+AU46-BC46+BD46</f>
        <v>0.00300559003142955</v>
      </c>
      <c r="BJ46" s="57" t="n">
        <f aca="false">1-EXP(LN(1-E46)*hr_death_prior_stroke*dt)</f>
        <v>0.055155335593114</v>
      </c>
      <c r="BK46" s="57" t="n">
        <f aca="false">I46*(1-BJ46)</f>
        <v>0.0176969118672488</v>
      </c>
      <c r="BL46" s="57" t="n">
        <f aca="false">(1-EXP(-r_stroke*F46*rr_stroke_prior*rr_asa_stroke*dt))</f>
        <v>0.0213262291989511</v>
      </c>
      <c r="BM46" s="57" t="n">
        <f aca="false">(1-EXP(-r_ich*rr_asa_ich*dt))</f>
        <v>0.00102357767802375</v>
      </c>
      <c r="BN46" s="57" t="n">
        <f aca="false">(1-EXP(-r_mb*rr_asa_mb*dt))</f>
        <v>0.00951809672747972</v>
      </c>
      <c r="BO46" s="57" t="n">
        <f aca="false">(1-EXP(-r_mi*rr_asa_mi*dt))</f>
        <v>0.00213413516393479</v>
      </c>
      <c r="BP46" s="57" t="n">
        <f aca="false">(1-EXP(-r_tia*rr_asa_tia*dt))</f>
        <v>0.00312764565589152</v>
      </c>
      <c r="BQ46" s="57" t="n">
        <f aca="false">(1-EXP(-r_minor*rr_asa_minor*dt))</f>
        <v>0.0278181950466747</v>
      </c>
      <c r="BR46" s="57" t="n">
        <f aca="false">BK46*BL46</f>
        <v>0.000377408398594586</v>
      </c>
      <c r="BS46" s="57" t="n">
        <f aca="false">BK46*BM46</f>
        <v>1.81141639572694E-005</v>
      </c>
      <c r="BT46" s="57" t="n">
        <f aca="false">BK46*BN46</f>
        <v>0.000168440918930158</v>
      </c>
      <c r="BU46" s="57" t="n">
        <f aca="false">BK46*BO46</f>
        <v>3.77676019089506E-005</v>
      </c>
      <c r="BV46" s="57" t="n">
        <f aca="false">BK46*BP46</f>
        <v>5.53496695242959E-005</v>
      </c>
      <c r="BW46" s="57" t="n">
        <f aca="false">BK46*BQ46</f>
        <v>0.00049229614604694</v>
      </c>
      <c r="BX46" s="57" t="n">
        <f aca="false">BR46*f_stroke_fatal_recur</f>
        <v>0.00014042989103306</v>
      </c>
      <c r="BY46" s="57" t="n">
        <f aca="false">BR46*(1-f_stroke_fatal_recur)*f_stroke_major</f>
        <v>7.89138430179884E-005</v>
      </c>
      <c r="BZ46" s="57" t="n">
        <f aca="false">BR46*(1-f_stroke_fatal_recur)*(1-f_stroke_major)</f>
        <v>0.000158064664543538</v>
      </c>
      <c r="CA46" s="57" t="n">
        <f aca="false">BS46*(1-f_bleed_fatal)</f>
        <v>1.65925741848588E-005</v>
      </c>
      <c r="CB46" s="57" t="n">
        <f aca="false">BT46*(1-f_bleed_fatal)</f>
        <v>0.000154291881740025</v>
      </c>
      <c r="CC46" s="57" t="n">
        <f aca="false">BU46*f_mi_fatal</f>
        <v>4.56987983098303E-006</v>
      </c>
      <c r="CD46" s="57" t="n">
        <f aca="false">BU46-CC46</f>
        <v>3.31977220779676E-005</v>
      </c>
      <c r="CE46" s="57" t="n">
        <f aca="false">BK46-BR46-BS46-BT46-CC46</f>
        <v>0.0171283785059358</v>
      </c>
      <c r="CF46" s="19" t="n">
        <f aca="false">BX46*c_stroke_fatal+BY46*c_stroke_major+BZ46*c_stroke_minor+BS46*c_ich+BT46*c_major_bleed+CC46*c_mi_fatal+CD46*c_mi_nonfatal+BV46*c_tia+BW46*c_minor_bleed</f>
        <v>15.3958720053827</v>
      </c>
      <c r="CG46" s="57" t="n">
        <f aca="false">dt*(CD46*dec_mi+CB46*dec_major_bleed+BW46*dec_minor_bleed+BV46*dec_tia)</f>
        <v>7.61135855986023E-006</v>
      </c>
      <c r="CH46" s="57" t="n">
        <f aca="false">I46*BJ46+BX46+BS46-CA46+BT46-CB46+CC46</f>
        <v>0.001193728158292</v>
      </c>
      <c r="CI46" s="57" t="n">
        <f aca="false">1-EXP(LN(1-E46)*dt)</f>
        <v>0.0243655277169612</v>
      </c>
      <c r="CJ46" s="57" t="n">
        <f aca="false">J46*(1-CI46)</f>
        <v>0.102073021141778</v>
      </c>
      <c r="CK46" s="57" t="n">
        <f aca="false">(1-EXP(-r_stroke*F46*rr_asa_stroke*dt))</f>
        <v>0.00975074966084721</v>
      </c>
      <c r="CL46" s="57" t="n">
        <f aca="false">(1-EXP(-r_ich*rr_asa_ich*dt))</f>
        <v>0.00102357767802375</v>
      </c>
      <c r="CM46" s="57" t="n">
        <f aca="false">(1-EXP(-r_mb*rr_asa_mb*dt))</f>
        <v>0.00951809672747972</v>
      </c>
      <c r="CN46" s="57" t="n">
        <f aca="false">(1-EXP(-r_mi*rr_asa_mi*dt))</f>
        <v>0.00213413516393479</v>
      </c>
      <c r="CO46" s="57" t="n">
        <f aca="false">(1-EXP(-r_tia*rr_asa_tia*dt))</f>
        <v>0.00312764565589152</v>
      </c>
      <c r="CP46" s="57" t="n">
        <f aca="false">(1-EXP(-r_minor*rr_asa_minor*dt))</f>
        <v>0.0278181950466747</v>
      </c>
      <c r="CQ46" s="57" t="n">
        <f aca="false">CJ46*CK46</f>
        <v>0.000995288476279843</v>
      </c>
      <c r="CR46" s="57" t="n">
        <f aca="false">CJ46*CL46</f>
        <v>0.00010447966596917</v>
      </c>
      <c r="CS46" s="57" t="n">
        <f aca="false">CJ46*CM46</f>
        <v>0.000971540888493526</v>
      </c>
      <c r="CT46" s="57" t="n">
        <f aca="false">CJ46*CN46</f>
        <v>0.000217837623707728</v>
      </c>
      <c r="CU46" s="57" t="n">
        <f aca="false">CJ46*CO46</f>
        <v>0.000319248241157806</v>
      </c>
      <c r="CV46" s="57" t="n">
        <f aca="false">CJ46*CP46</f>
        <v>0.00283948721112533</v>
      </c>
      <c r="CW46" s="57" t="n">
        <f aca="false">CQ46*f_stroke_fatal</f>
        <v>0.000235883368878323</v>
      </c>
      <c r="CX46" s="57" t="n">
        <f aca="false">CQ46*(1-f_stroke_fatal)*f_stroke_major</f>
        <v>0.000252881900764706</v>
      </c>
      <c r="CY46" s="57" t="n">
        <f aca="false">CQ46*(1-f_stroke_fatal)*(1-f_stroke_major)</f>
        <v>0.000506523206636814</v>
      </c>
      <c r="CZ46" s="57" t="n">
        <f aca="false">CR46*(1-f_bleed_fatal)</f>
        <v>9.57033740277597E-005</v>
      </c>
      <c r="DA46" s="57" t="n">
        <f aca="false">CS46*(1-f_bleed_fatal)</f>
        <v>0.00088993145386007</v>
      </c>
      <c r="DB46" s="57" t="n">
        <f aca="false">CT46*f_mi_fatal</f>
        <v>2.63583524686351E-005</v>
      </c>
      <c r="DC46" s="57" t="n">
        <f aca="false">CT46-DB46</f>
        <v>0.000191479271239093</v>
      </c>
      <c r="DD46" s="57" t="n">
        <f aca="false">CJ46-CQ46-CR46-CS46-DB46</f>
        <v>0.0999753537585669</v>
      </c>
      <c r="DE46" s="19" t="n">
        <f aca="false">CW46*c_stroke_fatal+CX46*c_stroke_major+CY46*c_stroke_minor+CR46*c_ich+CS46*c_major_bleed+DB46*c_mi_fatal+DC46*c_mi_nonfatal+CU46*c_tia+CV46*c_minor_bleed</f>
        <v>50.5185261894363</v>
      </c>
      <c r="DF46" s="57" t="n">
        <f aca="false">dt*(DC46*dec_mi+DA46*dec_major_bleed+CV46*dec_minor_bleed+CU46*dec_tia)</f>
        <v>4.39011263109741E-005</v>
      </c>
      <c r="DG46" s="57" t="n">
        <f aca="false">J46*CI46+CW46+CR46-CZ46+CS46-DA46+DB46</f>
        <v>0.0029018024683207</v>
      </c>
      <c r="DH46" s="57" t="n">
        <f aca="false">AG46</f>
        <v>0.290741829917099</v>
      </c>
      <c r="DI46" s="57" t="n">
        <f aca="false">AB46+AC46+BF46+BA46+BB46+BC46+CY46+CZ46</f>
        <v>0.0460071461439098</v>
      </c>
      <c r="DJ46" s="57" t="n">
        <f aca="false">AA46+AZ46+BY46+CX46+CE46+BZ46+CA46+CB46</f>
        <v>0.0184407847318687</v>
      </c>
      <c r="DK46" s="57" t="n">
        <f aca="false">AD46+DD46+DA46</f>
        <v>0.103127638768909</v>
      </c>
      <c r="DL46" s="57" t="n">
        <f aca="false">K46+AJ46+BI46+CH46+DG46</f>
        <v>0.541682600438214</v>
      </c>
      <c r="DM46" s="58" t="n">
        <f aca="false">SUM(DH46:DL46)</f>
        <v>1</v>
      </c>
      <c r="DN46" s="19" t="n">
        <f aca="false">dt*(G46*Warfarin!$H$2+(H46+I46+J46)*c_aspirin)</f>
        <v>30.7718867635261</v>
      </c>
      <c r="DO46" s="19" t="n">
        <f aca="false">dt*(H46*c_lt_minor_stroke+I46*c_lt_major_stroke)</f>
        <v>249.766996636841</v>
      </c>
      <c r="DP46" s="19" t="n">
        <f aca="false">AH46+BG46+CF46+DE46</f>
        <v>210.815964443204</v>
      </c>
      <c r="DQ46" s="19" t="n">
        <f aca="false">DN46+DO46+DP46</f>
        <v>491.354847843572</v>
      </c>
      <c r="DR46" s="57" t="n">
        <f aca="false">dt*(G46*(u_af-dec_per_year_over_70*MAX(B46-ref_age,0))+H46*(u_minor_stroke-dec_per_year_over_70*MAX(B46-ref_age,0))+I46*(u_major_stroke-dec_per_year_over_70*MAX(B46-ref_age,0))+J46*(u_af-dec_per_year_over_70*MAX(B46-ref_age,0)))-AI46-BH46-CG46-DF46</f>
        <v>0.0924125463718358</v>
      </c>
      <c r="DS46" s="57" t="n">
        <f aca="false">dt*(G46+H46+I46+J46)</f>
        <v>0.118383865028759</v>
      </c>
      <c r="DT46" s="19" t="n">
        <f aca="false">DQ46*C46</f>
        <v>423.384371534646</v>
      </c>
      <c r="DU46" s="19" t="n">
        <f aca="false">DN46*C46</f>
        <v>26.5151264823961</v>
      </c>
      <c r="DV46" s="19" t="n">
        <f aca="false">DP46*C46</f>
        <v>181.653208484618</v>
      </c>
      <c r="DW46" s="19" t="n">
        <f aca="false">DO46*C46</f>
        <v>215.216036567631</v>
      </c>
      <c r="DX46" s="57" t="n">
        <f aca="false">DR46*C46</f>
        <v>0.0796288630086178</v>
      </c>
      <c r="DY46" s="57" t="n">
        <f aca="false">DS46*C46</f>
        <v>0.102007497259903</v>
      </c>
      <c r="DZ46" s="57" t="n">
        <f aca="false">T46+AS46+BR46+CQ46</f>
        <v>0.00410573711486066</v>
      </c>
      <c r="EA46" s="57" t="n">
        <f aca="false">U46+AT46+BS46+CR46</f>
        <v>0.000761266741563019</v>
      </c>
      <c r="EB46" s="57" t="n">
        <f aca="false">V46+AU46+BT46+CS46</f>
        <v>0.00403390364814255</v>
      </c>
      <c r="EC46" s="57" t="n">
        <f aca="false">G46*dt*C46</f>
        <v>0.0652766013178847</v>
      </c>
    </row>
    <row r="47" customFormat="false" ht="15" hidden="false" customHeight="false" outlineLevel="0" collapsed="false">
      <c r="A47" s="8" t="n">
        <v>41</v>
      </c>
      <c r="B47" s="54" t="n">
        <f aca="false">start_age+A47*dt</f>
        <v>80.25</v>
      </c>
      <c r="C47" s="16" t="n">
        <f aca="false">(1+disc_rate)^-(A47*dt)</f>
        <v>0.858465935896902</v>
      </c>
      <c r="D47" s="55" t="n">
        <f aca="false">IF(A47*dt&gt;=wane_start,(1-wane_decay)^(A47*dt-wane_start),1)</f>
        <v>1</v>
      </c>
      <c r="E47" s="25" t="n">
        <f aca="false">MIN(p_nonvasc_death*MIN(EXP(gomp_int+gomp_slope*INT(B47)),1)/qx_ref,0.999)</f>
        <v>0.0939575459703644</v>
      </c>
      <c r="F47" s="55" t="n">
        <f aca="false">rr_stroke_per_decade^((B47-ref_age)/10)</f>
        <v>1.51528226601887</v>
      </c>
      <c r="G47" s="57" t="n">
        <f aca="false">DH46</f>
        <v>0.290741829917099</v>
      </c>
      <c r="H47" s="57" t="n">
        <f aca="false">DI46</f>
        <v>0.0460071461439098</v>
      </c>
      <c r="I47" s="57" t="n">
        <f aca="false">DJ46</f>
        <v>0.0184407847318687</v>
      </c>
      <c r="J47" s="57" t="n">
        <f aca="false">DK46</f>
        <v>0.103127638768909</v>
      </c>
      <c r="K47" s="57" t="n">
        <f aca="false">DL46</f>
        <v>0.541682600438214</v>
      </c>
      <c r="L47" s="57" t="n">
        <f aca="false">1-EXP(LN(1-E47)*dt)</f>
        <v>0.0243655277169612</v>
      </c>
      <c r="M47" s="57" t="n">
        <f aca="false">G47*(1-L47)</f>
        <v>0.283657751801774</v>
      </c>
      <c r="N47" s="57" t="n">
        <f aca="false">IF(Warfarin!$B$2=1,EXP(LN(or_apx_stroke)*D47)*(1-EXP(-r_stroke*F47*dt))/(1-(1-EXP(-r_stroke*F47*dt))+EXP(LN(or_apx_stroke)*D47)*(1-EXP(-r_stroke*F47*dt))),(1-EXP(-r_stroke*F47*dt)))</f>
        <v>0.00609151264602337</v>
      </c>
      <c r="O47" s="57" t="n">
        <f aca="false">IF(Warfarin!$B$2=1,EXP(LN(or_apx_ich)*D47)*(1-EXP(-r_ich*dt))/(1-(1-EXP(-r_ich*dt))+EXP(LN(or_apx_ich)*D47)*(1-EXP(-r_ich*dt))),(1-EXP(-r_ich*dt)))</f>
        <v>0.0020060281549299</v>
      </c>
      <c r="P47" s="57" t="n">
        <f aca="false">IF(Warfarin!$B$2=1,EXP(LN(or_apx_mb)*D47)*(1-EXP(-r_mb*dt))/(1-(1-EXP(-r_mb*dt))+EXP(LN(or_apx_mb)*D47)*(1-EXP(-r_mb*dt))),(1-EXP(-r_mb*dt)))</f>
        <v>0.00835410477572107</v>
      </c>
      <c r="Q47" s="57" t="n">
        <f aca="false">IF(Warfarin!$B$2=1,EXP(LN(or_apx_mi)*D47)*(1-EXP(-r_mi*dt))/(1-(1-EXP(-r_mi*dt))+EXP(LN(or_apx_mi)*D47)*(1-EXP(-r_mi*dt))),(1-EXP(-r_mi*dt)))</f>
        <v>0.00150338686144691</v>
      </c>
      <c r="R47" s="57" t="n">
        <f aca="false">(1-EXP(-r_tia*dt))</f>
        <v>0.0020060281549299</v>
      </c>
      <c r="S47" s="57" t="n">
        <f aca="false">(1-EXP(-r_minor*dt))</f>
        <v>0.0437937690785545</v>
      </c>
      <c r="T47" s="57" t="n">
        <f aca="false">M47*N47</f>
        <v>0.00172790478224306</v>
      </c>
      <c r="U47" s="57" t="n">
        <f aca="false">M47*O47</f>
        <v>0.000569025436478475</v>
      </c>
      <c r="V47" s="57" t="n">
        <f aca="false">M47*P47</f>
        <v>0.0023697065789975</v>
      </c>
      <c r="W47" s="57" t="n">
        <f aca="false">M47*Q47</f>
        <v>0.000426447337206356</v>
      </c>
      <c r="X47" s="57" t="n">
        <f aca="false">M47*R47</f>
        <v>0.000569025436478475</v>
      </c>
      <c r="Y47" s="57" t="n">
        <f aca="false">M47*S47</f>
        <v>0.0124224420797488</v>
      </c>
      <c r="Z47" s="57" t="n">
        <f aca="false">T47*f_stroke_fatal</f>
        <v>0.000409513433391606</v>
      </c>
      <c r="AA47" s="57" t="n">
        <f aca="false">T47*(1-f_stroke_fatal)*f_stroke_major</f>
        <v>0.000439024319167536</v>
      </c>
      <c r="AB47" s="57" t="n">
        <f aca="false">T47*(1-f_stroke_fatal)*(1-f_stroke_major)</f>
        <v>0.000879367029683923</v>
      </c>
      <c r="AC47" s="57" t="n">
        <f aca="false">U47*(1-f_bleed_fatal)</f>
        <v>0.000521227299814283</v>
      </c>
      <c r="AD47" s="57" t="n">
        <f aca="false">V47*(1-f_bleed_fatal)</f>
        <v>0.00217065122636171</v>
      </c>
      <c r="AE47" s="57" t="n">
        <f aca="false">W47*f_mi_fatal</f>
        <v>5.1600127801969E-005</v>
      </c>
      <c r="AF47" s="57" t="n">
        <f aca="false">W47-AE47</f>
        <v>0.000374847209404387</v>
      </c>
      <c r="AG47" s="57" t="n">
        <f aca="false">M47-T47-U47-V47-AE47</f>
        <v>0.278939514876253</v>
      </c>
      <c r="AH47" s="19" t="n">
        <f aca="false">Z47*c_stroke_fatal+AA47*c_stroke_major+AB47*c_stroke_minor+U47*c_ich+V47*c_major_bleed+AE47*c_mi_fatal+AF47*c_mi_nonfatal+X47*c_tia+Y47*c_minor_bleed</f>
        <v>102.477309284695</v>
      </c>
      <c r="AI47" s="57" t="n">
        <f aca="false">dt*(AF47*dec_mi+AD47*dec_major_bleed+Y47*dec_minor_bleed+X47*dec_tia)</f>
        <v>0.000116664295248711</v>
      </c>
      <c r="AJ47" s="57" t="n">
        <f aca="false">G47*L47+Z47+U47-AC47+V47-AD47+AE47</f>
        <v>0.00779204516581866</v>
      </c>
      <c r="AK47" s="57" t="n">
        <f aca="false">1-EXP(LN(1-E47)*hr_death_prior_stroke*dt)</f>
        <v>0.055155335593114</v>
      </c>
      <c r="AL47" s="57" t="n">
        <f aca="false">H47*(1-AK47)</f>
        <v>0.043469606558661</v>
      </c>
      <c r="AM47" s="57" t="n">
        <f aca="false">(1-EXP(-r_stroke*F47*rr_stroke_prior*rr_asa_stroke*dt))</f>
        <v>0.0215411475222794</v>
      </c>
      <c r="AN47" s="57" t="n">
        <f aca="false">(1-EXP(-r_ich*rr_asa_ich*dt))</f>
        <v>0.00102357767802375</v>
      </c>
      <c r="AO47" s="57" t="n">
        <f aca="false">(1-EXP(-r_mb*rr_asa_mb*dt))</f>
        <v>0.00951809672747972</v>
      </c>
      <c r="AP47" s="57" t="n">
        <f aca="false">(1-EXP(-r_mi*rr_asa_mi*dt))</f>
        <v>0.00213413516393479</v>
      </c>
      <c r="AQ47" s="57" t="n">
        <f aca="false">(1-EXP(-r_tia*rr_asa_tia*dt))</f>
        <v>0.00312764565589152</v>
      </c>
      <c r="AR47" s="57" t="n">
        <f aca="false">(1-EXP(-r_minor*rr_asa_minor*dt))</f>
        <v>0.0278181950466747</v>
      </c>
      <c r="AS47" s="57" t="n">
        <f aca="false">AL47*AM47</f>
        <v>0.000936385207615561</v>
      </c>
      <c r="AT47" s="57" t="n">
        <f aca="false">AL47*AN47</f>
        <v>4.449451894592E-005</v>
      </c>
      <c r="AU47" s="57" t="n">
        <f aca="false">AL47*AO47</f>
        <v>0.000413747919930822</v>
      </c>
      <c r="AV47" s="57" t="n">
        <f aca="false">AL47*AP47</f>
        <v>9.27700159192488E-005</v>
      </c>
      <c r="AW47" s="57" t="n">
        <f aca="false">AL47*AQ47</f>
        <v>0.00013595752611651</v>
      </c>
      <c r="AX47" s="57" t="n">
        <f aca="false">AL47*AR47</f>
        <v>0.00120924599385104</v>
      </c>
      <c r="AY47" s="57" t="n">
        <f aca="false">AS47*f_stroke_fatal_recur</f>
        <v>0.000348419571901674</v>
      </c>
      <c r="AZ47" s="57" t="n">
        <f aca="false">AS47*(1-f_stroke_fatal_recur)*f_stroke_major</f>
        <v>0.000195792556692724</v>
      </c>
      <c r="BA47" s="57" t="n">
        <f aca="false">AS47*(1-f_stroke_fatal_recur)*(1-f_stroke_major)</f>
        <v>0.000392173079021163</v>
      </c>
      <c r="BB47" s="57" t="n">
        <f aca="false">AT47*(1-f_bleed_fatal)</f>
        <v>4.07569793544627E-005</v>
      </c>
      <c r="BC47" s="57" t="n">
        <f aca="false">AU47*(1-f_bleed_fatal)</f>
        <v>0.000378993094656633</v>
      </c>
      <c r="BD47" s="57" t="n">
        <f aca="false">AV47*f_mi_fatal</f>
        <v>1.12251719262291E-005</v>
      </c>
      <c r="BE47" s="57" t="n">
        <f aca="false">AV47-BD47</f>
        <v>8.15448439930197E-005</v>
      </c>
      <c r="BF47" s="57" t="n">
        <f aca="false">AL47-AS47-AT47-AU47-BD47</f>
        <v>0.0420637537402424</v>
      </c>
      <c r="BG47" s="19" t="n">
        <f aca="false">AY47*c_stroke_fatal+AZ47*c_stroke_major+BA47*c_stroke_minor+AT47*c_ich+AU47*c_major_bleed+BD47*c_mi_fatal+BE47*c_mi_nonfatal+AW47*c_tia+AX47*c_minor_bleed</f>
        <v>38.1395950733835</v>
      </c>
      <c r="BH47" s="57" t="n">
        <f aca="false">dt*(BE47*dec_mi+BC47*dec_major_bleed+AX47*dec_minor_bleed+AW47*dec_tia)</f>
        <v>1.86960733294004E-005</v>
      </c>
      <c r="BI47" s="57" t="n">
        <f aca="false">H47*AK47+AY47+AT47-BB47+AU47-BC47+BD47</f>
        <v>0.00293567669394233</v>
      </c>
      <c r="BJ47" s="57" t="n">
        <f aca="false">1-EXP(LN(1-E47)*hr_death_prior_stroke*dt)</f>
        <v>0.055155335593114</v>
      </c>
      <c r="BK47" s="57" t="n">
        <f aca="false">I47*(1-BJ47)</f>
        <v>0.0174236770613821</v>
      </c>
      <c r="BL47" s="57" t="n">
        <f aca="false">(1-EXP(-r_stroke*F47*rr_stroke_prior*rr_asa_stroke*dt))</f>
        <v>0.0215411475222794</v>
      </c>
      <c r="BM47" s="57" t="n">
        <f aca="false">(1-EXP(-r_ich*rr_asa_ich*dt))</f>
        <v>0.00102357767802375</v>
      </c>
      <c r="BN47" s="57" t="n">
        <f aca="false">(1-EXP(-r_mb*rr_asa_mb*dt))</f>
        <v>0.00951809672747972</v>
      </c>
      <c r="BO47" s="57" t="n">
        <f aca="false">(1-EXP(-r_mi*rr_asa_mi*dt))</f>
        <v>0.00213413516393479</v>
      </c>
      <c r="BP47" s="57" t="n">
        <f aca="false">(1-EXP(-r_tia*rr_asa_tia*dt))</f>
        <v>0.00312764565589152</v>
      </c>
      <c r="BQ47" s="57" t="n">
        <f aca="false">(1-EXP(-r_minor*rr_asa_minor*dt))</f>
        <v>0.0278181950466747</v>
      </c>
      <c r="BR47" s="57" t="n">
        <f aca="false">BK47*BL47</f>
        <v>0.000375325997959789</v>
      </c>
      <c r="BS47" s="57" t="n">
        <f aca="false">BK47*BM47</f>
        <v>1.78344869091251E-005</v>
      </c>
      <c r="BT47" s="57" t="n">
        <f aca="false">BK47*BN47</f>
        <v>0.000165840243618605</v>
      </c>
      <c r="BU47" s="57" t="n">
        <f aca="false">BK47*BO47</f>
        <v>3.71844819017397E-005</v>
      </c>
      <c r="BV47" s="57" t="n">
        <f aca="false">BK47*BP47</f>
        <v>5.44950878706886E-005</v>
      </c>
      <c r="BW47" s="57" t="n">
        <f aca="false">BK47*BQ47</f>
        <v>0.000484695246923801</v>
      </c>
      <c r="BX47" s="57" t="n">
        <f aca="false">BR47*f_stroke_fatal_recur</f>
        <v>0.000139655050580858</v>
      </c>
      <c r="BY47" s="57" t="n">
        <f aca="false">BR47*(1-f_stroke_fatal_recur)*f_stroke_major</f>
        <v>7.8478425477184E-005</v>
      </c>
      <c r="BZ47" s="57" t="n">
        <f aca="false">BR47*(1-f_stroke_fatal_recur)*(1-f_stroke_major)</f>
        <v>0.000157192521901747</v>
      </c>
      <c r="CA47" s="57" t="n">
        <f aca="false">BS47*(1-f_bleed_fatal)</f>
        <v>1.63363900087586E-005</v>
      </c>
      <c r="CB47" s="57" t="n">
        <f aca="false">BT47*(1-f_bleed_fatal)</f>
        <v>0.000151909663154642</v>
      </c>
      <c r="CC47" s="57" t="n">
        <f aca="false">BU47*f_mi_fatal</f>
        <v>4.4993223101105E-006</v>
      </c>
      <c r="CD47" s="57" t="n">
        <f aca="false">BU47-CC47</f>
        <v>3.26851595916292E-005</v>
      </c>
      <c r="CE47" s="57" t="n">
        <f aca="false">BK47-BR47-BS47-BT47-CC47</f>
        <v>0.0168601770105845</v>
      </c>
      <c r="CF47" s="19" t="n">
        <f aca="false">BX47*c_stroke_fatal+BY47*c_stroke_major+BZ47*c_stroke_minor+BS47*c_ich+BT47*c_major_bleed+CC47*c_mi_fatal+CD47*c_mi_nonfatal+BV47*c_tia+BW47*c_minor_bleed</f>
        <v>15.287278639473</v>
      </c>
      <c r="CG47" s="57" t="n">
        <f aca="false">dt*(CD47*dec_mi+CB47*dec_major_bleed+BW47*dec_minor_bleed+BV47*dec_tia)</f>
        <v>7.49384155496776E-006</v>
      </c>
      <c r="CH47" s="57" t="n">
        <f aca="false">I47*BJ47+BX47+BS47-CA47+BT47-CB47+CC47</f>
        <v>0.00117669072074189</v>
      </c>
      <c r="CI47" s="57" t="n">
        <f aca="false">1-EXP(LN(1-E47)*dt)</f>
        <v>0.0243655277169612</v>
      </c>
      <c r="CJ47" s="57" t="n">
        <f aca="false">J47*(1-CI47)</f>
        <v>0.1006148794281</v>
      </c>
      <c r="CK47" s="57" t="n">
        <f aca="false">(1-EXP(-r_stroke*F47*rr_asa_stroke*dt))</f>
        <v>0.00984960118020584</v>
      </c>
      <c r="CL47" s="57" t="n">
        <f aca="false">(1-EXP(-r_ich*rr_asa_ich*dt))</f>
        <v>0.00102357767802375</v>
      </c>
      <c r="CM47" s="57" t="n">
        <f aca="false">(1-EXP(-r_mb*rr_asa_mb*dt))</f>
        <v>0.00951809672747972</v>
      </c>
      <c r="CN47" s="57" t="n">
        <f aca="false">(1-EXP(-r_mi*rr_asa_mi*dt))</f>
        <v>0.00213413516393479</v>
      </c>
      <c r="CO47" s="57" t="n">
        <f aca="false">(1-EXP(-r_tia*rr_asa_tia*dt))</f>
        <v>0.00312764565589152</v>
      </c>
      <c r="CP47" s="57" t="n">
        <f aca="false">(1-EXP(-r_minor*rr_asa_minor*dt))</f>
        <v>0.0278181950466747</v>
      </c>
      <c r="CQ47" s="57" t="n">
        <f aca="false">CJ47*CK47</f>
        <v>0.000991016435161283</v>
      </c>
      <c r="CR47" s="57" t="n">
        <f aca="false">CJ47*CL47</f>
        <v>0.000102987144659654</v>
      </c>
      <c r="CS47" s="57" t="n">
        <f aca="false">CJ47*CM47</f>
        <v>0.000957662154620367</v>
      </c>
      <c r="CT47" s="57" t="n">
        <f aca="false">CJ47*CN47</f>
        <v>0.000214725752202568</v>
      </c>
      <c r="CU47" s="57" t="n">
        <f aca="false">CJ47*CO47</f>
        <v>0.000314687690561347</v>
      </c>
      <c r="CV47" s="57" t="n">
        <f aca="false">CJ47*CP47</f>
        <v>0.00279892434052855</v>
      </c>
      <c r="CW47" s="57" t="n">
        <f aca="false">CQ47*f_stroke_fatal</f>
        <v>0.000234870895133224</v>
      </c>
      <c r="CX47" s="57" t="n">
        <f aca="false">CQ47*(1-f_stroke_fatal)*f_stroke_major</f>
        <v>0.000251796464829344</v>
      </c>
      <c r="CY47" s="57" t="n">
        <f aca="false">CQ47*(1-f_stroke_fatal)*(1-f_stroke_major)</f>
        <v>0.000504349075198716</v>
      </c>
      <c r="CZ47" s="57" t="n">
        <f aca="false">CR47*(1-f_bleed_fatal)</f>
        <v>9.4336224508243E-005</v>
      </c>
      <c r="DA47" s="57" t="n">
        <f aca="false">CS47*(1-f_bleed_fatal)</f>
        <v>0.000877218533632256</v>
      </c>
      <c r="DB47" s="57" t="n">
        <f aca="false">CT47*f_mi_fatal</f>
        <v>2.59818160165107E-005</v>
      </c>
      <c r="DC47" s="57" t="n">
        <f aca="false">CT47-DB47</f>
        <v>0.000188743936186057</v>
      </c>
      <c r="DD47" s="57" t="n">
        <f aca="false">CJ47-CQ47-CR47-CS47-DB47</f>
        <v>0.0985372318776423</v>
      </c>
      <c r="DE47" s="19" t="n">
        <f aca="false">CW47*c_stroke_fatal+CX47*c_stroke_major+CY47*c_stroke_minor+CR47*c_ich+CS47*c_major_bleed+DB47*c_mi_fatal+DC47*c_mi_nonfatal+CU47*c_tia+CV47*c_minor_bleed</f>
        <v>50.1643335713925</v>
      </c>
      <c r="DF47" s="57" t="n">
        <f aca="false">dt*(DC47*dec_mi+DA47*dec_major_bleed+CV47*dec_minor_bleed+CU47*dec_tia)</f>
        <v>4.32739864180286E-005</v>
      </c>
      <c r="DG47" s="57" t="n">
        <f aca="false">J47*CI47+CW47+CR47-CZ47+CS47-DA47+DB47</f>
        <v>0.00286270659309787</v>
      </c>
      <c r="DH47" s="57" t="n">
        <f aca="false">AG47</f>
        <v>0.278939514876253</v>
      </c>
      <c r="DI47" s="57" t="n">
        <f aca="false">AB47+AC47+BF47+BA47+BB47+BC47+CY47+CZ47</f>
        <v>0.0448749565224799</v>
      </c>
      <c r="DJ47" s="57" t="n">
        <f aca="false">AA47+AZ47+BY47+CX47+CE47+BZ47+CA47+CB47</f>
        <v>0.0181507073518165</v>
      </c>
      <c r="DK47" s="57" t="n">
        <f aca="false">AD47+DD47+DA47</f>
        <v>0.101585101637636</v>
      </c>
      <c r="DL47" s="57" t="n">
        <f aca="false">K47+AJ47+BI47+CH47+DG47</f>
        <v>0.556449719611815</v>
      </c>
      <c r="DM47" s="58" t="n">
        <f aca="false">SUM(DH47:DL47)</f>
        <v>1</v>
      </c>
      <c r="DN47" s="19" t="n">
        <f aca="false">dt*(G47*Warfarin!$H$2+(H47+I47+J47)*c_aspirin)</f>
        <v>29.5633860165682</v>
      </c>
      <c r="DO47" s="19" t="n">
        <f aca="false">dt*(H47*c_lt_minor_stroke+I47*c_lt_major_stroke)</f>
        <v>244.766102899726</v>
      </c>
      <c r="DP47" s="19" t="n">
        <f aca="false">AH47+BG47+CF47+DE47</f>
        <v>206.068516568944</v>
      </c>
      <c r="DQ47" s="19" t="n">
        <f aca="false">DN47+DO47+DP47</f>
        <v>480.398005485239</v>
      </c>
      <c r="DR47" s="57" t="n">
        <f aca="false">dt*(G47*(u_af-dec_per_year_over_70*MAX(B47-ref_age,0))+H47*(u_minor_stroke-dec_per_year_over_70*MAX(B47-ref_age,0))+I47*(u_major_stroke-dec_per_year_over_70*MAX(B47-ref_age,0))+J47*(u_af-dec_per_year_over_70*MAX(B47-ref_age,0)))-AI47-BH47-CG47-DF47</f>
        <v>0.0893915432472541</v>
      </c>
      <c r="DS47" s="57" t="n">
        <f aca="false">dt*(G47+H47+I47+J47)</f>
        <v>0.114579349890447</v>
      </c>
      <c r="DT47" s="19" t="n">
        <f aca="false">DQ47*C47</f>
        <v>412.40532338189</v>
      </c>
      <c r="DU47" s="19" t="n">
        <f aca="false">DN47*C47</f>
        <v>25.3791598449946</v>
      </c>
      <c r="DV47" s="19" t="n">
        <f aca="false">DP47*C47</f>
        <v>176.902801935245</v>
      </c>
      <c r="DW47" s="19" t="n">
        <f aca="false">DO47*C47</f>
        <v>210.123361601651</v>
      </c>
      <c r="DX47" s="57" t="n">
        <f aca="false">DR47*C47</f>
        <v>0.0767395948350224</v>
      </c>
      <c r="DY47" s="57" t="n">
        <f aca="false">DS47*C47</f>
        <v>0.0983624688381608</v>
      </c>
      <c r="DZ47" s="57" t="n">
        <f aca="false">T47+AS47+BR47+CQ47</f>
        <v>0.0040306324229797</v>
      </c>
      <c r="EA47" s="57" t="n">
        <f aca="false">U47+AT47+BS47+CR47</f>
        <v>0.000734341586993174</v>
      </c>
      <c r="EB47" s="57" t="n">
        <f aca="false">V47+AU47+BT47+CS47</f>
        <v>0.0039069568971673</v>
      </c>
      <c r="EC47" s="57" t="n">
        <f aca="false">G47*dt*C47</f>
        <v>0.0623979892810401</v>
      </c>
    </row>
    <row r="48" customFormat="false" ht="15" hidden="false" customHeight="false" outlineLevel="0" collapsed="false">
      <c r="A48" s="8" t="n">
        <v>42</v>
      </c>
      <c r="B48" s="54" t="n">
        <f aca="false">start_age+A48*dt</f>
        <v>80.5</v>
      </c>
      <c r="C48" s="16" t="n">
        <f aca="false">(1+disc_rate)^-(A48*dt)</f>
        <v>0.855276533636308</v>
      </c>
      <c r="D48" s="55" t="n">
        <f aca="false">IF(A48*dt&gt;=wane_start,(1-wane_decay)^(A48*dt-wane_start),1)</f>
        <v>1</v>
      </c>
      <c r="E48" s="25" t="n">
        <f aca="false">MIN(p_nonvasc_death*MIN(EXP(gomp_int+gomp_slope*INT(B48)),1)/qx_ref,0.999)</f>
        <v>0.0939575459703644</v>
      </c>
      <c r="F48" s="55" t="n">
        <f aca="false">rr_stroke_per_decade^((B48-ref_age)/10)</f>
        <v>1.53072023047418</v>
      </c>
      <c r="G48" s="57" t="n">
        <f aca="false">DH47</f>
        <v>0.278939514876253</v>
      </c>
      <c r="H48" s="57" t="n">
        <f aca="false">DI47</f>
        <v>0.0448749565224799</v>
      </c>
      <c r="I48" s="57" t="n">
        <f aca="false">DJ47</f>
        <v>0.0181507073518165</v>
      </c>
      <c r="J48" s="57" t="n">
        <f aca="false">DK47</f>
        <v>0.101585101637636</v>
      </c>
      <c r="K48" s="57" t="n">
        <f aca="false">DL47</f>
        <v>0.556449719611815</v>
      </c>
      <c r="L48" s="57" t="n">
        <f aca="false">1-EXP(LN(1-E48)*dt)</f>
        <v>0.0243655277169612</v>
      </c>
      <c r="M48" s="57" t="n">
        <f aca="false">G48*(1-L48)</f>
        <v>0.27214300639518</v>
      </c>
      <c r="N48" s="57" t="n">
        <f aca="false">IF(Warfarin!$B$2=1,EXP(LN(or_apx_stroke)*D48)*(1-EXP(-r_stroke*F48*dt))/(1-(1-EXP(-r_stroke*F48*dt))+EXP(LN(or_apx_stroke)*D48)*(1-EXP(-r_stroke*F48*dt))),(1-EXP(-r_stroke*F48*dt)))</f>
        <v>0.00615338272247989</v>
      </c>
      <c r="O48" s="57" t="n">
        <f aca="false">IF(Warfarin!$B$2=1,EXP(LN(or_apx_ich)*D48)*(1-EXP(-r_ich*dt))/(1-(1-EXP(-r_ich*dt))+EXP(LN(or_apx_ich)*D48)*(1-EXP(-r_ich*dt))),(1-EXP(-r_ich*dt)))</f>
        <v>0.0020060281549299</v>
      </c>
      <c r="P48" s="57" t="n">
        <f aca="false">IF(Warfarin!$B$2=1,EXP(LN(or_apx_mb)*D48)*(1-EXP(-r_mb*dt))/(1-(1-EXP(-r_mb*dt))+EXP(LN(or_apx_mb)*D48)*(1-EXP(-r_mb*dt))),(1-EXP(-r_mb*dt)))</f>
        <v>0.00835410477572107</v>
      </c>
      <c r="Q48" s="57" t="n">
        <f aca="false">IF(Warfarin!$B$2=1,EXP(LN(or_apx_mi)*D48)*(1-EXP(-r_mi*dt))/(1-(1-EXP(-r_mi*dt))+EXP(LN(or_apx_mi)*D48)*(1-EXP(-r_mi*dt))),(1-EXP(-r_mi*dt)))</f>
        <v>0.00150338686144691</v>
      </c>
      <c r="R48" s="57" t="n">
        <f aca="false">(1-EXP(-r_tia*dt))</f>
        <v>0.0020060281549299</v>
      </c>
      <c r="S48" s="57" t="n">
        <f aca="false">(1-EXP(-r_minor*dt))</f>
        <v>0.0437937690785545</v>
      </c>
      <c r="T48" s="57" t="n">
        <f aca="false">M48*N48</f>
        <v>0.00167460007359584</v>
      </c>
      <c r="U48" s="57" t="n">
        <f aca="false">M48*O48</f>
        <v>0.000545926532995998</v>
      </c>
      <c r="V48" s="57" t="n">
        <f aca="false">M48*P48</f>
        <v>0.00227351118940506</v>
      </c>
      <c r="W48" s="57" t="n">
        <f aca="false">M48*Q48</f>
        <v>0.000409136220249176</v>
      </c>
      <c r="X48" s="57" t="n">
        <f aca="false">M48*R48</f>
        <v>0.000545926532995998</v>
      </c>
      <c r="Y48" s="57" t="n">
        <f aca="false">M48*S48</f>
        <v>0.0119181679784141</v>
      </c>
      <c r="Z48" s="57" t="n">
        <f aca="false">T48*f_stroke_fatal</f>
        <v>0.000396880217442213</v>
      </c>
      <c r="AA48" s="57" t="n">
        <f aca="false">T48*(1-f_stroke_fatal)*f_stroke_major</f>
        <v>0.000425480712099157</v>
      </c>
      <c r="AB48" s="57" t="n">
        <f aca="false">T48*(1-f_stroke_fatal)*(1-f_stroke_major)</f>
        <v>0.000852239144054467</v>
      </c>
      <c r="AC48" s="57" t="n">
        <f aca="false">U48*(1-f_bleed_fatal)</f>
        <v>0.000500068704224334</v>
      </c>
      <c r="AD48" s="57" t="n">
        <f aca="false">V48*(1-f_bleed_fatal)</f>
        <v>0.00208253624949504</v>
      </c>
      <c r="AE48" s="57" t="n">
        <f aca="false">W48*f_mi_fatal</f>
        <v>4.95054826501503E-005</v>
      </c>
      <c r="AF48" s="57" t="n">
        <f aca="false">W48-AE48</f>
        <v>0.000359630737599026</v>
      </c>
      <c r="AG48" s="57" t="n">
        <f aca="false">M48-T48-U48-V48-AE48</f>
        <v>0.267599463116533</v>
      </c>
      <c r="AH48" s="19" t="n">
        <f aca="false">Z48*c_stroke_fatal+AA48*c_stroke_major+AB48*c_stroke_minor+U48*c_ich+V48*c_major_bleed+AE48*c_mi_fatal+AF48*c_mi_nonfatal+X48*c_tia+Y48*c_minor_bleed</f>
        <v>98.9394721701699</v>
      </c>
      <c r="AI48" s="57" t="n">
        <f aca="false">dt*(AF48*dec_mi+AD48*dec_major_bleed+Y48*dec_minor_bleed+X48*dec_tia)</f>
        <v>0.000111928448442848</v>
      </c>
      <c r="AJ48" s="57" t="n">
        <f aca="false">G48*L48+Z48+U48-AC48+V48-AD48+AE48</f>
        <v>0.00747972694984711</v>
      </c>
      <c r="AK48" s="57" t="n">
        <f aca="false">1-EXP(LN(1-E48)*hr_death_prior_stroke*dt)</f>
        <v>0.055155335593114</v>
      </c>
      <c r="AL48" s="57" t="n">
        <f aca="false">H48*(1-AK48)</f>
        <v>0.0423998632357561</v>
      </c>
      <c r="AM48" s="57" t="n">
        <f aca="false">(1-EXP(-r_stroke*F48*rr_stroke_prior*rr_asa_stroke*dt))</f>
        <v>0.0217582075515118</v>
      </c>
      <c r="AN48" s="57" t="n">
        <f aca="false">(1-EXP(-r_ich*rr_asa_ich*dt))</f>
        <v>0.00102357767802375</v>
      </c>
      <c r="AO48" s="57" t="n">
        <f aca="false">(1-EXP(-r_mb*rr_asa_mb*dt))</f>
        <v>0.00951809672747972</v>
      </c>
      <c r="AP48" s="57" t="n">
        <f aca="false">(1-EXP(-r_mi*rr_asa_mi*dt))</f>
        <v>0.00213413516393479</v>
      </c>
      <c r="AQ48" s="57" t="n">
        <f aca="false">(1-EXP(-r_tia*rr_asa_tia*dt))</f>
        <v>0.00312764565589152</v>
      </c>
      <c r="AR48" s="57" t="n">
        <f aca="false">(1-EXP(-r_minor*rr_asa_minor*dt))</f>
        <v>0.0278181950466747</v>
      </c>
      <c r="AS48" s="57" t="n">
        <f aca="false">AL48*AM48</f>
        <v>0.000922545024439296</v>
      </c>
      <c r="AT48" s="57" t="n">
        <f aca="false">AL48*AN48</f>
        <v>4.33995535593796E-005</v>
      </c>
      <c r="AU48" s="57" t="n">
        <f aca="false">AL48*AO48</f>
        <v>0.000403565999509838</v>
      </c>
      <c r="AV48" s="57" t="n">
        <f aca="false">AL48*AP48</f>
        <v>9.0487039077453E-005</v>
      </c>
      <c r="AW48" s="57" t="n">
        <f aca="false">AL48*AQ48</f>
        <v>0.000132611748059707</v>
      </c>
      <c r="AX48" s="57" t="n">
        <f aca="false">AL48*AR48</f>
        <v>0.0011794876654446</v>
      </c>
      <c r="AY48" s="57" t="n">
        <f aca="false">AS48*f_stroke_fatal_recur</f>
        <v>0.000343269778143618</v>
      </c>
      <c r="AZ48" s="57" t="n">
        <f aca="false">AS48*(1-f_stroke_fatal_recur)*f_stroke_major</f>
        <v>0.000192898657016461</v>
      </c>
      <c r="BA48" s="57" t="n">
        <f aca="false">AS48*(1-f_stroke_fatal_recur)*(1-f_stroke_major)</f>
        <v>0.000386376589279217</v>
      </c>
      <c r="BB48" s="57" t="n">
        <f aca="false">AT48*(1-f_bleed_fatal)</f>
        <v>3.97539910603917E-005</v>
      </c>
      <c r="BC48" s="57" t="n">
        <f aca="false">AU48*(1-f_bleed_fatal)</f>
        <v>0.000369666455551011</v>
      </c>
      <c r="BD48" s="57" t="n">
        <f aca="false">AV48*f_mi_fatal</f>
        <v>1.09489317283718E-005</v>
      </c>
      <c r="BE48" s="57" t="n">
        <f aca="false">AV48-BD48</f>
        <v>7.95381073490812E-005</v>
      </c>
      <c r="BF48" s="57" t="n">
        <f aca="false">AL48-AS48-AT48-AU48-BD48</f>
        <v>0.0410194037265192</v>
      </c>
      <c r="BG48" s="19" t="n">
        <f aca="false">AY48*c_stroke_fatal+AZ48*c_stroke_major+BA48*c_stroke_minor+AT48*c_ich+AU48*c_major_bleed+BD48*c_mi_fatal+BE48*c_mi_nonfatal+AW48*c_tia+AX48*c_minor_bleed</f>
        <v>37.51834330012</v>
      </c>
      <c r="BH48" s="57" t="n">
        <f aca="false">dt*(BE48*dec_mi+BC48*dec_major_bleed+AX48*dec_minor_bleed+AW48*dec_tia)</f>
        <v>1.82359817575644E-005</v>
      </c>
      <c r="BI48" s="57" t="n">
        <f aca="false">H48*AK48+AY48+AT48-BB48+AU48-BC48+BD48</f>
        <v>0.00286685710305358</v>
      </c>
      <c r="BJ48" s="57" t="n">
        <f aca="false">1-EXP(LN(1-E48)*hr_death_prior_stroke*dt)</f>
        <v>0.055155335593114</v>
      </c>
      <c r="BK48" s="57" t="n">
        <f aca="false">I48*(1-BJ48)</f>
        <v>0.0171495989965746</v>
      </c>
      <c r="BL48" s="57" t="n">
        <f aca="false">(1-EXP(-r_stroke*F48*rr_stroke_prior*rr_asa_stroke*dt))</f>
        <v>0.0217582075515118</v>
      </c>
      <c r="BM48" s="57" t="n">
        <f aca="false">(1-EXP(-r_ich*rr_asa_ich*dt))</f>
        <v>0.00102357767802375</v>
      </c>
      <c r="BN48" s="57" t="n">
        <f aca="false">(1-EXP(-r_mb*rr_asa_mb*dt))</f>
        <v>0.00951809672747972</v>
      </c>
      <c r="BO48" s="57" t="n">
        <f aca="false">(1-EXP(-r_mi*rr_asa_mi*dt))</f>
        <v>0.00213413516393479</v>
      </c>
      <c r="BP48" s="57" t="n">
        <f aca="false">(1-EXP(-r_tia*rr_asa_tia*dt))</f>
        <v>0.00312764565589152</v>
      </c>
      <c r="BQ48" s="57" t="n">
        <f aca="false">(1-EXP(-r_minor*rr_asa_minor*dt))</f>
        <v>0.0278181950466747</v>
      </c>
      <c r="BR48" s="57" t="n">
        <f aca="false">BK48*BL48</f>
        <v>0.000373144534392669</v>
      </c>
      <c r="BS48" s="57" t="n">
        <f aca="false">BK48*BM48</f>
        <v>1.75539467199522E-005</v>
      </c>
      <c r="BT48" s="57" t="n">
        <f aca="false">BK48*BN48</f>
        <v>0.000163231542086886</v>
      </c>
      <c r="BU48" s="57" t="n">
        <f aca="false">BK48*BO48</f>
        <v>3.65995622659707E-005</v>
      </c>
      <c r="BV48" s="57" t="n">
        <f aca="false">BK48*BP48</f>
        <v>5.36378688019182E-005</v>
      </c>
      <c r="BW48" s="57" t="n">
        <f aca="false">BK48*BQ48</f>
        <v>0.000477070889858969</v>
      </c>
      <c r="BX48" s="57" t="n">
        <f aca="false">BR48*f_stroke_fatal_recur</f>
        <v>0.000138843349802168</v>
      </c>
      <c r="BY48" s="57" t="n">
        <f aca="false">BR48*(1-f_stroke_fatal_recur)*f_stroke_major</f>
        <v>7.80222944686368E-005</v>
      </c>
      <c r="BZ48" s="57" t="n">
        <f aca="false">BR48*(1-f_stroke_fatal_recur)*(1-f_stroke_major)</f>
        <v>0.000156278890121864</v>
      </c>
      <c r="CA48" s="57" t="n">
        <f aca="false">BS48*(1-f_bleed_fatal)</f>
        <v>1.60794151954762E-005</v>
      </c>
      <c r="CB48" s="57" t="n">
        <f aca="false">BT48*(1-f_bleed_fatal)</f>
        <v>0.000149520092551588</v>
      </c>
      <c r="CC48" s="57" t="n">
        <f aca="false">BU48*f_mi_fatal</f>
        <v>4.42854703418245E-006</v>
      </c>
      <c r="CD48" s="57" t="n">
        <f aca="false">BU48-CC48</f>
        <v>3.21710152317882E-005</v>
      </c>
      <c r="CE48" s="57" t="n">
        <f aca="false">BK48-BR48-BS48-BT48-CC48</f>
        <v>0.0165912404263409</v>
      </c>
      <c r="CF48" s="19" t="n">
        <f aca="false">BX48*c_stroke_fatal+BY48*c_stroke_major+BZ48*c_stroke_minor+BS48*c_ich+BT48*c_major_bleed+CC48*c_mi_fatal+CD48*c_mi_nonfatal+BV48*c_tia+BW48*c_minor_bleed</f>
        <v>15.1751560856516</v>
      </c>
      <c r="CG48" s="57" t="n">
        <f aca="false">dt*(CD48*dec_mi+CB48*dec_major_bleed+BW48*dec_minor_bleed+BV48*dec_tia)</f>
        <v>7.37596186837095E-006</v>
      </c>
      <c r="CH48" s="57" t="n">
        <f aca="false">I48*BJ48+BX48+BS48-CA48+BT48-CB48+CC48</f>
        <v>0.00115956623313796</v>
      </c>
      <c r="CI48" s="57" t="n">
        <f aca="false">1-EXP(LN(1-E48)*dt)</f>
        <v>0.0243655277169612</v>
      </c>
      <c r="CJ48" s="57" t="n">
        <f aca="false">J48*(1-CI48)</f>
        <v>0.0991099270280542</v>
      </c>
      <c r="CK48" s="57" t="n">
        <f aca="false">(1-EXP(-r_stroke*F48*rr_asa_stroke*dt))</f>
        <v>0.00994944979722123</v>
      </c>
      <c r="CL48" s="57" t="n">
        <f aca="false">(1-EXP(-r_ich*rr_asa_ich*dt))</f>
        <v>0.00102357767802375</v>
      </c>
      <c r="CM48" s="57" t="n">
        <f aca="false">(1-EXP(-r_mb*rr_asa_mb*dt))</f>
        <v>0.00951809672747972</v>
      </c>
      <c r="CN48" s="57" t="n">
        <f aca="false">(1-EXP(-r_mi*rr_asa_mi*dt))</f>
        <v>0.00213413516393479</v>
      </c>
      <c r="CO48" s="57" t="n">
        <f aca="false">(1-EXP(-r_tia*rr_asa_tia*dt))</f>
        <v>0.00312764565589152</v>
      </c>
      <c r="CP48" s="57" t="n">
        <f aca="false">(1-EXP(-r_minor*rr_asa_minor*dt))</f>
        <v>0.0278181950466747</v>
      </c>
      <c r="CQ48" s="57" t="n">
        <f aca="false">CJ48*CK48</f>
        <v>0.000986089243371885</v>
      </c>
      <c r="CR48" s="57" t="n">
        <f aca="false">CJ48*CL48</f>
        <v>0.000101446708976479</v>
      </c>
      <c r="CS48" s="57" t="n">
        <f aca="false">CJ48*CM48</f>
        <v>0.000943337872106476</v>
      </c>
      <c r="CT48" s="57" t="n">
        <f aca="false">CJ48*CN48</f>
        <v>0.000211513980365582</v>
      </c>
      <c r="CU48" s="57" t="n">
        <f aca="false">CJ48*CO48</f>
        <v>0.000309980732725019</v>
      </c>
      <c r="CV48" s="57" t="n">
        <f aca="false">CJ48*CP48</f>
        <v>0.00275705928112811</v>
      </c>
      <c r="CW48" s="57" t="n">
        <f aca="false">CQ48*f_stroke_fatal</f>
        <v>0.000233703150679137</v>
      </c>
      <c r="CX48" s="57" t="n">
        <f aca="false">CQ48*(1-f_stroke_fatal)*f_stroke_major</f>
        <v>0.000250544568866685</v>
      </c>
      <c r="CY48" s="57" t="n">
        <f aca="false">CQ48*(1-f_stroke_fatal)*(1-f_stroke_major)</f>
        <v>0.000501841523826063</v>
      </c>
      <c r="CZ48" s="57" t="n">
        <f aca="false">CR48*(1-f_bleed_fatal)</f>
        <v>9.29251854224544E-005</v>
      </c>
      <c r="DA48" s="57" t="n">
        <f aca="false">CS48*(1-f_bleed_fatal)</f>
        <v>0.000864097490849532</v>
      </c>
      <c r="DB48" s="57" t="n">
        <f aca="false">CT48*f_mi_fatal</f>
        <v>2.55931916242354E-005</v>
      </c>
      <c r="DC48" s="57" t="n">
        <f aca="false">CT48-DB48</f>
        <v>0.000185920788741346</v>
      </c>
      <c r="DD48" s="57" t="n">
        <f aca="false">CJ48-CQ48-CR48-CS48-DB48</f>
        <v>0.0970534600119751</v>
      </c>
      <c r="DE48" s="19" t="n">
        <f aca="false">CW48*c_stroke_fatal+CX48*c_stroke_major+CY48*c_stroke_minor+CR48*c_ich+CS48*c_major_bleed+DB48*c_mi_fatal+DC48*c_mi_nonfatal+CU48*c_tia+CV48*c_minor_bleed</f>
        <v>49.7796312428407</v>
      </c>
      <c r="DF48" s="57" t="n">
        <f aca="false">dt*(DC48*dec_mi+DA48*dec_major_bleed+CV48*dec_minor_bleed+CU48*dec_tia)</f>
        <v>4.26267134690419E-005</v>
      </c>
      <c r="DG48" s="57" t="n">
        <f aca="false">J48*CI48+CW48+CR48-CZ48+CS48-DA48+DB48</f>
        <v>0.00282223285669649</v>
      </c>
      <c r="DH48" s="57" t="n">
        <f aca="false">AG48</f>
        <v>0.267599463116533</v>
      </c>
      <c r="DI48" s="57" t="n">
        <f aca="false">AB48+AC48+BF48+BA48+BB48+BC48+CY48+CZ48</f>
        <v>0.0437622753199371</v>
      </c>
      <c r="DJ48" s="57" t="n">
        <f aca="false">AA48+AZ48+BY48+CX48+CE48+BZ48+CA48+CB48</f>
        <v>0.0178600650566608</v>
      </c>
      <c r="DK48" s="57" t="n">
        <f aca="false">AD48+DD48+DA48</f>
        <v>0.10000009375232</v>
      </c>
      <c r="DL48" s="57" t="n">
        <f aca="false">K48+AJ48+BI48+CH48+DG48</f>
        <v>0.57077810275455</v>
      </c>
      <c r="DM48" s="58" t="n">
        <f aca="false">SUM(DH48:DL48)</f>
        <v>1</v>
      </c>
      <c r="DN48" s="19" t="n">
        <f aca="false">dt*(G48*Warfarin!$H$2+(H48+I48+J48)*c_aspirin)</f>
        <v>28.4007520964093</v>
      </c>
      <c r="DO48" s="19" t="n">
        <f aca="false">dt*(H48*c_lt_minor_stroke+I48*c_lt_major_stroke)</f>
        <v>239.811599063257</v>
      </c>
      <c r="DP48" s="19" t="n">
        <f aca="false">AH48+BG48+CF48+DE48</f>
        <v>201.412602798782</v>
      </c>
      <c r="DQ48" s="19" t="n">
        <f aca="false">DN48+DO48+DP48</f>
        <v>469.624953958449</v>
      </c>
      <c r="DR48" s="57" t="n">
        <f aca="false">dt*(G48*(u_af-dec_per_year_over_70*MAX(B48-ref_age,0))+H48*(u_minor_stroke-dec_per_year_over_70*MAX(B48-ref_age,0))+I48*(u_major_stroke-dec_per_year_over_70*MAX(B48-ref_age,0))+J48*(u_af-dec_per_year_over_70*MAX(B48-ref_age,0)))-AI48-BH48-CG48-DF48</f>
        <v>0.0864617007518478</v>
      </c>
      <c r="DS48" s="57" t="n">
        <f aca="false">dt*(G48+H48+I48+J48)</f>
        <v>0.110887570097046</v>
      </c>
      <c r="DT48" s="19" t="n">
        <f aca="false">DQ48*C48</f>
        <v>401.659202730692</v>
      </c>
      <c r="DU48" s="19" t="n">
        <f aca="false">DN48*C48</f>
        <v>24.290496805681</v>
      </c>
      <c r="DV48" s="19" t="n">
        <f aca="false">DP48*C48</f>
        <v>172.263472752409</v>
      </c>
      <c r="DW48" s="19" t="n">
        <f aca="false">DO48*C48</f>
        <v>205.105233172602</v>
      </c>
      <c r="DX48" s="57" t="n">
        <f aca="false">DR48*C48</f>
        <v>0.0739486637113401</v>
      </c>
      <c r="DY48" s="57" t="n">
        <f aca="false">DS48*C48</f>
        <v>0.094839536575955</v>
      </c>
      <c r="DZ48" s="57" t="n">
        <f aca="false">T48+AS48+BR48+CQ48</f>
        <v>0.00395637887579969</v>
      </c>
      <c r="EA48" s="57" t="n">
        <f aca="false">U48+AT48+BS48+CR48</f>
        <v>0.000708326742251808</v>
      </c>
      <c r="EB48" s="57" t="n">
        <f aca="false">V48+AU48+BT48+CS48</f>
        <v>0.00378364660310826</v>
      </c>
      <c r="EC48" s="57" t="n">
        <f aca="false">G48*dt*C48</f>
        <v>0.0596426053443888</v>
      </c>
    </row>
    <row r="49" customFormat="false" ht="15" hidden="false" customHeight="false" outlineLevel="0" collapsed="false">
      <c r="A49" s="8" t="n">
        <v>43</v>
      </c>
      <c r="B49" s="54" t="n">
        <f aca="false">start_age+A49*dt</f>
        <v>80.75</v>
      </c>
      <c r="C49" s="16" t="n">
        <f aca="false">(1+disc_rate)^-(A49*dt)</f>
        <v>0.852098980753022</v>
      </c>
      <c r="D49" s="55" t="n">
        <f aca="false">IF(A49*dt&gt;=wane_start,(1-wane_decay)^(A49*dt-wane_start),1)</f>
        <v>1</v>
      </c>
      <c r="E49" s="25" t="n">
        <f aca="false">MIN(p_nonvasc_death*MIN(EXP(gomp_int+gomp_slope*INT(B49)),1)/qx_ref,0.999)</f>
        <v>0.0939575459703644</v>
      </c>
      <c r="F49" s="55" t="n">
        <f aca="false">rr_stroke_per_decade^((B49-ref_age)/10)</f>
        <v>1.54631547964922</v>
      </c>
      <c r="G49" s="57" t="n">
        <f aca="false">DH48</f>
        <v>0.267599463116533</v>
      </c>
      <c r="H49" s="57" t="n">
        <f aca="false">DI48</f>
        <v>0.0437622753199371</v>
      </c>
      <c r="I49" s="57" t="n">
        <f aca="false">DJ48</f>
        <v>0.0178600650566608</v>
      </c>
      <c r="J49" s="57" t="n">
        <f aca="false">DK48</f>
        <v>0.10000009375232</v>
      </c>
      <c r="K49" s="57" t="n">
        <f aca="false">DL48</f>
        <v>0.57077810275455</v>
      </c>
      <c r="L49" s="57" t="n">
        <f aca="false">1-EXP(LN(1-E49)*dt)</f>
        <v>0.0243655277169612</v>
      </c>
      <c r="M49" s="57" t="n">
        <f aca="false">G49*(1-L49)</f>
        <v>0.261079260980923</v>
      </c>
      <c r="N49" s="57" t="n">
        <f aca="false">IF(Warfarin!$B$2=1,EXP(LN(or_apx_stroke)*D49)*(1-EXP(-r_stroke*F49*dt))/(1-(1-EXP(-r_stroke*F49*dt))+EXP(LN(or_apx_stroke)*D49)*(1-EXP(-r_stroke*F49*dt))),(1-EXP(-r_stroke*F49*dt)))</f>
        <v>0.0062158792318241</v>
      </c>
      <c r="O49" s="57" t="n">
        <f aca="false">IF(Warfarin!$B$2=1,EXP(LN(or_apx_ich)*D49)*(1-EXP(-r_ich*dt))/(1-(1-EXP(-r_ich*dt))+EXP(LN(or_apx_ich)*D49)*(1-EXP(-r_ich*dt))),(1-EXP(-r_ich*dt)))</f>
        <v>0.0020060281549299</v>
      </c>
      <c r="P49" s="57" t="n">
        <f aca="false">IF(Warfarin!$B$2=1,EXP(LN(or_apx_mb)*D49)*(1-EXP(-r_mb*dt))/(1-(1-EXP(-r_mb*dt))+EXP(LN(or_apx_mb)*D49)*(1-EXP(-r_mb*dt))),(1-EXP(-r_mb*dt)))</f>
        <v>0.00835410477572107</v>
      </c>
      <c r="Q49" s="57" t="n">
        <f aca="false">IF(Warfarin!$B$2=1,EXP(LN(or_apx_mi)*D49)*(1-EXP(-r_mi*dt))/(1-(1-EXP(-r_mi*dt))+EXP(LN(or_apx_mi)*D49)*(1-EXP(-r_mi*dt))),(1-EXP(-r_mi*dt)))</f>
        <v>0.00150338686144691</v>
      </c>
      <c r="R49" s="57" t="n">
        <f aca="false">(1-EXP(-r_tia*dt))</f>
        <v>0.0020060281549299</v>
      </c>
      <c r="S49" s="57" t="n">
        <f aca="false">(1-EXP(-r_minor*dt))</f>
        <v>0.0437937690785545</v>
      </c>
      <c r="T49" s="57" t="n">
        <f aca="false">M49*N49</f>
        <v>0.0016228371561913</v>
      </c>
      <c r="U49" s="57" t="n">
        <f aca="false">M49*O49</f>
        <v>0.000523732348196022</v>
      </c>
      <c r="V49" s="57" t="n">
        <f aca="false">M49*P49</f>
        <v>0.00218108350100246</v>
      </c>
      <c r="W49" s="57" t="n">
        <f aca="false">M49*Q49</f>
        <v>0.000392503130754989</v>
      </c>
      <c r="X49" s="57" t="n">
        <f aca="false">M49*R49</f>
        <v>0.000523732348196022</v>
      </c>
      <c r="Y49" s="57" t="n">
        <f aca="false">M49*S49</f>
        <v>0.0114336448665982</v>
      </c>
      <c r="Z49" s="57" t="n">
        <f aca="false">T49*f_stroke_fatal</f>
        <v>0.000384612406017339</v>
      </c>
      <c r="AA49" s="57" t="n">
        <f aca="false">T49*(1-f_stroke_fatal)*f_stroke_major</f>
        <v>0.00041232884180793</v>
      </c>
      <c r="AB49" s="57" t="n">
        <f aca="false">T49*(1-f_stroke_fatal)*(1-f_stroke_major)</f>
        <v>0.000825895908366034</v>
      </c>
      <c r="AC49" s="57" t="n">
        <f aca="false">U49*(1-f_bleed_fatal)</f>
        <v>0.000479738830947556</v>
      </c>
      <c r="AD49" s="57" t="n">
        <f aca="false">V49*(1-f_bleed_fatal)</f>
        <v>0.00199787248691825</v>
      </c>
      <c r="AE49" s="57" t="n">
        <f aca="false">W49*f_mi_fatal</f>
        <v>4.74928788213536E-005</v>
      </c>
      <c r="AF49" s="57" t="n">
        <f aca="false">W49-AE49</f>
        <v>0.000345010251933635</v>
      </c>
      <c r="AG49" s="57" t="n">
        <f aca="false">M49-T49-U49-V49-AE49</f>
        <v>0.256704115096712</v>
      </c>
      <c r="AH49" s="19" t="n">
        <f aca="false">Z49*c_stroke_fatal+AA49*c_stroke_major+AB49*c_stroke_minor+U49*c_ich+V49*c_major_bleed+AE49*c_mi_fatal+AF49*c_mi_nonfatal+X49*c_tia+Y49*c_minor_bleed</f>
        <v>95.5200285936027</v>
      </c>
      <c r="AI49" s="57" t="n">
        <f aca="false">dt*(AF49*dec_mi+AD49*dec_major_bleed+Y49*dec_minor_bleed+X49*dec_tia)</f>
        <v>0.000107378091354538</v>
      </c>
      <c r="AJ49" s="57" t="n">
        <f aca="false">G49*L49+Z49+U49-AC49+V49-AD49+AE49</f>
        <v>0.00717951195178119</v>
      </c>
      <c r="AK49" s="57" t="n">
        <f aca="false">1-EXP(LN(1-E49)*hr_death_prior_stroke*dt)</f>
        <v>0.055155335593114</v>
      </c>
      <c r="AL49" s="57" t="n">
        <f aca="false">H49*(1-AK49)</f>
        <v>0.0413485523383477</v>
      </c>
      <c r="AM49" s="57" t="n">
        <f aca="false">(1-EXP(-r_stroke*F49*rr_stroke_prior*rr_asa_stroke*dt))</f>
        <v>0.0219774301361657</v>
      </c>
      <c r="AN49" s="57" t="n">
        <f aca="false">(1-EXP(-r_ich*rr_asa_ich*dt))</f>
        <v>0.00102357767802375</v>
      </c>
      <c r="AO49" s="57" t="n">
        <f aca="false">(1-EXP(-r_mb*rr_asa_mb*dt))</f>
        <v>0.00951809672747972</v>
      </c>
      <c r="AP49" s="57" t="n">
        <f aca="false">(1-EXP(-r_mi*rr_asa_mi*dt))</f>
        <v>0.00213413516393479</v>
      </c>
      <c r="AQ49" s="57" t="n">
        <f aca="false">(1-EXP(-r_tia*rr_asa_tia*dt))</f>
        <v>0.00312764565589152</v>
      </c>
      <c r="AR49" s="57" t="n">
        <f aca="false">(1-EXP(-r_minor*rr_asa_minor*dt))</f>
        <v>0.0278181950466747</v>
      </c>
      <c r="AS49" s="57" t="n">
        <f aca="false">AL49*AM49</f>
        <v>0.000908734920247629</v>
      </c>
      <c r="AT49" s="57" t="n">
        <f aca="false">AL49*AN49</f>
        <v>4.23234551921293E-005</v>
      </c>
      <c r="AU49" s="57" t="n">
        <f aca="false">AL49*AO49</f>
        <v>0.000393559520697652</v>
      </c>
      <c r="AV49" s="57" t="n">
        <f aca="false">AL49*AP49</f>
        <v>8.82433995230661E-005</v>
      </c>
      <c r="AW49" s="57" t="n">
        <f aca="false">AL49*AQ49</f>
        <v>0.000129323620098436</v>
      </c>
      <c r="AX49" s="57" t="n">
        <f aca="false">AL49*AR49</f>
        <v>0.0011502420938458</v>
      </c>
      <c r="AY49" s="57" t="n">
        <f aca="false">AS49*f_stroke_fatal_recur</f>
        <v>0.00033813117647494</v>
      </c>
      <c r="AZ49" s="57" t="n">
        <f aca="false">AS49*(1-f_stroke_fatal_recur)*f_stroke_major</f>
        <v>0.000190011046676305</v>
      </c>
      <c r="BA49" s="57" t="n">
        <f aca="false">AS49*(1-f_stroke_fatal_recur)*(1-f_stroke_major)</f>
        <v>0.000380592697096383</v>
      </c>
      <c r="BB49" s="57" t="n">
        <f aca="false">AT49*(1-f_bleed_fatal)</f>
        <v>3.87682849559905E-005</v>
      </c>
      <c r="BC49" s="57" t="n">
        <f aca="false">AU49*(1-f_bleed_fatal)</f>
        <v>0.000360500520959049</v>
      </c>
      <c r="BD49" s="57" t="n">
        <f aca="false">AV49*f_mi_fatal</f>
        <v>1.0677451342291E-005</v>
      </c>
      <c r="BE49" s="57" t="n">
        <f aca="false">AV49-BD49</f>
        <v>7.75659481807751E-005</v>
      </c>
      <c r="BF49" s="57" t="n">
        <f aca="false">AL49-AS49-AT49-AU49-BD49</f>
        <v>0.039993256990868</v>
      </c>
      <c r="BG49" s="19" t="n">
        <f aca="false">AY49*c_stroke_fatal+AZ49*c_stroke_major+BA49*c_stroke_minor+AT49*c_ich+AU49*c_major_bleed+BD49*c_mi_fatal+BE49*c_mi_nonfatal+AW49*c_tia+AX49*c_minor_bleed</f>
        <v>36.9006107121858</v>
      </c>
      <c r="BH49" s="57" t="n">
        <f aca="false">dt*(BE49*dec_mi+BC49*dec_major_bleed+AX49*dec_minor_bleed+AW49*dec_tia)</f>
        <v>1.77838178852409E-005</v>
      </c>
      <c r="BI49" s="57" t="n">
        <f aca="false">H49*AK49+AY49+AT49-BB49+AU49-BC49+BD49</f>
        <v>0.00279914577938136</v>
      </c>
      <c r="BJ49" s="57" t="n">
        <f aca="false">1-EXP(LN(1-E49)*hr_death_prior_stroke*dt)</f>
        <v>0.055155335593114</v>
      </c>
      <c r="BK49" s="57" t="n">
        <f aca="false">I49*(1-BJ49)</f>
        <v>0.0168749871747458</v>
      </c>
      <c r="BL49" s="57" t="n">
        <f aca="false">(1-EXP(-r_stroke*F49*rr_stroke_prior*rr_asa_stroke*dt))</f>
        <v>0.0219774301361657</v>
      </c>
      <c r="BM49" s="57" t="n">
        <f aca="false">(1-EXP(-r_ich*rr_asa_ich*dt))</f>
        <v>0.00102357767802375</v>
      </c>
      <c r="BN49" s="57" t="n">
        <f aca="false">(1-EXP(-r_mb*rr_asa_mb*dt))</f>
        <v>0.00951809672747972</v>
      </c>
      <c r="BO49" s="57" t="n">
        <f aca="false">(1-EXP(-r_mi*rr_asa_mi*dt))</f>
        <v>0.00213413516393479</v>
      </c>
      <c r="BP49" s="57" t="n">
        <f aca="false">(1-EXP(-r_tia*rr_asa_tia*dt))</f>
        <v>0.00312764565589152</v>
      </c>
      <c r="BQ49" s="57" t="n">
        <f aca="false">(1-EXP(-r_minor*rr_asa_minor*dt))</f>
        <v>0.0278181950466747</v>
      </c>
      <c r="BR49" s="57" t="n">
        <f aca="false">BK49*BL49</f>
        <v>0.000370868851681669</v>
      </c>
      <c r="BS49" s="57" t="n">
        <f aca="false">BK49*BM49</f>
        <v>1.72728601890068E-005</v>
      </c>
      <c r="BT49" s="57" t="n">
        <f aca="false">BK49*BN49</f>
        <v>0.00016061776020421</v>
      </c>
      <c r="BU49" s="57" t="n">
        <f aca="false">BK49*BO49</f>
        <v>3.60135035205737E-005</v>
      </c>
      <c r="BV49" s="57" t="n">
        <f aca="false">BK49*BP49</f>
        <v>5.27789803303189E-005</v>
      </c>
      <c r="BW49" s="57" t="n">
        <f aca="false">BK49*BQ49</f>
        <v>0.000469431684637213</v>
      </c>
      <c r="BX49" s="57" t="n">
        <f aca="false">BR49*f_stroke_fatal_recur</f>
        <v>0.000137996591022232</v>
      </c>
      <c r="BY49" s="57" t="n">
        <f aca="false">BR49*(1-f_stroke_fatal_recur)*f_stroke_major</f>
        <v>7.75464627995924E-005</v>
      </c>
      <c r="BZ49" s="57" t="n">
        <f aca="false">BR49*(1-f_stroke_fatal_recur)*(1-f_stroke_major)</f>
        <v>0.000155325797859844</v>
      </c>
      <c r="CA49" s="57" t="n">
        <f aca="false">BS49*(1-f_bleed_fatal)</f>
        <v>1.58219399331302E-005</v>
      </c>
      <c r="CB49" s="57" t="n">
        <f aca="false">BT49*(1-f_bleed_fatal)</f>
        <v>0.000147125868347057</v>
      </c>
      <c r="CC49" s="57" t="n">
        <f aca="false">BU49*f_mi_fatal</f>
        <v>4.35763392598942E-006</v>
      </c>
      <c r="CD49" s="57" t="n">
        <f aca="false">BU49-CC49</f>
        <v>3.16558695945843E-005</v>
      </c>
      <c r="CE49" s="57" t="n">
        <f aca="false">BK49-BR49-BS49-BT49-CC49</f>
        <v>0.0163218700687449</v>
      </c>
      <c r="CF49" s="19" t="n">
        <f aca="false">BX49*c_stroke_fatal+BY49*c_stroke_major+BZ49*c_stroke_minor+BS49*c_ich+BT49*c_major_bleed+CC49*c_mi_fatal+CD49*c_mi_nonfatal+BV49*c_tia+BW49*c_minor_bleed</f>
        <v>15.0597130321034</v>
      </c>
      <c r="CG49" s="57" t="n">
        <f aca="false">dt*(CD49*dec_mi+CB49*dec_major_bleed+BW49*dec_minor_bleed+BV49*dec_tia)</f>
        <v>7.25785261538972E-006</v>
      </c>
      <c r="CH49" s="57" t="n">
        <f aca="false">I49*BJ49+BX49+BS49-CA49+BT49-CB49+CC49</f>
        <v>0.00114237491897623</v>
      </c>
      <c r="CI49" s="57" t="n">
        <f aca="false">1-EXP(LN(1-E49)*dt)</f>
        <v>0.0243655277169612</v>
      </c>
      <c r="CJ49" s="57" t="n">
        <f aca="false">J49*(1-CI49)</f>
        <v>0.0975635386962988</v>
      </c>
      <c r="CK49" s="57" t="n">
        <f aca="false">(1-EXP(-r_stroke*F49*rr_asa_stroke*dt))</f>
        <v>0.0100503054663383</v>
      </c>
      <c r="CL49" s="57" t="n">
        <f aca="false">(1-EXP(-r_ich*rr_asa_ich*dt))</f>
        <v>0.00102357767802375</v>
      </c>
      <c r="CM49" s="57" t="n">
        <f aca="false">(1-EXP(-r_mb*rr_asa_mb*dt))</f>
        <v>0.00951809672747972</v>
      </c>
      <c r="CN49" s="57" t="n">
        <f aca="false">(1-EXP(-r_mi*rr_asa_mi*dt))</f>
        <v>0.00213413516393479</v>
      </c>
      <c r="CO49" s="57" t="n">
        <f aca="false">(1-EXP(-r_tia*rr_asa_tia*dt))</f>
        <v>0.00312764565589152</v>
      </c>
      <c r="CP49" s="57" t="n">
        <f aca="false">(1-EXP(-r_minor*rr_asa_minor*dt))</f>
        <v>0.0278181950466747</v>
      </c>
      <c r="CQ49" s="57" t="n">
        <f aca="false">CJ49*CK49</f>
        <v>0.000980543366274724</v>
      </c>
      <c r="CR49" s="57" t="n">
        <f aca="false">CJ49*CL49</f>
        <v>9.98638603985374E-005</v>
      </c>
      <c r="CS49" s="57" t="n">
        <f aca="false">CJ49*CM49</f>
        <v>0.000928619198386583</v>
      </c>
      <c r="CT49" s="57" t="n">
        <f aca="false">CJ49*CN49</f>
        <v>0.000208213778649684</v>
      </c>
      <c r="CU49" s="57" t="n">
        <f aca="false">CJ49*CO49</f>
        <v>0.000305144177976883</v>
      </c>
      <c r="CV49" s="57" t="n">
        <f aca="false">CJ49*CP49</f>
        <v>0.00271404154889744</v>
      </c>
      <c r="CW49" s="57" t="n">
        <f aca="false">CQ49*f_stroke_fatal</f>
        <v>0.00023238877780711</v>
      </c>
      <c r="CX49" s="57" t="n">
        <f aca="false">CQ49*(1-f_stroke_fatal)*f_stroke_major</f>
        <v>0.000249135477959716</v>
      </c>
      <c r="CY49" s="57" t="n">
        <f aca="false">CQ49*(1-f_stroke_fatal)*(1-f_stroke_major)</f>
        <v>0.000499019110507899</v>
      </c>
      <c r="CZ49" s="57" t="n">
        <f aca="false">CR49*(1-f_bleed_fatal)</f>
        <v>9.14752961250603E-005</v>
      </c>
      <c r="DA49" s="57" t="n">
        <f aca="false">CS49*(1-f_bleed_fatal)</f>
        <v>0.00085061518572211</v>
      </c>
      <c r="DB49" s="57" t="n">
        <f aca="false">CT49*f_mi_fatal</f>
        <v>2.51938672166118E-005</v>
      </c>
      <c r="DC49" s="57" t="n">
        <f aca="false">CT49-DB49</f>
        <v>0.000183019911433072</v>
      </c>
      <c r="DD49" s="57" t="n">
        <f aca="false">CJ49-CQ49-CR49-CS49-DB49</f>
        <v>0.0955293184040224</v>
      </c>
      <c r="DE49" s="19" t="n">
        <f aca="false">CW49*c_stroke_fatal+CX49*c_stroke_major+CY49*c_stroke_minor+CR49*c_ich+CS49*c_major_bleed+DB49*c_mi_fatal+DC49*c_mi_nonfatal+CU49*c_tia+CV49*c_minor_bleed</f>
        <v>49.3664902676417</v>
      </c>
      <c r="DF49" s="57" t="n">
        <f aca="false">dt*(DC49*dec_mi+DA49*dec_major_bleed+CV49*dec_minor_bleed+CU49*dec_tia)</f>
        <v>4.19616191207134E-005</v>
      </c>
      <c r="DG49" s="57" t="n">
        <f aca="false">J49*CI49+CW49+CR49-CZ49+CS49-DA49+DB49</f>
        <v>0.00278053027798254</v>
      </c>
      <c r="DH49" s="57" t="n">
        <f aca="false">AG49</f>
        <v>0.256704115096712</v>
      </c>
      <c r="DI49" s="57" t="n">
        <f aca="false">AB49+AC49+BF49+BA49+BB49+BC49+CY49+CZ49</f>
        <v>0.042669247639826</v>
      </c>
      <c r="DJ49" s="57" t="n">
        <f aca="false">AA49+AZ49+BY49+CX49+CE49+BZ49+CA49+CB49</f>
        <v>0.0175691655041285</v>
      </c>
      <c r="DK49" s="57" t="n">
        <f aca="false">AD49+DD49+DA49</f>
        <v>0.0983778060766627</v>
      </c>
      <c r="DL49" s="57" t="n">
        <f aca="false">K49+AJ49+BI49+CH49+DG49</f>
        <v>0.584679665682671</v>
      </c>
      <c r="DM49" s="58" t="n">
        <f aca="false">SUM(DH49:DL49)</f>
        <v>1</v>
      </c>
      <c r="DN49" s="19" t="n">
        <f aca="false">dt*(G49*Warfarin!$H$2+(H49+I49+J49)*c_aspirin)</f>
        <v>27.2822922704754</v>
      </c>
      <c r="DO49" s="19" t="n">
        <f aca="false">dt*(H49*c_lt_minor_stroke+I49*c_lt_major_stroke)</f>
        <v>234.906145049907</v>
      </c>
      <c r="DP49" s="19" t="n">
        <f aca="false">AH49+BG49+CF49+DE49</f>
        <v>196.846842605533</v>
      </c>
      <c r="DQ49" s="19" t="n">
        <f aca="false">DN49+DO49+DP49</f>
        <v>459.035279925916</v>
      </c>
      <c r="DR49" s="57" t="n">
        <f aca="false">dt*(G49*(u_af-dec_per_year_over_70*MAX(B49-ref_age,0))+H49*(u_minor_stroke-dec_per_year_over_70*MAX(B49-ref_age,0))+I49*(u_major_stroke-dec_per_year_over_70*MAX(B49-ref_age,0))+J49*(u_af-dec_per_year_over_70*MAX(B49-ref_age,0)))-AI49-BH49-CG49-DF49</f>
        <v>0.0836204951007507</v>
      </c>
      <c r="DS49" s="57" t="n">
        <f aca="false">dt*(G49+H49+I49+J49)</f>
        <v>0.107305474311363</v>
      </c>
      <c r="DT49" s="19" t="n">
        <f aca="false">DQ49*C49</f>
        <v>391.143494154551</v>
      </c>
      <c r="DU49" s="19" t="n">
        <f aca="false">DN49*C49</f>
        <v>23.2472134362781</v>
      </c>
      <c r="DV49" s="19" t="n">
        <f aca="false">DP49*C49</f>
        <v>167.732993948626</v>
      </c>
      <c r="DW49" s="19" t="n">
        <f aca="false">DO49*C49</f>
        <v>200.163286769647</v>
      </c>
      <c r="DX49" s="57" t="n">
        <f aca="false">DR49*C49</f>
        <v>0.0712529386454127</v>
      </c>
      <c r="DY49" s="57" t="n">
        <f aca="false">DS49*C49</f>
        <v>0.0914348852899317</v>
      </c>
      <c r="DZ49" s="57" t="n">
        <f aca="false">T49+AS49+BR49+CQ49</f>
        <v>0.00388298429439533</v>
      </c>
      <c r="EA49" s="57" t="n">
        <f aca="false">U49+AT49+BS49+CR49</f>
        <v>0.000683192523975696</v>
      </c>
      <c r="EB49" s="57" t="n">
        <f aca="false">V49+AU49+BT49+CS49</f>
        <v>0.0036638799802909</v>
      </c>
      <c r="EC49" s="57" t="n">
        <f aca="false">G49*dt*C49</f>
        <v>0.0570053074429134</v>
      </c>
    </row>
    <row r="50" customFormat="false" ht="15" hidden="false" customHeight="false" outlineLevel="0" collapsed="false">
      <c r="A50" s="8" t="n">
        <v>44</v>
      </c>
      <c r="B50" s="54" t="n">
        <f aca="false">start_age+A50*dt</f>
        <v>81</v>
      </c>
      <c r="C50" s="16" t="n">
        <f aca="false">(1+disc_rate)^-(A50*dt)</f>
        <v>0.848933233223827</v>
      </c>
      <c r="D50" s="55" t="n">
        <f aca="false">IF(A50*dt&gt;=wane_start,(1-wane_decay)^(A50*dt-wane_start),1)</f>
        <v>1</v>
      </c>
      <c r="E50" s="25" t="n">
        <f aca="false">MIN(p_nonvasc_death*MIN(EXP(gomp_int+gomp_slope*INT(B50)),1)/qx_ref,0.999)</f>
        <v>0.104321407440289</v>
      </c>
      <c r="F50" s="55" t="n">
        <f aca="false">rr_stroke_per_decade^((B50-ref_age)/10)</f>
        <v>1.56206961598862</v>
      </c>
      <c r="G50" s="57" t="n">
        <f aca="false">DH49</f>
        <v>0.256704115096712</v>
      </c>
      <c r="H50" s="57" t="n">
        <f aca="false">DI49</f>
        <v>0.042669247639826</v>
      </c>
      <c r="I50" s="57" t="n">
        <f aca="false">DJ49</f>
        <v>0.0175691655041285</v>
      </c>
      <c r="J50" s="57" t="n">
        <f aca="false">DK49</f>
        <v>0.0983778060766627</v>
      </c>
      <c r="K50" s="57" t="n">
        <f aca="false">DL49</f>
        <v>0.584679665682671</v>
      </c>
      <c r="L50" s="57" t="n">
        <f aca="false">1-EXP(LN(1-E50)*dt)</f>
        <v>0.0271675499979046</v>
      </c>
      <c r="M50" s="57" t="n">
        <f aca="false">G50*(1-L50)</f>
        <v>0.249730093215154</v>
      </c>
      <c r="N50" s="57" t="n">
        <f aca="false">IF(Warfarin!$B$2=1,EXP(LN(or_apx_stroke)*D50)*(1-EXP(-r_stroke*F50*dt))/(1-(1-EXP(-r_stroke*F50*dt))+EXP(LN(or_apx_stroke)*D50)*(1-EXP(-r_stroke*F50*dt))),(1-EXP(-r_stroke*F50*dt)))</f>
        <v>0.00627900847643015</v>
      </c>
      <c r="O50" s="57" t="n">
        <f aca="false">IF(Warfarin!$B$2=1,EXP(LN(or_apx_ich)*D50)*(1-EXP(-r_ich*dt))/(1-(1-EXP(-r_ich*dt))+EXP(LN(or_apx_ich)*D50)*(1-EXP(-r_ich*dt))),(1-EXP(-r_ich*dt)))</f>
        <v>0.0020060281549299</v>
      </c>
      <c r="P50" s="57" t="n">
        <f aca="false">IF(Warfarin!$B$2=1,EXP(LN(or_apx_mb)*D50)*(1-EXP(-r_mb*dt))/(1-(1-EXP(-r_mb*dt))+EXP(LN(or_apx_mb)*D50)*(1-EXP(-r_mb*dt))),(1-EXP(-r_mb*dt)))</f>
        <v>0.00835410477572107</v>
      </c>
      <c r="Q50" s="57" t="n">
        <f aca="false">IF(Warfarin!$B$2=1,EXP(LN(or_apx_mi)*D50)*(1-EXP(-r_mi*dt))/(1-(1-EXP(-r_mi*dt))+EXP(LN(or_apx_mi)*D50)*(1-EXP(-r_mi*dt))),(1-EXP(-r_mi*dt)))</f>
        <v>0.00150338686144691</v>
      </c>
      <c r="R50" s="57" t="n">
        <f aca="false">(1-EXP(-r_tia*dt))</f>
        <v>0.0020060281549299</v>
      </c>
      <c r="S50" s="57" t="n">
        <f aca="false">(1-EXP(-r_minor*dt))</f>
        <v>0.0437937690785545</v>
      </c>
      <c r="T50" s="57" t="n">
        <f aca="false">M50*N50</f>
        <v>0.00156805737211764</v>
      </c>
      <c r="U50" s="57" t="n">
        <f aca="false">M50*O50</f>
        <v>0.000500965598122867</v>
      </c>
      <c r="V50" s="57" t="n">
        <f aca="false">M50*P50</f>
        <v>0.00208627136436999</v>
      </c>
      <c r="W50" s="57" t="n">
        <f aca="false">M50*Q50</f>
        <v>0.000375440941047575</v>
      </c>
      <c r="X50" s="57" t="n">
        <f aca="false">M50*R50</f>
        <v>0.000500965598122867</v>
      </c>
      <c r="Y50" s="57" t="n">
        <f aca="false">M50*S50</f>
        <v>0.0109366220342304</v>
      </c>
      <c r="Z50" s="57" t="n">
        <f aca="false">T50*f_stroke_fatal</f>
        <v>0.000371629597191882</v>
      </c>
      <c r="AA50" s="57" t="n">
        <f aca="false">T50*(1-f_stroke_fatal)*f_stroke_major</f>
        <v>0.000398410449050279</v>
      </c>
      <c r="AB50" s="57" t="n">
        <f aca="false">T50*(1-f_stroke_fatal)*(1-f_stroke_major)</f>
        <v>0.000798017325875484</v>
      </c>
      <c r="AC50" s="57" t="n">
        <f aca="false">U50*(1-f_bleed_fatal)</f>
        <v>0.000458884487880546</v>
      </c>
      <c r="AD50" s="57" t="n">
        <f aca="false">V50*(1-f_bleed_fatal)</f>
        <v>0.00191102456976291</v>
      </c>
      <c r="AE50" s="57" t="n">
        <f aca="false">W50*f_mi_fatal</f>
        <v>4.54283538667566E-005</v>
      </c>
      <c r="AF50" s="57" t="n">
        <f aca="false">W50-AE50</f>
        <v>0.000330012587180818</v>
      </c>
      <c r="AG50" s="57" t="n">
        <f aca="false">M50-T50-U50-V50-AE50</f>
        <v>0.245529370526677</v>
      </c>
      <c r="AH50" s="19" t="n">
        <f aca="false">Z50*c_stroke_fatal+AA50*c_stroke_major+AB50*c_stroke_minor+U50*c_ich+V50*c_major_bleed+AE50*c_mi_fatal+AF50*c_mi_nonfatal+X50*c_tia+Y50*c_minor_bleed</f>
        <v>91.9502432742466</v>
      </c>
      <c r="AI50" s="57" t="n">
        <f aca="false">dt*(AF50*dec_mi+AD50*dec_major_bleed+Y50*dec_minor_bleed+X50*dec_tia)</f>
        <v>0.00010271034421686</v>
      </c>
      <c r="AJ50" s="57" t="n">
        <f aca="false">G50*L50+Z50+U50-AC50+V50-AD50+AE50</f>
        <v>0.00760840773746582</v>
      </c>
      <c r="AK50" s="57" t="n">
        <f aca="false">1-EXP(LN(1-E50)*hr_death_prior_stroke*dt)</f>
        <v>0.0613849538308807</v>
      </c>
      <c r="AL50" s="57" t="n">
        <f aca="false">H50*(1-AK50)</f>
        <v>0.0400499978434569</v>
      </c>
      <c r="AM50" s="57" t="n">
        <f aca="false">(1-EXP(-r_stroke*F50*rr_stroke_prior*rr_asa_stroke*dt))</f>
        <v>0.0221988363186323</v>
      </c>
      <c r="AN50" s="57" t="n">
        <f aca="false">(1-EXP(-r_ich*rr_asa_ich*dt))</f>
        <v>0.00102357767802375</v>
      </c>
      <c r="AO50" s="57" t="n">
        <f aca="false">(1-EXP(-r_mb*rr_asa_mb*dt))</f>
        <v>0.00951809672747972</v>
      </c>
      <c r="AP50" s="57" t="n">
        <f aca="false">(1-EXP(-r_mi*rr_asa_mi*dt))</f>
        <v>0.00213413516393479</v>
      </c>
      <c r="AQ50" s="57" t="n">
        <f aca="false">(1-EXP(-r_tia*rr_asa_tia*dt))</f>
        <v>0.00312764565589152</v>
      </c>
      <c r="AR50" s="57" t="n">
        <f aca="false">(1-EXP(-r_minor*rr_asa_minor*dt))</f>
        <v>0.0278181950466747</v>
      </c>
      <c r="AS50" s="57" t="n">
        <f aca="false">AL50*AM50</f>
        <v>0.000889063346688475</v>
      </c>
      <c r="AT50" s="57" t="n">
        <f aca="false">AL50*AN50</f>
        <v>4.09942837974616E-005</v>
      </c>
      <c r="AU50" s="57" t="n">
        <f aca="false">AL50*AO50</f>
        <v>0.000381199753409377</v>
      </c>
      <c r="AV50" s="57" t="n">
        <f aca="false">AL50*AP50</f>
        <v>8.54721087132339E-005</v>
      </c>
      <c r="AW50" s="57" t="n">
        <f aca="false">AL50*AQ50</f>
        <v>0.000125262201773553</v>
      </c>
      <c r="AX50" s="57" t="n">
        <f aca="false">AL50*AR50</f>
        <v>0.00111411865162818</v>
      </c>
      <c r="AY50" s="57" t="n">
        <f aca="false">AS50*f_stroke_fatal_recur</f>
        <v>0.000330811580669315</v>
      </c>
      <c r="AZ50" s="57" t="n">
        <f aca="false">AS50*(1-f_stroke_fatal_recur)*f_stroke_major</f>
        <v>0.00018589783808438</v>
      </c>
      <c r="BA50" s="57" t="n">
        <f aca="false">AS50*(1-f_stroke_fatal_recur)*(1-f_stroke_major)</f>
        <v>0.00037235392793478</v>
      </c>
      <c r="BB50" s="57" t="n">
        <f aca="false">AT50*(1-f_bleed_fatal)</f>
        <v>3.75507639584749E-005</v>
      </c>
      <c r="BC50" s="57" t="n">
        <f aca="false">AU50*(1-f_bleed_fatal)</f>
        <v>0.000349178974122989</v>
      </c>
      <c r="BD50" s="57" t="n">
        <f aca="false">AV50*f_mi_fatal</f>
        <v>1.03421251543013E-005</v>
      </c>
      <c r="BE50" s="57" t="n">
        <f aca="false">AV50-BD50</f>
        <v>7.51299835589326E-005</v>
      </c>
      <c r="BF50" s="57" t="n">
        <f aca="false">AL50-AS50-AT50-AU50-BD50</f>
        <v>0.0387283983344073</v>
      </c>
      <c r="BG50" s="19" t="n">
        <f aca="false">AY50*c_stroke_fatal+AZ50*c_stroke_major+BA50*c_stroke_minor+AT50*c_ich+AU50*c_major_bleed+BD50*c_mi_fatal+BE50*c_mi_nonfatal+AW50*c_tia+AX50*c_minor_bleed</f>
        <v>36.0474844505641</v>
      </c>
      <c r="BH50" s="57" t="n">
        <f aca="false">dt*(BE50*dec_mi+BC50*dec_major_bleed+AX50*dec_minor_bleed+AW50*dec_tia)</f>
        <v>1.7225315704506E-005</v>
      </c>
      <c r="BI50" s="57" t="n">
        <f aca="false">H50*AK50+AY50+AT50-BB50+AU50-BC50+BD50</f>
        <v>0.00299586780131813</v>
      </c>
      <c r="BJ50" s="57" t="n">
        <f aca="false">1-EXP(LN(1-E50)*hr_death_prior_stroke*dt)</f>
        <v>0.0613849538308807</v>
      </c>
      <c r="BK50" s="57" t="n">
        <f aca="false">I50*(1-BJ50)</f>
        <v>0.0164906830908105</v>
      </c>
      <c r="BL50" s="57" t="n">
        <f aca="false">(1-EXP(-r_stroke*F50*rr_stroke_prior*rr_asa_stroke*dt))</f>
        <v>0.0221988363186323</v>
      </c>
      <c r="BM50" s="57" t="n">
        <f aca="false">(1-EXP(-r_ich*rr_asa_ich*dt))</f>
        <v>0.00102357767802375</v>
      </c>
      <c r="BN50" s="57" t="n">
        <f aca="false">(1-EXP(-r_mb*rr_asa_mb*dt))</f>
        <v>0.00951809672747972</v>
      </c>
      <c r="BO50" s="57" t="n">
        <f aca="false">(1-EXP(-r_mi*rr_asa_mi*dt))</f>
        <v>0.00213413516393479</v>
      </c>
      <c r="BP50" s="57" t="n">
        <f aca="false">(1-EXP(-r_tia*rr_asa_tia*dt))</f>
        <v>0.00312764565589152</v>
      </c>
      <c r="BQ50" s="57" t="n">
        <f aca="false">(1-EXP(-r_minor*rr_asa_minor*dt))</f>
        <v>0.0278181950466747</v>
      </c>
      <c r="BR50" s="57" t="n">
        <f aca="false">BK50*BL50</f>
        <v>0.000366073974715339</v>
      </c>
      <c r="BS50" s="57" t="n">
        <f aca="false">BK50*BM50</f>
        <v>1.68794951071173E-005</v>
      </c>
      <c r="BT50" s="57" t="n">
        <f aca="false">BK50*BN50</f>
        <v>0.000156959916760548</v>
      </c>
      <c r="BU50" s="57" t="n">
        <f aca="false">BK50*BO50</f>
        <v>3.51933466614035E-005</v>
      </c>
      <c r="BV50" s="57" t="n">
        <f aca="false">BK50*BP50</f>
        <v>5.15770133316572E-005</v>
      </c>
      <c r="BW50" s="57" t="n">
        <f aca="false">BK50*BQ50</f>
        <v>0.000458741038673067</v>
      </c>
      <c r="BX50" s="57" t="n">
        <f aca="false">BR50*f_stroke_fatal_recur</f>
        <v>0.000136212465251831</v>
      </c>
      <c r="BY50" s="57" t="n">
        <f aca="false">BR50*(1-f_stroke_fatal_recur)*f_stroke_major</f>
        <v>7.65438826513484E-005</v>
      </c>
      <c r="BZ50" s="57" t="n">
        <f aca="false">BR50*(1-f_stroke_fatal_recur)*(1-f_stroke_major)</f>
        <v>0.00015331762681216</v>
      </c>
      <c r="CA50" s="57" t="n">
        <f aca="false">BS50*(1-f_bleed_fatal)</f>
        <v>1.54616175181194E-005</v>
      </c>
      <c r="CB50" s="57" t="n">
        <f aca="false">BT50*(1-f_bleed_fatal)</f>
        <v>0.000143775283752662</v>
      </c>
      <c r="CC50" s="57" t="n">
        <f aca="false">BU50*f_mi_fatal</f>
        <v>4.25839494602983E-006</v>
      </c>
      <c r="CD50" s="57" t="n">
        <f aca="false">BU50-CC50</f>
        <v>3.09349517153737E-005</v>
      </c>
      <c r="CE50" s="57" t="n">
        <f aca="false">BK50-BR50-BS50-BT50-CC50</f>
        <v>0.0159465113092815</v>
      </c>
      <c r="CF50" s="19" t="n">
        <f aca="false">BX50*c_stroke_fatal+BY50*c_stroke_major+BZ50*c_stroke_minor+BS50*c_ich+BT50*c_major_bleed+CC50*c_mi_fatal+CD50*c_mi_nonfatal+BV50*c_tia+BW50*c_minor_bleed</f>
        <v>14.8426385593998</v>
      </c>
      <c r="CG50" s="57" t="n">
        <f aca="false">dt*(CD50*dec_mi+CB50*dec_major_bleed+BW50*dec_minor_bleed+BV50*dec_tia)</f>
        <v>7.0925652363943E-006</v>
      </c>
      <c r="CH50" s="57" t="n">
        <f aca="false">I50*BJ50+BX50+BS50-CA50+BT50-CB50+CC50</f>
        <v>0.00123355578411278</v>
      </c>
      <c r="CI50" s="57" t="n">
        <f aca="false">1-EXP(LN(1-E50)*dt)</f>
        <v>0.0271675499979046</v>
      </c>
      <c r="CJ50" s="57" t="n">
        <f aca="false">J50*(1-CI50)</f>
        <v>0.0957051221113908</v>
      </c>
      <c r="CK50" s="57" t="n">
        <f aca="false">(1-EXP(-r_stroke*F50*rr_asa_stroke*dt))</f>
        <v>0.0101521782392702</v>
      </c>
      <c r="CL50" s="57" t="n">
        <f aca="false">(1-EXP(-r_ich*rr_asa_ich*dt))</f>
        <v>0.00102357767802375</v>
      </c>
      <c r="CM50" s="57" t="n">
        <f aca="false">(1-EXP(-r_mb*rr_asa_mb*dt))</f>
        <v>0.00951809672747972</v>
      </c>
      <c r="CN50" s="57" t="n">
        <f aca="false">(1-EXP(-r_mi*rr_asa_mi*dt))</f>
        <v>0.00213413516393479</v>
      </c>
      <c r="CO50" s="57" t="n">
        <f aca="false">(1-EXP(-r_tia*rr_asa_tia*dt))</f>
        <v>0.00312764565589152</v>
      </c>
      <c r="CP50" s="57" t="n">
        <f aca="false">(1-EXP(-r_minor*rr_asa_minor*dt))</f>
        <v>0.0278181950466747</v>
      </c>
      <c r="CQ50" s="57" t="n">
        <f aca="false">CJ50*CK50</f>
        <v>0.000971615458085956</v>
      </c>
      <c r="CR50" s="57" t="n">
        <f aca="false">CJ50*CL50</f>
        <v>9.79616266657565E-005</v>
      </c>
      <c r="CS50" s="57" t="n">
        <f aca="false">CJ50*CM50</f>
        <v>0.000910930609571476</v>
      </c>
      <c r="CT50" s="57" t="n">
        <f aca="false">CJ50*CN50</f>
        <v>0.000204247666466592</v>
      </c>
      <c r="CU50" s="57" t="n">
        <f aca="false">CJ50*CO50</f>
        <v>0.000299331709418259</v>
      </c>
      <c r="CV50" s="57" t="n">
        <f aca="false">CJ50*CP50</f>
        <v>0.00266234375386049</v>
      </c>
      <c r="CW50" s="57" t="n">
        <f aca="false">CQ50*f_stroke_fatal</f>
        <v>0.000230272863566372</v>
      </c>
      <c r="CX50" s="57" t="n">
        <f aca="false">CQ50*(1-f_stroke_fatal)*f_stroke_major</f>
        <v>0.000246867083975022</v>
      </c>
      <c r="CY50" s="57" t="n">
        <f aca="false">CQ50*(1-f_stroke_fatal)*(1-f_stroke_major)</f>
        <v>0.000494475510544563</v>
      </c>
      <c r="CZ50" s="57" t="n">
        <f aca="false">CR50*(1-f_bleed_fatal)</f>
        <v>8.97328500258329E-005</v>
      </c>
      <c r="DA50" s="57" t="n">
        <f aca="false">CS50*(1-f_bleed_fatal)</f>
        <v>0.000834412438367472</v>
      </c>
      <c r="DB50" s="57" t="n">
        <f aca="false">CT50*f_mi_fatal</f>
        <v>2.47139676424577E-005</v>
      </c>
      <c r="DC50" s="57" t="n">
        <f aca="false">CT50-DB50</f>
        <v>0.000179533698824135</v>
      </c>
      <c r="DD50" s="57" t="n">
        <f aca="false">CJ50-CQ50-CR50-CS50-DB50</f>
        <v>0.0936999004494252</v>
      </c>
      <c r="DE50" s="19" t="n">
        <f aca="false">CW50*c_stroke_fatal+CX50*c_stroke_major+CY50*c_stroke_minor+CR50*c_ich+CS50*c_major_bleed+DB50*c_mi_fatal+DC50*c_mi_nonfatal+CU50*c_tia+CV50*c_minor_bleed</f>
        <v>48.7863740758598</v>
      </c>
      <c r="DF50" s="57" t="n">
        <f aca="false">dt*(DC50*dec_mi+DA50*dec_major_bleed+CV50*dec_minor_bleed+CU50*dec_tia)</f>
        <v>4.11623228882728E-005</v>
      </c>
      <c r="DG50" s="57" t="n">
        <f aca="false">J50*CI50+CW50+CR50-CZ50+CS50-DA50+DB50</f>
        <v>0.00301241774432465</v>
      </c>
      <c r="DH50" s="57" t="n">
        <f aca="false">AG50</f>
        <v>0.245529370526677</v>
      </c>
      <c r="DI50" s="57" t="n">
        <f aca="false">AB50+AC50+BF50+BA50+BB50+BC50+CY50+CZ50</f>
        <v>0.04132859217475</v>
      </c>
      <c r="DJ50" s="57" t="n">
        <f aca="false">AA50+AZ50+BY50+CX50+CE50+BZ50+CA50+CB50</f>
        <v>0.0171667850911254</v>
      </c>
      <c r="DK50" s="57" t="n">
        <f aca="false">AD50+DD50+DA50</f>
        <v>0.0964453374575556</v>
      </c>
      <c r="DL50" s="57" t="n">
        <f aca="false">K50+AJ50+BI50+CH50+DG50</f>
        <v>0.599529914749893</v>
      </c>
      <c r="DM50" s="58" t="n">
        <f aca="false">SUM(DH50:DL50)</f>
        <v>1</v>
      </c>
      <c r="DN50" s="19" t="n">
        <f aca="false">dt*(G50*Warfarin!$H$2+(H50+I50+J50)*c_aspirin)</f>
        <v>26.2063749010167</v>
      </c>
      <c r="DO50" s="19" t="n">
        <f aca="false">dt*(H50*c_lt_minor_stroke+I50*c_lt_major_stroke)</f>
        <v>230.052141707024</v>
      </c>
      <c r="DP50" s="19" t="n">
        <f aca="false">AH50+BG50+CF50+DE50</f>
        <v>191.62674036007</v>
      </c>
      <c r="DQ50" s="19" t="n">
        <f aca="false">DN50+DO50+DP50</f>
        <v>447.885256968111</v>
      </c>
      <c r="DR50" s="57" t="n">
        <f aca="false">dt*(G50*(u_af-dec_per_year_over_70*MAX(B50-ref_age,0))+H50*(u_minor_stroke-dec_per_year_over_70*MAX(B50-ref_age,0))+I50*(u_major_stroke-dec_per_year_over_70*MAX(B50-ref_age,0))+J50*(u_af-dec_per_year_over_70*MAX(B50-ref_age,0)))-AI50-BH50-CG50-DF50</f>
        <v>0.08086604056708</v>
      </c>
      <c r="DS50" s="57" t="n">
        <f aca="false">dt*(G50+H50+I50+J50)</f>
        <v>0.103830083579332</v>
      </c>
      <c r="DT50" s="19" t="n">
        <f aca="false">DQ50*C50</f>
        <v>380.224679311223</v>
      </c>
      <c r="DU50" s="19" t="n">
        <f aca="false">DN50*C50</f>
        <v>22.2474625757958</v>
      </c>
      <c r="DV50" s="19" t="n">
        <f aca="false">DP50*C50</f>
        <v>162.678308266017</v>
      </c>
      <c r="DW50" s="19" t="n">
        <f aca="false">DO50*C50</f>
        <v>195.29890846941</v>
      </c>
      <c r="DX50" s="57" t="n">
        <f aca="false">DR50*C50</f>
        <v>0.0686498692766204</v>
      </c>
      <c r="DY50" s="57" t="n">
        <f aca="false">DS50*C50</f>
        <v>0.0881448085589028</v>
      </c>
      <c r="DZ50" s="57" t="n">
        <f aca="false">T50+AS50+BR50+CQ50</f>
        <v>0.00379481015160742</v>
      </c>
      <c r="EA50" s="57" t="n">
        <f aca="false">U50+AT50+BS50+CR50</f>
        <v>0.000656801003693202</v>
      </c>
      <c r="EB50" s="57" t="n">
        <f aca="false">V50+AU50+BT50+CS50</f>
        <v>0.00353536164411139</v>
      </c>
      <c r="EC50" s="57" t="n">
        <f aca="false">G50*dt*C50</f>
        <v>0.0544811636027283</v>
      </c>
    </row>
    <row r="51" customFormat="false" ht="15" hidden="false" customHeight="false" outlineLevel="0" collapsed="false">
      <c r="A51" s="8" t="n">
        <v>45</v>
      </c>
      <c r="B51" s="54" t="n">
        <f aca="false">start_age+A51*dt</f>
        <v>81.25</v>
      </c>
      <c r="C51" s="16" t="n">
        <f aca="false">(1+disc_rate)^-(A51*dt)</f>
        <v>0.845779247189066</v>
      </c>
      <c r="D51" s="55" t="n">
        <f aca="false">IF(A51*dt&gt;=wane_start,(1-wane_decay)^(A51*dt-wane_start),1)</f>
        <v>1</v>
      </c>
      <c r="E51" s="25" t="n">
        <f aca="false">MIN(p_nonvasc_death*MIN(EXP(gomp_int+gomp_slope*INT(B51)),1)/qx_ref,0.999)</f>
        <v>0.104321407440289</v>
      </c>
      <c r="F51" s="55" t="n">
        <f aca="false">rr_stroke_per_decade^((B51-ref_age)/10)</f>
        <v>1.57798425826297</v>
      </c>
      <c r="G51" s="57" t="n">
        <f aca="false">DH50</f>
        <v>0.245529370526677</v>
      </c>
      <c r="H51" s="57" t="n">
        <f aca="false">DI50</f>
        <v>0.04132859217475</v>
      </c>
      <c r="I51" s="57" t="n">
        <f aca="false">DJ50</f>
        <v>0.0171667850911254</v>
      </c>
      <c r="J51" s="57" t="n">
        <f aca="false">DK50</f>
        <v>0.0964453374575556</v>
      </c>
      <c r="K51" s="57" t="n">
        <f aca="false">DL50</f>
        <v>0.599529914749893</v>
      </c>
      <c r="L51" s="57" t="n">
        <f aca="false">1-EXP(LN(1-E51)*dt)</f>
        <v>0.0271675499979046</v>
      </c>
      <c r="M51" s="57" t="n">
        <f aca="false">G51*(1-L51)</f>
        <v>0.238858939076939</v>
      </c>
      <c r="N51" s="57" t="n">
        <f aca="false">IF(Warfarin!$B$2=1,EXP(LN(or_apx_stroke)*D51)*(1-EXP(-r_stroke*F51*dt))/(1-(1-EXP(-r_stroke*F51*dt))+EXP(LN(or_apx_stroke)*D51)*(1-EXP(-r_stroke*F51*dt))),(1-EXP(-r_stroke*F51*dt)))</f>
        <v>0.00634277682125473</v>
      </c>
      <c r="O51" s="57" t="n">
        <f aca="false">IF(Warfarin!$B$2=1,EXP(LN(or_apx_ich)*D51)*(1-EXP(-r_ich*dt))/(1-(1-EXP(-r_ich*dt))+EXP(LN(or_apx_ich)*D51)*(1-EXP(-r_ich*dt))),(1-EXP(-r_ich*dt)))</f>
        <v>0.0020060281549299</v>
      </c>
      <c r="P51" s="57" t="n">
        <f aca="false">IF(Warfarin!$B$2=1,EXP(LN(or_apx_mb)*D51)*(1-EXP(-r_mb*dt))/(1-(1-EXP(-r_mb*dt))+EXP(LN(or_apx_mb)*D51)*(1-EXP(-r_mb*dt))),(1-EXP(-r_mb*dt)))</f>
        <v>0.00835410477572107</v>
      </c>
      <c r="Q51" s="57" t="n">
        <f aca="false">IF(Warfarin!$B$2=1,EXP(LN(or_apx_mi)*D51)*(1-EXP(-r_mi*dt))/(1-(1-EXP(-r_mi*dt))+EXP(LN(or_apx_mi)*D51)*(1-EXP(-r_mi*dt))),(1-EXP(-r_mi*dt)))</f>
        <v>0.00150338686144691</v>
      </c>
      <c r="R51" s="57" t="n">
        <f aca="false">(1-EXP(-r_tia*dt))</f>
        <v>0.0020060281549299</v>
      </c>
      <c r="S51" s="57" t="n">
        <f aca="false">(1-EXP(-r_minor*dt))</f>
        <v>0.0437937690785545</v>
      </c>
      <c r="T51" s="57" t="n">
        <f aca="false">M51*N51</f>
        <v>0.00151502894232671</v>
      </c>
      <c r="U51" s="57" t="n">
        <f aca="false">M51*O51</f>
        <v>0.000479157756845025</v>
      </c>
      <c r="V51" s="57" t="n">
        <f aca="false">M51*P51</f>
        <v>0.00199545260366633</v>
      </c>
      <c r="W51" s="57" t="n">
        <f aca="false">M51*Q51</f>
        <v>0.000359097390747419</v>
      </c>
      <c r="X51" s="57" t="n">
        <f aca="false">M51*R51</f>
        <v>0.000479157756845025</v>
      </c>
      <c r="Y51" s="57" t="n">
        <f aca="false">M51*S51</f>
        <v>0.010460533220284</v>
      </c>
      <c r="Z51" s="57" t="n">
        <f aca="false">T51*f_stroke_fatal</f>
        <v>0.000359061859331429</v>
      </c>
      <c r="AA51" s="57" t="n">
        <f aca="false">T51*(1-f_stroke_fatal)*f_stroke_major</f>
        <v>0.000384937038637427</v>
      </c>
      <c r="AB51" s="57" t="n">
        <f aca="false">T51*(1-f_stroke_fatal)*(1-f_stroke_major)</f>
        <v>0.00077103004435785</v>
      </c>
      <c r="AC51" s="57" t="n">
        <f aca="false">U51*(1-f_bleed_fatal)</f>
        <v>0.000438908505270043</v>
      </c>
      <c r="AD51" s="57" t="n">
        <f aca="false">V51*(1-f_bleed_fatal)</f>
        <v>0.00182783458495836</v>
      </c>
      <c r="AE51" s="57" t="n">
        <f aca="false">W51*f_mi_fatal</f>
        <v>4.34507842804376E-005</v>
      </c>
      <c r="AF51" s="57" t="n">
        <f aca="false">W51-AE51</f>
        <v>0.000315646606466981</v>
      </c>
      <c r="AG51" s="57" t="n">
        <f aca="false">M51-T51-U51-V51-AE51</f>
        <v>0.234825848989821</v>
      </c>
      <c r="AH51" s="19" t="n">
        <f aca="false">Z51*c_stroke_fatal+AA51*c_stroke_major+AB51*c_stroke_minor+U51*c_ich+V51*c_major_bleed+AE51*c_mi_fatal+AF51*c_mi_nonfatal+X51*c_tia+Y51*c_minor_bleed</f>
        <v>88.51027371594</v>
      </c>
      <c r="AI51" s="57" t="n">
        <f aca="false">dt*(AF51*dec_mi+AD51*dec_major_bleed+Y51*dec_minor_bleed+X51*dec_tia)</f>
        <v>9.82391971108178E-005</v>
      </c>
      <c r="AJ51" s="57" t="n">
        <f aca="false">G51*L51+Z51+U51-AC51+V51-AD51+AE51</f>
        <v>0.00728081136363236</v>
      </c>
      <c r="AK51" s="57" t="n">
        <f aca="false">1-EXP(LN(1-E51)*hr_death_prior_stroke*dt)</f>
        <v>0.0613849538308807</v>
      </c>
      <c r="AL51" s="57" t="n">
        <f aca="false">H51*(1-AK51)</f>
        <v>0.0387916384522076</v>
      </c>
      <c r="AM51" s="57" t="n">
        <f aca="false">(1-EXP(-r_stroke*F51*rr_stroke_prior*rr_asa_stroke*dt))</f>
        <v>0.0224224473357514</v>
      </c>
      <c r="AN51" s="57" t="n">
        <f aca="false">(1-EXP(-r_ich*rr_asa_ich*dt))</f>
        <v>0.00102357767802375</v>
      </c>
      <c r="AO51" s="57" t="n">
        <f aca="false">(1-EXP(-r_mb*rr_asa_mb*dt))</f>
        <v>0.00951809672747972</v>
      </c>
      <c r="AP51" s="57" t="n">
        <f aca="false">(1-EXP(-r_mi*rr_asa_mi*dt))</f>
        <v>0.00213413516393479</v>
      </c>
      <c r="AQ51" s="57" t="n">
        <f aca="false">(1-EXP(-r_tia*rr_asa_tia*dt))</f>
        <v>0.00312764565589152</v>
      </c>
      <c r="AR51" s="57" t="n">
        <f aca="false">(1-EXP(-r_minor*rr_asa_minor*dt))</f>
        <v>0.0278181950466747</v>
      </c>
      <c r="AS51" s="57" t="n">
        <f aca="false">AL51*AM51</f>
        <v>0.000869803470262134</v>
      </c>
      <c r="AT51" s="57" t="n">
        <f aca="false">AL51*AN51</f>
        <v>3.97062552136473E-005</v>
      </c>
      <c r="AU51" s="57" t="n">
        <f aca="false">AL51*AO51</f>
        <v>0.000369222567005534</v>
      </c>
      <c r="AV51" s="57" t="n">
        <f aca="false">AL51*AP51</f>
        <v>8.27865996875013E-005</v>
      </c>
      <c r="AW51" s="57" t="n">
        <f aca="false">AL51*AQ51</f>
        <v>0.000121326499489962</v>
      </c>
      <c r="AX51" s="57" t="n">
        <f aca="false">AL51*AR51</f>
        <v>0.0010791133646436</v>
      </c>
      <c r="AY51" s="57" t="n">
        <f aca="false">AS51*f_stroke_fatal_recur</f>
        <v>0.000323645173249837</v>
      </c>
      <c r="AZ51" s="57" t="n">
        <f aca="false">AS51*(1-f_stroke_fatal_recur)*f_stroke_major</f>
        <v>0.000181870712905095</v>
      </c>
      <c r="BA51" s="57" t="n">
        <f aca="false">AS51*(1-f_stroke_fatal_recur)*(1-f_stroke_major)</f>
        <v>0.000364287584107202</v>
      </c>
      <c r="BB51" s="57" t="n">
        <f aca="false">AT51*(1-f_bleed_fatal)</f>
        <v>3.6370929775701E-005</v>
      </c>
      <c r="BC51" s="57" t="n">
        <f aca="false">AU51*(1-f_bleed_fatal)</f>
        <v>0.000338207871377069</v>
      </c>
      <c r="BD51" s="57" t="n">
        <f aca="false">AV51*f_mi_fatal</f>
        <v>1.00171785621877E-005</v>
      </c>
      <c r="BE51" s="57" t="n">
        <f aca="false">AV51-BD51</f>
        <v>7.27694211253136E-005</v>
      </c>
      <c r="BF51" s="57" t="n">
        <f aca="false">AL51-AS51-AT51-AU51-BD51</f>
        <v>0.0375028889811641</v>
      </c>
      <c r="BG51" s="19" t="n">
        <f aca="false">AY51*c_stroke_fatal+AZ51*c_stroke_major+BA51*c_stroke_minor+AT51*c_ich+AU51*c_major_bleed+BD51*c_mi_fatal+BE51*c_mi_nonfatal+AW51*c_tia+AX51*c_minor_bleed</f>
        <v>35.2139658851542</v>
      </c>
      <c r="BH51" s="57" t="n">
        <f aca="false">dt*(BE51*dec_mi+BC51*dec_major_bleed+AX51*dec_minor_bleed+AW51*dec_tia)</f>
        <v>1.66841012487968E-005</v>
      </c>
      <c r="BI51" s="57" t="n">
        <f aca="false">H51*AK51+AY51+AT51-BB51+AU51-BC51+BD51</f>
        <v>0.00290496609542076</v>
      </c>
      <c r="BJ51" s="57" t="n">
        <f aca="false">1-EXP(LN(1-E51)*hr_death_prior_stroke*dt)</f>
        <v>0.0613849538308807</v>
      </c>
      <c r="BK51" s="57" t="n">
        <f aca="false">I51*(1-BJ51)</f>
        <v>0.016113002780882</v>
      </c>
      <c r="BL51" s="57" t="n">
        <f aca="false">(1-EXP(-r_stroke*F51*rr_stroke_prior*rr_asa_stroke*dt))</f>
        <v>0.0224224473357514</v>
      </c>
      <c r="BM51" s="57" t="n">
        <f aca="false">(1-EXP(-r_ich*rr_asa_ich*dt))</f>
        <v>0.00102357767802375</v>
      </c>
      <c r="BN51" s="57" t="n">
        <f aca="false">(1-EXP(-r_mb*rr_asa_mb*dt))</f>
        <v>0.00951809672747972</v>
      </c>
      <c r="BO51" s="57" t="n">
        <f aca="false">(1-EXP(-r_mi*rr_asa_mi*dt))</f>
        <v>0.00213413516393479</v>
      </c>
      <c r="BP51" s="57" t="n">
        <f aca="false">(1-EXP(-r_tia*rr_asa_tia*dt))</f>
        <v>0.00312764565589152</v>
      </c>
      <c r="BQ51" s="57" t="n">
        <f aca="false">(1-EXP(-r_minor*rr_asa_minor*dt))</f>
        <v>0.0278181950466747</v>
      </c>
      <c r="BR51" s="57" t="n">
        <f aca="false">BK51*BL51</f>
        <v>0.000361292956275143</v>
      </c>
      <c r="BS51" s="57" t="n">
        <f aca="false">BK51*BM51</f>
        <v>1.64929099724454E-005</v>
      </c>
      <c r="BT51" s="57" t="n">
        <f aca="false">BK51*BN51</f>
        <v>0.000153365119038585</v>
      </c>
      <c r="BU51" s="57" t="n">
        <f aca="false">BK51*BO51</f>
        <v>3.43873258312595E-005</v>
      </c>
      <c r="BV51" s="57" t="n">
        <f aca="false">BK51*BP51</f>
        <v>5.03957631509937E-005</v>
      </c>
      <c r="BW51" s="57" t="n">
        <f aca="false">BK51*BQ51</f>
        <v>0.000448234654146189</v>
      </c>
      <c r="BX51" s="57" t="n">
        <f aca="false">BR51*f_stroke_fatal_recur</f>
        <v>0.000134433496100418</v>
      </c>
      <c r="BY51" s="57" t="n">
        <f aca="false">BR51*(1-f_stroke_fatal_recur)*f_stroke_major</f>
        <v>7.55442002381835E-005</v>
      </c>
      <c r="BZ51" s="57" t="n">
        <f aca="false">BR51*(1-f_stroke_fatal_recur)*(1-f_stroke_major)</f>
        <v>0.000151315259936542</v>
      </c>
      <c r="CA51" s="57" t="n">
        <f aca="false">BS51*(1-f_bleed_fatal)</f>
        <v>1.510750553476E-005</v>
      </c>
      <c r="CB51" s="57" t="n">
        <f aca="false">BT51*(1-f_bleed_fatal)</f>
        <v>0.000140482449039344</v>
      </c>
      <c r="CC51" s="57" t="n">
        <f aca="false">BU51*f_mi_fatal</f>
        <v>4.16086642558239E-006</v>
      </c>
      <c r="CD51" s="57" t="n">
        <f aca="false">BU51-CC51</f>
        <v>3.02264594056771E-005</v>
      </c>
      <c r="CE51" s="57" t="n">
        <f aca="false">BK51-BR51-BS51-BT51-CC51</f>
        <v>0.0155776909291703</v>
      </c>
      <c r="CF51" s="19" t="n">
        <f aca="false">BX51*c_stroke_fatal+BY51*c_stroke_major+BZ51*c_stroke_minor+BS51*c_ich+BT51*c_major_bleed+CC51*c_mi_fatal+CD51*c_mi_nonfatal+BV51*c_tia+BW51*c_minor_bleed</f>
        <v>14.6269338670093</v>
      </c>
      <c r="CG51" s="57" t="n">
        <f aca="false">dt*(CD51*dec_mi+CB51*dec_major_bleed+BW51*dec_minor_bleed+BV51*dec_tia)</f>
        <v>6.93012671144552E-006</v>
      </c>
      <c r="CH51" s="57" t="n">
        <f aca="false">I51*BJ51+BX51+BS51-CA51+BT51-CB51+CC51</f>
        <v>0.00120664474720631</v>
      </c>
      <c r="CI51" s="57" t="n">
        <f aca="false">1-EXP(LN(1-E51)*dt)</f>
        <v>0.0271675499979046</v>
      </c>
      <c r="CJ51" s="57" t="n">
        <f aca="false">J51*(1-CI51)</f>
        <v>0.0938251539301126</v>
      </c>
      <c r="CK51" s="57" t="n">
        <f aca="false">(1-EXP(-r_stroke*F51*rr_asa_stroke*dt))</f>
        <v>0.0102550782659052</v>
      </c>
      <c r="CL51" s="57" t="n">
        <f aca="false">(1-EXP(-r_ich*rr_asa_ich*dt))</f>
        <v>0.00102357767802375</v>
      </c>
      <c r="CM51" s="57" t="n">
        <f aca="false">(1-EXP(-r_mb*rr_asa_mb*dt))</f>
        <v>0.00951809672747972</v>
      </c>
      <c r="CN51" s="57" t="n">
        <f aca="false">(1-EXP(-r_mi*rr_asa_mi*dt))</f>
        <v>0.00213413516393479</v>
      </c>
      <c r="CO51" s="57" t="n">
        <f aca="false">(1-EXP(-r_tia*rr_asa_tia*dt))</f>
        <v>0.00312764565589152</v>
      </c>
      <c r="CP51" s="57" t="n">
        <f aca="false">(1-EXP(-r_minor*rr_asa_minor*dt))</f>
        <v>0.0278181950466747</v>
      </c>
      <c r="CQ51" s="57" t="n">
        <f aca="false">CJ51*CK51</f>
        <v>0.000962184296863909</v>
      </c>
      <c r="CR51" s="57" t="n">
        <f aca="false">CJ51*CL51</f>
        <v>9.60373332000052E-005</v>
      </c>
      <c r="CS51" s="57" t="n">
        <f aca="false">CJ51*CM51</f>
        <v>0.000893036890577486</v>
      </c>
      <c r="CT51" s="57" t="n">
        <f aca="false">CJ51*CN51</f>
        <v>0.000200235560263848</v>
      </c>
      <c r="CU51" s="57" t="n">
        <f aca="false">CJ51*CO51</f>
        <v>0.00029345183510287</v>
      </c>
      <c r="CV51" s="57" t="n">
        <f aca="false">CJ51*CP51</f>
        <v>0.00261004643231215</v>
      </c>
      <c r="CW51" s="57" t="n">
        <f aca="false">CQ51*f_stroke_fatal</f>
        <v>0.000228037678356747</v>
      </c>
      <c r="CX51" s="57" t="n">
        <f aca="false">CQ51*(1-f_stroke_fatal)*f_stroke_major</f>
        <v>0.000244470823962885</v>
      </c>
      <c r="CY51" s="57" t="n">
        <f aca="false">CQ51*(1-f_stroke_fatal)*(1-f_stroke_major)</f>
        <v>0.000489675794544278</v>
      </c>
      <c r="CZ51" s="57" t="n">
        <f aca="false">CR51*(1-f_bleed_fatal)</f>
        <v>8.79701972112048E-005</v>
      </c>
      <c r="DA51" s="57" t="n">
        <f aca="false">CS51*(1-f_bleed_fatal)</f>
        <v>0.000818021791768977</v>
      </c>
      <c r="DB51" s="57" t="n">
        <f aca="false">CT51*f_mi_fatal</f>
        <v>2.42285027919256E-005</v>
      </c>
      <c r="DC51" s="57" t="n">
        <f aca="false">CT51-DB51</f>
        <v>0.000176007057471922</v>
      </c>
      <c r="DD51" s="57" t="n">
        <f aca="false">CJ51-CQ51-CR51-CS51-DB51</f>
        <v>0.0918496669066793</v>
      </c>
      <c r="DE51" s="19" t="n">
        <f aca="false">CW51*c_stroke_fatal+CX51*c_stroke_major+CY51*c_stroke_minor+CR51*c_ich+CS51*c_major_bleed+DB51*c_mi_fatal+DC51*c_mi_nonfatal+CU51*c_tia+CV51*c_minor_bleed</f>
        <v>48.1847617764096</v>
      </c>
      <c r="DF51" s="57" t="n">
        <f aca="false">dt*(DC51*dec_mi+DA51*dec_major_bleed+CV51*dec_minor_bleed+CU51*dec_tia)</f>
        <v>4.03537574155974E-005</v>
      </c>
      <c r="DG51" s="57" t="n">
        <f aca="false">J51*CI51+CW51+CR51-CZ51+CS51-DA51+DB51</f>
        <v>0.0029555319433889</v>
      </c>
      <c r="DH51" s="57" t="n">
        <f aca="false">AG51</f>
        <v>0.234825848989821</v>
      </c>
      <c r="DI51" s="57" t="n">
        <f aca="false">AB51+AC51+BF51+BA51+BB51+BC51+CY51+CZ51</f>
        <v>0.0400293399078075</v>
      </c>
      <c r="DJ51" s="57" t="n">
        <f aca="false">AA51+AZ51+BY51+CX51+CE51+BZ51+CA51+CB51</f>
        <v>0.0167714189194245</v>
      </c>
      <c r="DK51" s="57" t="n">
        <f aca="false">AD51+DD51+DA51</f>
        <v>0.0944955232834066</v>
      </c>
      <c r="DL51" s="57" t="n">
        <f aca="false">K51+AJ51+BI51+CH51+DG51</f>
        <v>0.613877868899541</v>
      </c>
      <c r="DM51" s="58" t="n">
        <f aca="false">SUM(DH51:DL51)</f>
        <v>1</v>
      </c>
      <c r="DN51" s="19" t="n">
        <f aca="false">dt*(G51*Warfarin!$H$2+(H51+I51+J51)*c_aspirin)</f>
        <v>25.0970872126068</v>
      </c>
      <c r="DO51" s="19" t="n">
        <f aca="false">dt*(H51*c_lt_minor_stroke+I51*c_lt_major_stroke)</f>
        <v>223.80089855488</v>
      </c>
      <c r="DP51" s="19" t="n">
        <f aca="false">AH51+BG51+CF51+DE51</f>
        <v>186.535935244513</v>
      </c>
      <c r="DQ51" s="19" t="n">
        <f aca="false">DN51+DO51+DP51</f>
        <v>435.433921012</v>
      </c>
      <c r="DR51" s="57" t="n">
        <f aca="false">dt*(G51*(u_af-dec_per_year_over_70*MAX(B51-ref_age,0))+H51*(u_minor_stroke-dec_per_year_over_70*MAX(B51-ref_age,0))+I51*(u_major_stroke-dec_per_year_over_70*MAX(B51-ref_age,0))+J51*(u_af-dec_per_year_over_70*MAX(B51-ref_age,0)))-AI51-BH51-CG51-DF51</f>
        <v>0.077937566984131</v>
      </c>
      <c r="DS51" s="57" t="n">
        <f aca="false">dt*(G51+H51+I51+J51)</f>
        <v>0.100117521312527</v>
      </c>
      <c r="DT51" s="19" t="n">
        <f aca="false">DQ51*C51</f>
        <v>368.280973914112</v>
      </c>
      <c r="DU51" s="19" t="n">
        <f aca="false">DN51*C51</f>
        <v>21.2265955293169</v>
      </c>
      <c r="DV51" s="19" t="n">
        <f aca="false">DP51*C51</f>
        <v>157.768222884813</v>
      </c>
      <c r="DW51" s="19" t="n">
        <f aca="false">DO51*C51</f>
        <v>189.286155499983</v>
      </c>
      <c r="DX51" s="57" t="n">
        <f aca="false">DR51*C51</f>
        <v>0.0659179767315857</v>
      </c>
      <c r="DY51" s="57" t="n">
        <f aca="false">DS51*C51</f>
        <v>0.0846773218061443</v>
      </c>
      <c r="DZ51" s="57" t="n">
        <f aca="false">T51+AS51+BR51+CQ51</f>
        <v>0.00370830966572789</v>
      </c>
      <c r="EA51" s="57" t="n">
        <f aca="false">U51+AT51+BS51+CR51</f>
        <v>0.000631394255231123</v>
      </c>
      <c r="EB51" s="57" t="n">
        <f aca="false">V51+AU51+BT51+CS51</f>
        <v>0.00341107718028793</v>
      </c>
      <c r="EC51" s="57" t="n">
        <f aca="false">G51*dt*C51</f>
        <v>0.0519159115417145</v>
      </c>
    </row>
    <row r="52" customFormat="false" ht="15" hidden="false" customHeight="false" outlineLevel="0" collapsed="false">
      <c r="A52" s="8" t="n">
        <v>46</v>
      </c>
      <c r="B52" s="54" t="n">
        <f aca="false">start_age+A52*dt</f>
        <v>81.5</v>
      </c>
      <c r="C52" s="16" t="n">
        <f aca="false">(1+disc_rate)^-(A52*dt)</f>
        <v>0.842636978952028</v>
      </c>
      <c r="D52" s="55" t="n">
        <f aca="false">IF(A52*dt&gt;=wane_start,(1-wane_decay)^(A52*dt-wane_start),1)</f>
        <v>1</v>
      </c>
      <c r="E52" s="25" t="n">
        <f aca="false">MIN(p_nonvasc_death*MIN(EXP(gomp_int+gomp_slope*INT(B52)),1)/qx_ref,0.999)</f>
        <v>0.104321407440289</v>
      </c>
      <c r="F52" s="55" t="n">
        <f aca="false">rr_stroke_per_decade^((B52-ref_age)/10)</f>
        <v>1.5940610417352</v>
      </c>
      <c r="G52" s="57" t="n">
        <f aca="false">DH51</f>
        <v>0.234825848989821</v>
      </c>
      <c r="H52" s="57" t="n">
        <f aca="false">DI51</f>
        <v>0.0400293399078075</v>
      </c>
      <c r="I52" s="57" t="n">
        <f aca="false">DJ51</f>
        <v>0.0167714189194245</v>
      </c>
      <c r="J52" s="57" t="n">
        <f aca="false">DK51</f>
        <v>0.0944955232834066</v>
      </c>
      <c r="K52" s="57" t="n">
        <f aca="false">DL51</f>
        <v>0.613877868899541</v>
      </c>
      <c r="L52" s="57" t="n">
        <f aca="false">1-EXP(LN(1-E52)*dt)</f>
        <v>0.0271675499979046</v>
      </c>
      <c r="M52" s="57" t="n">
        <f aca="false">G52*(1-L52)</f>
        <v>0.22844620599659</v>
      </c>
      <c r="N52" s="57" t="n">
        <f aca="false">IF(Warfarin!$B$2=1,EXP(LN(or_apx_stroke)*D52)*(1-EXP(-r_stroke*F52*dt))/(1-(1-EXP(-r_stroke*F52*dt))+EXP(LN(or_apx_stroke)*D52)*(1-EXP(-r_stroke*F52*dt))),(1-EXP(-r_stroke*F52*dt)))</f>
        <v>0.0064071906944414</v>
      </c>
      <c r="O52" s="57" t="n">
        <f aca="false">IF(Warfarin!$B$2=1,EXP(LN(or_apx_ich)*D52)*(1-EXP(-r_ich*dt))/(1-(1-EXP(-r_ich*dt))+EXP(LN(or_apx_ich)*D52)*(1-EXP(-r_ich*dt))),(1-EXP(-r_ich*dt)))</f>
        <v>0.0020060281549299</v>
      </c>
      <c r="P52" s="57" t="n">
        <f aca="false">IF(Warfarin!$B$2=1,EXP(LN(or_apx_mb)*D52)*(1-EXP(-r_mb*dt))/(1-(1-EXP(-r_mb*dt))+EXP(LN(or_apx_mb)*D52)*(1-EXP(-r_mb*dt))),(1-EXP(-r_mb*dt)))</f>
        <v>0.00835410477572107</v>
      </c>
      <c r="Q52" s="57" t="n">
        <f aca="false">IF(Warfarin!$B$2=1,EXP(LN(or_apx_mi)*D52)*(1-EXP(-r_mi*dt))/(1-(1-EXP(-r_mi*dt))+EXP(LN(or_apx_mi)*D52)*(1-EXP(-r_mi*dt))),(1-EXP(-r_mi*dt)))</f>
        <v>0.00150338686144691</v>
      </c>
      <c r="R52" s="57" t="n">
        <f aca="false">(1-EXP(-r_tia*dt))</f>
        <v>0.0020060281549299</v>
      </c>
      <c r="S52" s="57" t="n">
        <f aca="false">(1-EXP(-r_minor*dt))</f>
        <v>0.0437937690785545</v>
      </c>
      <c r="T52" s="57" t="n">
        <f aca="false">M52*N52</f>
        <v>0.00146369840524179</v>
      </c>
      <c r="U52" s="57" t="n">
        <f aca="false">M52*O52</f>
        <v>0.000458269521116073</v>
      </c>
      <c r="V52" s="57" t="n">
        <f aca="false">M52*P52</f>
        <v>0.00190846354051147</v>
      </c>
      <c r="W52" s="57" t="n">
        <f aca="false">M52*Q52</f>
        <v>0.000343443024642667</v>
      </c>
      <c r="X52" s="57" t="n">
        <f aca="false">M52*R52</f>
        <v>0.000458269521116073</v>
      </c>
      <c r="Y52" s="57" t="n">
        <f aca="false">M52*S52</f>
        <v>0.0100045203922865</v>
      </c>
      <c r="Z52" s="57" t="n">
        <f aca="false">T52*f_stroke_fatal</f>
        <v>0.000346896522042305</v>
      </c>
      <c r="AA52" s="57" t="n">
        <f aca="false">T52*(1-f_stroke_fatal)*f_stroke_major</f>
        <v>0.000371895027105429</v>
      </c>
      <c r="AB52" s="57" t="n">
        <f aca="false">T52*(1-f_stroke_fatal)*(1-f_stroke_major)</f>
        <v>0.000744906856094058</v>
      </c>
      <c r="AC52" s="57" t="n">
        <f aca="false">U52*(1-f_bleed_fatal)</f>
        <v>0.000419774881342323</v>
      </c>
      <c r="AD52" s="57" t="n">
        <f aca="false">V52*(1-f_bleed_fatal)</f>
        <v>0.00174815260310851</v>
      </c>
      <c r="AE52" s="57" t="n">
        <f aca="false">W52*f_mi_fatal</f>
        <v>4.15566059817627E-005</v>
      </c>
      <c r="AF52" s="57" t="n">
        <f aca="false">W52-AE52</f>
        <v>0.000301886418660904</v>
      </c>
      <c r="AG52" s="57" t="n">
        <f aca="false">M52-T52-U52-V52-AE52</f>
        <v>0.224574217923739</v>
      </c>
      <c r="AH52" s="19" t="n">
        <f aca="false">Z52*c_stroke_fatal+AA52*c_stroke_major+AB52*c_stroke_minor+U52*c_ich+V52*c_major_bleed+AE52*c_mi_fatal+AF52*c_mi_nonfatal+X52*c_tia+Y52*c_minor_bleed</f>
        <v>85.1954760536631</v>
      </c>
      <c r="AI52" s="57" t="n">
        <f aca="false">dt*(AF52*dec_mi+AD52*dec_major_bleed+Y52*dec_minor_bleed+X52*dec_tia)</f>
        <v>9.3956591898319E-005</v>
      </c>
      <c r="AJ52" s="57" t="n">
        <f aca="false">G52*L52+Z52+U52-AC52+V52-AD52+AE52</f>
        <v>0.00696690169843214</v>
      </c>
      <c r="AK52" s="57" t="n">
        <f aca="false">1-EXP(LN(1-E52)*hr_death_prior_stroke*dt)</f>
        <v>0.0613849538308807</v>
      </c>
      <c r="AL52" s="57" t="n">
        <f aca="false">H52*(1-AK52)</f>
        <v>0.0375721407256861</v>
      </c>
      <c r="AM52" s="57" t="n">
        <f aca="false">(1-EXP(-r_stroke*F52*rr_stroke_prior*rr_asa_stroke*dt))</f>
        <v>0.022648284620395</v>
      </c>
      <c r="AN52" s="57" t="n">
        <f aca="false">(1-EXP(-r_ich*rr_asa_ich*dt))</f>
        <v>0.00102357767802375</v>
      </c>
      <c r="AO52" s="57" t="n">
        <f aca="false">(1-EXP(-r_mb*rr_asa_mb*dt))</f>
        <v>0.00951809672747972</v>
      </c>
      <c r="AP52" s="57" t="n">
        <f aca="false">(1-EXP(-r_mi*rr_asa_mi*dt))</f>
        <v>0.00213413516393479</v>
      </c>
      <c r="AQ52" s="57" t="n">
        <f aca="false">(1-EXP(-r_tia*rr_asa_tia*dt))</f>
        <v>0.00312764565589152</v>
      </c>
      <c r="AR52" s="57" t="n">
        <f aca="false">(1-EXP(-r_minor*rr_asa_minor*dt))</f>
        <v>0.0278181950466747</v>
      </c>
      <c r="AS52" s="57" t="n">
        <f aca="false">AL52*AM52</f>
        <v>0.000850944536952874</v>
      </c>
      <c r="AT52" s="57" t="n">
        <f aca="false">AL52*AN52</f>
        <v>3.84580045623792E-005</v>
      </c>
      <c r="AU52" s="57" t="n">
        <f aca="false">AL52*AO52</f>
        <v>0.00035761526968556</v>
      </c>
      <c r="AV52" s="57" t="n">
        <f aca="false">AL52*AP52</f>
        <v>8.01840267069931E-005</v>
      </c>
      <c r="AW52" s="57" t="n">
        <f aca="false">AL52*AQ52</f>
        <v>0.000117512342723237</v>
      </c>
      <c r="AX52" s="57" t="n">
        <f aca="false">AL52*AR52</f>
        <v>0.00104518913902825</v>
      </c>
      <c r="AY52" s="57" t="n">
        <f aca="false">AS52*f_stroke_fatal_recur</f>
        <v>0.000316627952754795</v>
      </c>
      <c r="AZ52" s="57" t="n">
        <f aca="false">AS52*(1-f_stroke_fatal_recur)*f_stroke_major</f>
        <v>0.00017792742253796</v>
      </c>
      <c r="BA52" s="57" t="n">
        <f aca="false">AS52*(1-f_stroke_fatal_recur)*(1-f_stroke_major)</f>
        <v>0.000356389161660119</v>
      </c>
      <c r="BB52" s="57" t="n">
        <f aca="false">AT52*(1-f_bleed_fatal)</f>
        <v>3.52275321791393E-005</v>
      </c>
      <c r="BC52" s="57" t="n">
        <f aca="false">AU52*(1-f_bleed_fatal)</f>
        <v>0.000327575587031973</v>
      </c>
      <c r="BD52" s="57" t="n">
        <f aca="false">AV52*f_mi_fatal</f>
        <v>9.70226723154617E-006</v>
      </c>
      <c r="BE52" s="57" t="n">
        <f aca="false">AV52-BD52</f>
        <v>7.0481759475447E-005</v>
      </c>
      <c r="BF52" s="57" t="n">
        <f aca="false">AL52-AS52-AT52-AU52-BD52</f>
        <v>0.0363154206472537</v>
      </c>
      <c r="BG52" s="19" t="n">
        <f aca="false">AY52*c_stroke_fatal+AZ52*c_stroke_major+BA52*c_stroke_minor+AT52*c_ich+AU52*c_major_bleed+BD52*c_mi_fatal+BE52*c_mi_nonfatal+AW52*c_tia+AX52*c_minor_bleed</f>
        <v>34.3995046647727</v>
      </c>
      <c r="BH52" s="57" t="n">
        <f aca="false">dt*(BE52*dec_mi+BC52*dec_major_bleed+AX52*dec_minor_bleed+AW52*dec_tia)</f>
        <v>1.61596010123082E-005</v>
      </c>
      <c r="BI52" s="57" t="n">
        <f aca="false">H52*AK52+AY52+AT52-BB52+AU52-BC52+BD52</f>
        <v>0.00281679955714456</v>
      </c>
      <c r="BJ52" s="57" t="n">
        <f aca="false">1-EXP(LN(1-E52)*hr_death_prior_stroke*dt)</f>
        <v>0.0613849538308807</v>
      </c>
      <c r="BK52" s="57" t="n">
        <f aca="false">I52*(1-BJ52)</f>
        <v>0.0157419061433773</v>
      </c>
      <c r="BL52" s="57" t="n">
        <f aca="false">(1-EXP(-r_stroke*F52*rr_stroke_prior*rr_asa_stroke*dt))</f>
        <v>0.022648284620395</v>
      </c>
      <c r="BM52" s="57" t="n">
        <f aca="false">(1-EXP(-r_ich*rr_asa_ich*dt))</f>
        <v>0.00102357767802375</v>
      </c>
      <c r="BN52" s="57" t="n">
        <f aca="false">(1-EXP(-r_mb*rr_asa_mb*dt))</f>
        <v>0.00951809672747972</v>
      </c>
      <c r="BO52" s="57" t="n">
        <f aca="false">(1-EXP(-r_mi*rr_asa_mi*dt))</f>
        <v>0.00213413516393479</v>
      </c>
      <c r="BP52" s="57" t="n">
        <f aca="false">(1-EXP(-r_tia*rr_asa_tia*dt))</f>
        <v>0.00312764565589152</v>
      </c>
      <c r="BQ52" s="57" t="n">
        <f aca="false">(1-EXP(-r_minor*rr_asa_minor*dt))</f>
        <v>0.0278181950466747</v>
      </c>
      <c r="BR52" s="57" t="n">
        <f aca="false">BK52*BL52</f>
        <v>0.000356527170802754</v>
      </c>
      <c r="BS52" s="57" t="n">
        <f aca="false">BK52*BM52</f>
        <v>1.61130637379059E-005</v>
      </c>
      <c r="BT52" s="57" t="n">
        <f aca="false">BK52*BN52</f>
        <v>0.000149832985347572</v>
      </c>
      <c r="BU52" s="57" t="n">
        <f aca="false">BK52*BO52</f>
        <v>3.35953554479426E-005</v>
      </c>
      <c r="BV52" s="57" t="n">
        <f aca="false">BK52*BP52</f>
        <v>4.9235104364786E-005</v>
      </c>
      <c r="BW52" s="57" t="n">
        <f aca="false">BK52*BQ52</f>
        <v>0.000437911415502916</v>
      </c>
      <c r="BX52" s="57" t="n">
        <f aca="false">BR52*f_stroke_fatal_recur</f>
        <v>0.000132660194983997</v>
      </c>
      <c r="BY52" s="57" t="n">
        <f aca="false">BR52*(1-f_stroke_fatal_recur)*f_stroke_major</f>
        <v>7.45477029476462E-005</v>
      </c>
      <c r="BZ52" s="57" t="n">
        <f aca="false">BR52*(1-f_stroke_fatal_recur)*(1-f_stroke_major)</f>
        <v>0.000149319272871111</v>
      </c>
      <c r="CA52" s="57" t="n">
        <f aca="false">BS52*(1-f_bleed_fatal)</f>
        <v>1.47595663839218E-005</v>
      </c>
      <c r="CB52" s="57" t="n">
        <f aca="false">BT52*(1-f_bleed_fatal)</f>
        <v>0.000137247014578376</v>
      </c>
      <c r="CC52" s="57" t="n">
        <f aca="false">BU52*f_mi_fatal</f>
        <v>4.06503800920106E-006</v>
      </c>
      <c r="CD52" s="57" t="n">
        <f aca="false">BU52-CC52</f>
        <v>2.95303174387416E-005</v>
      </c>
      <c r="CE52" s="57" t="n">
        <f aca="false">BK52-BR52-BS52-BT52-CC52</f>
        <v>0.0152153678854799</v>
      </c>
      <c r="CF52" s="19" t="n">
        <f aca="false">BX52*c_stroke_fatal+BY52*c_stroke_major+BZ52*c_stroke_minor+BS52*c_ich+BT52*c_major_bleed+CC52*c_mi_fatal+CD52*c_mi_nonfatal+BV52*c_tia+BW52*c_minor_bleed</f>
        <v>14.4126409449254</v>
      </c>
      <c r="CG52" s="57" t="n">
        <f aca="false">dt*(CD52*dec_mi+CB52*dec_major_bleed+BW52*dec_minor_bleed+BV52*dec_tia)</f>
        <v>6.77051979304105E-006</v>
      </c>
      <c r="CH52" s="57" t="n">
        <f aca="false">I52*BJ52+BX52+BS52-CA52+BT52-CB52+CC52</f>
        <v>0.00118017747716361</v>
      </c>
      <c r="CI52" s="57" t="n">
        <f aca="false">1-EXP(LN(1-E52)*dt)</f>
        <v>0.0271675499979046</v>
      </c>
      <c r="CJ52" s="57" t="n">
        <f aca="false">J52*(1-CI52)</f>
        <v>0.0919283114300265</v>
      </c>
      <c r="CK52" s="57" t="n">
        <f aca="false">(1-EXP(-r_stroke*F52*rr_asa_stroke*dt))</f>
        <v>0.010359015795221</v>
      </c>
      <c r="CL52" s="57" t="n">
        <f aca="false">(1-EXP(-r_ich*rr_asa_ich*dt))</f>
        <v>0.00102357767802375</v>
      </c>
      <c r="CM52" s="57" t="n">
        <f aca="false">(1-EXP(-r_mb*rr_asa_mb*dt))</f>
        <v>0.00951809672747972</v>
      </c>
      <c r="CN52" s="57" t="n">
        <f aca="false">(1-EXP(-r_mi*rr_asa_mi*dt))</f>
        <v>0.00213413516393479</v>
      </c>
      <c r="CO52" s="57" t="n">
        <f aca="false">(1-EXP(-r_tia*rr_asa_tia*dt))</f>
        <v>0.00312764565589152</v>
      </c>
      <c r="CP52" s="57" t="n">
        <f aca="false">(1-EXP(-r_minor*rr_asa_minor*dt))</f>
        <v>0.0278181950466747</v>
      </c>
      <c r="CQ52" s="57" t="n">
        <f aca="false">CJ52*CK52</f>
        <v>0.000952286830131643</v>
      </c>
      <c r="CR52" s="57" t="n">
        <f aca="false">CJ52*CL52</f>
        <v>9.40957675581904E-005</v>
      </c>
      <c r="CS52" s="57" t="n">
        <f aca="false">CJ52*CM52</f>
        <v>0.000874982560184872</v>
      </c>
      <c r="CT52" s="57" t="n">
        <f aca="false">CJ52*CN52</f>
        <v>0.000196187441983968</v>
      </c>
      <c r="CU52" s="57" t="n">
        <f aca="false">CJ52*CO52</f>
        <v>0.000287519183897565</v>
      </c>
      <c r="CV52" s="57" t="n">
        <f aca="false">CJ52*CP52</f>
        <v>0.00255727969767193</v>
      </c>
      <c r="CW52" s="57" t="n">
        <f aca="false">CQ52*f_stroke_fatal</f>
        <v>0.000225691978741199</v>
      </c>
      <c r="CX52" s="57" t="n">
        <f aca="false">CQ52*(1-f_stroke_fatal)*f_stroke_major</f>
        <v>0.000241956085513018</v>
      </c>
      <c r="CY52" s="57" t="n">
        <f aca="false">CQ52*(1-f_stroke_fatal)*(1-f_stroke_major)</f>
        <v>0.000484638765877426</v>
      </c>
      <c r="CZ52" s="57" t="n">
        <f aca="false">CR52*(1-f_bleed_fatal)</f>
        <v>8.61917230833024E-005</v>
      </c>
      <c r="DA52" s="57" t="n">
        <f aca="false">CS52*(1-f_bleed_fatal)</f>
        <v>0.000801484025129343</v>
      </c>
      <c r="DB52" s="57" t="n">
        <f aca="false">CT52*f_mi_fatal</f>
        <v>2.37386804800602E-005</v>
      </c>
      <c r="DC52" s="57" t="n">
        <f aca="false">CT52-DB52</f>
        <v>0.000172448761503908</v>
      </c>
      <c r="DD52" s="57" t="n">
        <f aca="false">CJ52-CQ52-CR52-CS52-DB52</f>
        <v>0.0899832075916718</v>
      </c>
      <c r="DE52" s="19" t="n">
        <f aca="false">CW52*c_stroke_fatal+CX52*c_stroke_major+CY52*c_stroke_minor+CR52*c_ich+CS52*c_major_bleed+DB52*c_mi_fatal+DC52*c_mi_nonfatal+CU52*c_tia+CV52*c_minor_bleed</f>
        <v>47.5636483267718</v>
      </c>
      <c r="DF52" s="57" t="n">
        <f aca="false">dt*(DC52*dec_mi+DA52*dec_major_bleed+CV52*dec_minor_bleed+CU52*dec_tia)</f>
        <v>3.95379343777681E-005</v>
      </c>
      <c r="DG52" s="57" t="n">
        <f aca="false">J52*CI52+CW52+CR52-CZ52+CS52-DA52+DB52</f>
        <v>0.00289804509213179</v>
      </c>
      <c r="DH52" s="57" t="n">
        <f aca="false">AG52</f>
        <v>0.224574217923739</v>
      </c>
      <c r="DI52" s="57" t="n">
        <f aca="false">AB52+AC52+BF52+BA52+BB52+BC52+CY52+CZ52</f>
        <v>0.0387701251545221</v>
      </c>
      <c r="DJ52" s="57" t="n">
        <f aca="false">AA52+AZ52+BY52+CX52+CE52+BZ52+CA52+CB52</f>
        <v>0.0163830199774173</v>
      </c>
      <c r="DK52" s="57" t="n">
        <f aca="false">AD52+DD52+DA52</f>
        <v>0.0925328442199097</v>
      </c>
      <c r="DL52" s="57" t="n">
        <f aca="false">K52+AJ52+BI52+CH52+DG52</f>
        <v>0.627739792724413</v>
      </c>
      <c r="DM52" s="58" t="n">
        <f aca="false">SUM(DH52:DL52)</f>
        <v>1</v>
      </c>
      <c r="DN52" s="19" t="n">
        <f aca="false">dt*(G52*Warfarin!$H$2+(H52+I52+J52)*c_aspirin)</f>
        <v>24.0333671547436</v>
      </c>
      <c r="DO52" s="19" t="n">
        <f aca="false">dt*(H52*c_lt_minor_stroke+I52*c_lt_major_stroke)</f>
        <v>217.707375809116</v>
      </c>
      <c r="DP52" s="19" t="n">
        <f aca="false">AH52+BG52+CF52+DE52</f>
        <v>181.571269990133</v>
      </c>
      <c r="DQ52" s="19" t="n">
        <f aca="false">DN52+DO52+DP52</f>
        <v>423.312012953993</v>
      </c>
      <c r="DR52" s="57" t="n">
        <f aca="false">dt*(G52*(u_af-dec_per_year_over_70*MAX(B52-ref_age,0))+H52*(u_minor_stroke-dec_per_year_over_70*MAX(B52-ref_age,0))+I52*(u_major_stroke-dec_per_year_over_70*MAX(B52-ref_age,0))+J52*(u_af-dec_per_year_over_70*MAX(B52-ref_age,0)))-AI52-BH52-CG52-DF52</f>
        <v>0.0751092686273062</v>
      </c>
      <c r="DS52" s="57" t="n">
        <f aca="false">dt*(G52+H52+I52+J52)</f>
        <v>0.0965305327751149</v>
      </c>
      <c r="DT52" s="19" t="n">
        <f aca="false">DQ52*C52</f>
        <v>356.698355749654</v>
      </c>
      <c r="DU52" s="19" t="n">
        <f aca="false">DN52*C52</f>
        <v>20.251403893318</v>
      </c>
      <c r="DV52" s="19" t="n">
        <f aca="false">DP52*C52</f>
        <v>152.998666408969</v>
      </c>
      <c r="DW52" s="19" t="n">
        <f aca="false">DO52*C52</f>
        <v>183.448285447367</v>
      </c>
      <c r="DX52" s="57" t="n">
        <f aca="false">DR52*C52</f>
        <v>0.0632898472074096</v>
      </c>
      <c r="DY52" s="57" t="n">
        <f aca="false">DS52*C52</f>
        <v>0.0813401965142525</v>
      </c>
      <c r="DZ52" s="57" t="n">
        <f aca="false">T52+AS52+BR52+CQ52</f>
        <v>0.00362345694312906</v>
      </c>
      <c r="EA52" s="57" t="n">
        <f aca="false">U52+AT52+BS52+CR52</f>
        <v>0.000606936356974549</v>
      </c>
      <c r="EB52" s="57" t="n">
        <f aca="false">V52+AU52+BT52+CS52</f>
        <v>0.00329089435572947</v>
      </c>
      <c r="EC52" s="57" t="n">
        <f aca="false">G52*dt*C52</f>
        <v>0.0494682359931569</v>
      </c>
    </row>
    <row r="53" customFormat="false" ht="15" hidden="false" customHeight="false" outlineLevel="0" collapsed="false">
      <c r="A53" s="8" t="n">
        <v>47</v>
      </c>
      <c r="B53" s="54" t="n">
        <f aca="false">start_age+A53*dt</f>
        <v>81.75</v>
      </c>
      <c r="C53" s="16" t="n">
        <f aca="false">(1+disc_rate)^-(A53*dt)</f>
        <v>0.839506384978346</v>
      </c>
      <c r="D53" s="55" t="n">
        <f aca="false">IF(A53*dt&gt;=wane_start,(1-wane_decay)^(A53*dt-wane_start),1)</f>
        <v>1</v>
      </c>
      <c r="E53" s="25" t="n">
        <f aca="false">MIN(p_nonvasc_death*MIN(EXP(gomp_int+gomp_slope*INT(B53)),1)/qx_ref,0.999)</f>
        <v>0.104321407440289</v>
      </c>
      <c r="F53" s="55" t="n">
        <f aca="false">rr_stroke_per_decade^((B53-ref_age)/10)</f>
        <v>1.61030161832861</v>
      </c>
      <c r="G53" s="57" t="n">
        <f aca="false">DH52</f>
        <v>0.224574217923739</v>
      </c>
      <c r="H53" s="57" t="n">
        <f aca="false">DI52</f>
        <v>0.0387701251545221</v>
      </c>
      <c r="I53" s="57" t="n">
        <f aca="false">DJ52</f>
        <v>0.0163830199774173</v>
      </c>
      <c r="J53" s="57" t="n">
        <f aca="false">DK52</f>
        <v>0.0925328442199097</v>
      </c>
      <c r="K53" s="57" t="n">
        <f aca="false">DL52</f>
        <v>0.627739792724413</v>
      </c>
      <c r="L53" s="57" t="n">
        <f aca="false">1-EXP(LN(1-E53)*dt)</f>
        <v>0.0271675499979046</v>
      </c>
      <c r="M53" s="57" t="n">
        <f aca="false">G53*(1-L53)</f>
        <v>0.218473086630055</v>
      </c>
      <c r="N53" s="57" t="n">
        <f aca="false">IF(Warfarin!$B$2=1,EXP(LN(or_apx_stroke)*D53)*(1-EXP(-r_stroke*F53*dt))/(1-(1-EXP(-r_stroke*F53*dt))+EXP(LN(or_apx_stroke)*D53)*(1-EXP(-r_stroke*F53*dt))),(1-EXP(-r_stroke*F53*dt)))</f>
        <v>0.00647225658793049</v>
      </c>
      <c r="O53" s="57" t="n">
        <f aca="false">IF(Warfarin!$B$2=1,EXP(LN(or_apx_ich)*D53)*(1-EXP(-r_ich*dt))/(1-(1-EXP(-r_ich*dt))+EXP(LN(or_apx_ich)*D53)*(1-EXP(-r_ich*dt))),(1-EXP(-r_ich*dt)))</f>
        <v>0.0020060281549299</v>
      </c>
      <c r="P53" s="57" t="n">
        <f aca="false">IF(Warfarin!$B$2=1,EXP(LN(or_apx_mb)*D53)*(1-EXP(-r_mb*dt))/(1-(1-EXP(-r_mb*dt))+EXP(LN(or_apx_mb)*D53)*(1-EXP(-r_mb*dt))),(1-EXP(-r_mb*dt)))</f>
        <v>0.00835410477572107</v>
      </c>
      <c r="Q53" s="57" t="n">
        <f aca="false">IF(Warfarin!$B$2=1,EXP(LN(or_apx_mi)*D53)*(1-EXP(-r_mi*dt))/(1-(1-EXP(-r_mi*dt))+EXP(LN(or_apx_mi)*D53)*(1-EXP(-r_mi*dt))),(1-EXP(-r_mi*dt)))</f>
        <v>0.00150338686144691</v>
      </c>
      <c r="R53" s="57" t="n">
        <f aca="false">(1-EXP(-r_tia*dt))</f>
        <v>0.0020060281549299</v>
      </c>
      <c r="S53" s="57" t="n">
        <f aca="false">(1-EXP(-r_minor*dt))</f>
        <v>0.0437937690785545</v>
      </c>
      <c r="T53" s="57" t="n">
        <f aca="false">M53*N53</f>
        <v>0.00141401387422688</v>
      </c>
      <c r="U53" s="57" t="n">
        <f aca="false">M53*O53</f>
        <v>0.000438263162874328</v>
      </c>
      <c r="V53" s="57" t="n">
        <f aca="false">M53*P53</f>
        <v>0.00182514705638267</v>
      </c>
      <c r="W53" s="57" t="n">
        <f aca="false">M53*Q53</f>
        <v>0.000328449568019377</v>
      </c>
      <c r="X53" s="57" t="n">
        <f aca="false">M53*R53</f>
        <v>0.000438263162874328</v>
      </c>
      <c r="Y53" s="57" t="n">
        <f aca="false">M53*S53</f>
        <v>0.00956775990575566</v>
      </c>
      <c r="Z53" s="57" t="n">
        <f aca="false">T53*f_stroke_fatal</f>
        <v>0.000335121288191771</v>
      </c>
      <c r="AA53" s="57" t="n">
        <f aca="false">T53*(1-f_stroke_fatal)*f_stroke_major</f>
        <v>0.000359271231149692</v>
      </c>
      <c r="AB53" s="57" t="n">
        <f aca="false">T53*(1-f_stroke_fatal)*(1-f_stroke_major)</f>
        <v>0.000719621354885419</v>
      </c>
      <c r="AC53" s="57" t="n">
        <f aca="false">U53*(1-f_bleed_fatal)</f>
        <v>0.000401449057192885</v>
      </c>
      <c r="AD53" s="57" t="n">
        <f aca="false">V53*(1-f_bleed_fatal)</f>
        <v>0.00167183470364652</v>
      </c>
      <c r="AE53" s="57" t="n">
        <f aca="false">W53*f_mi_fatal</f>
        <v>3.97423977303446E-005</v>
      </c>
      <c r="AF53" s="57" t="n">
        <f aca="false">W53-AE53</f>
        <v>0.000288707170289032</v>
      </c>
      <c r="AG53" s="57" t="n">
        <f aca="false">M53-T53-U53-V53-AE53</f>
        <v>0.214755920138841</v>
      </c>
      <c r="AH53" s="19" t="n">
        <f aca="false">Z53*c_stroke_fatal+AA53*c_stroke_major+AB53*c_stroke_minor+U53*c_ich+V53*c_major_bleed+AE53*c_mi_fatal+AF53*c_mi_nonfatal+X53*c_tia+Y53*c_minor_bleed</f>
        <v>82.001371563598</v>
      </c>
      <c r="AI53" s="57" t="n">
        <f aca="false">dt*(AF53*dec_mi+AD53*dec_major_bleed+Y53*dec_minor_bleed+X53*dec_tia)</f>
        <v>8.98547933931221E-005</v>
      </c>
      <c r="AJ53" s="57" t="n">
        <f aca="false">G53*L53+Z53+U53-AC53+V53-AD53+AE53</f>
        <v>0.00666612143802319</v>
      </c>
      <c r="AK53" s="57" t="n">
        <f aca="false">1-EXP(LN(1-E53)*hr_death_prior_stroke*dt)</f>
        <v>0.0613849538308807</v>
      </c>
      <c r="AL53" s="57" t="n">
        <f aca="false">H53*(1-AK53)</f>
        <v>0.0363902228118943</v>
      </c>
      <c r="AM53" s="57" t="n">
        <f aca="false">(1-EXP(-r_stroke*F53*rr_stroke_prior*rr_asa_stroke*dt))</f>
        <v>0.0228763698030587</v>
      </c>
      <c r="AN53" s="57" t="n">
        <f aca="false">(1-EXP(-r_ich*rr_asa_ich*dt))</f>
        <v>0.00102357767802375</v>
      </c>
      <c r="AO53" s="57" t="n">
        <f aca="false">(1-EXP(-r_mb*rr_asa_mb*dt))</f>
        <v>0.00951809672747972</v>
      </c>
      <c r="AP53" s="57" t="n">
        <f aca="false">(1-EXP(-r_mi*rr_asa_mi*dt))</f>
        <v>0.00213413516393479</v>
      </c>
      <c r="AQ53" s="57" t="n">
        <f aca="false">(1-EXP(-r_tia*rr_asa_tia*dt))</f>
        <v>0.00312764565589152</v>
      </c>
      <c r="AR53" s="57" t="n">
        <f aca="false">(1-EXP(-r_minor*rr_asa_minor*dt))</f>
        <v>0.0278181950466747</v>
      </c>
      <c r="AS53" s="57" t="n">
        <f aca="false">AL53*AM53</f>
        <v>0.000832476194260597</v>
      </c>
      <c r="AT53" s="57" t="n">
        <f aca="false">AL53*AN53</f>
        <v>3.72482197685655E-005</v>
      </c>
      <c r="AU53" s="57" t="n">
        <f aca="false">AL53*AO53</f>
        <v>0.000346365660658149</v>
      </c>
      <c r="AV53" s="57" t="n">
        <f aca="false">AL53*AP53</f>
        <v>7.76616541262856E-005</v>
      </c>
      <c r="AW53" s="57" t="n">
        <f aca="false">AL53*AQ53</f>
        <v>0.000113815722294546</v>
      </c>
      <c r="AX53" s="57" t="n">
        <f aca="false">AL53*AR53</f>
        <v>0.00101231031597323</v>
      </c>
      <c r="AY53" s="57" t="n">
        <f aca="false">AS53*f_stroke_fatal_recur</f>
        <v>0.000309756067122426</v>
      </c>
      <c r="AZ53" s="57" t="n">
        <f aca="false">AS53*(1-f_stroke_fatal_recur)*f_stroke_major</f>
        <v>0.000174065802337011</v>
      </c>
      <c r="BA53" s="57" t="n">
        <f aca="false">AS53*(1-f_stroke_fatal_recur)*(1-f_stroke_major)</f>
        <v>0.00034865432480116</v>
      </c>
      <c r="BB53" s="57" t="n">
        <f aca="false">AT53*(1-f_bleed_fatal)</f>
        <v>3.4119369308006E-005</v>
      </c>
      <c r="BC53" s="57" t="n">
        <f aca="false">AU53*(1-f_bleed_fatal)</f>
        <v>0.000317270945162864</v>
      </c>
      <c r="BD53" s="57" t="n">
        <f aca="false">AV53*f_mi_fatal</f>
        <v>9.39706014928055E-006</v>
      </c>
      <c r="BE53" s="57" t="n">
        <f aca="false">AV53-BD53</f>
        <v>6.8264593977005E-005</v>
      </c>
      <c r="BF53" s="57" t="n">
        <f aca="false">AL53-AS53-AT53-AU53-BD53</f>
        <v>0.0351647356770577</v>
      </c>
      <c r="BG53" s="19" t="n">
        <f aca="false">AY53*c_stroke_fatal+AZ53*c_stroke_major+BA53*c_stroke_minor+AT53*c_ich+AU53*c_major_bleed+BD53*c_mi_fatal+BE53*c_mi_nonfatal+AW53*c_tia+AX53*c_minor_bleed</f>
        <v>33.6035712288816</v>
      </c>
      <c r="BH53" s="57" t="n">
        <f aca="false">dt*(BE53*dec_mi+BC53*dec_major_bleed+AX53*dec_minor_bleed+AW53*dec_tia)</f>
        <v>1.56512636765248E-005</v>
      </c>
      <c r="BI53" s="57" t="n">
        <f aca="false">H53*AK53+AY53+AT53-BB53+AU53-BC53+BD53</f>
        <v>0.00273127903585535</v>
      </c>
      <c r="BJ53" s="57" t="n">
        <f aca="false">1-EXP(LN(1-E53)*hr_death_prior_stroke*dt)</f>
        <v>0.0613849538308807</v>
      </c>
      <c r="BK53" s="57" t="n">
        <f aca="false">I53*(1-BJ53)</f>
        <v>0.0153773490524932</v>
      </c>
      <c r="BL53" s="57" t="n">
        <f aca="false">(1-EXP(-r_stroke*F53*rr_stroke_prior*rr_asa_stroke*dt))</f>
        <v>0.0228763698030587</v>
      </c>
      <c r="BM53" s="57" t="n">
        <f aca="false">(1-EXP(-r_ich*rr_asa_ich*dt))</f>
        <v>0.00102357767802375</v>
      </c>
      <c r="BN53" s="57" t="n">
        <f aca="false">(1-EXP(-r_mb*rr_asa_mb*dt))</f>
        <v>0.00951809672747972</v>
      </c>
      <c r="BO53" s="57" t="n">
        <f aca="false">(1-EXP(-r_mi*rr_asa_mi*dt))</f>
        <v>0.00213413516393479</v>
      </c>
      <c r="BP53" s="57" t="n">
        <f aca="false">(1-EXP(-r_tia*rr_asa_tia*dt))</f>
        <v>0.00312764565589152</v>
      </c>
      <c r="BQ53" s="57" t="n">
        <f aca="false">(1-EXP(-r_minor*rr_asa_minor*dt))</f>
        <v>0.0278181950466747</v>
      </c>
      <c r="BR53" s="57" t="n">
        <f aca="false">BK53*BL53</f>
        <v>0.000351777923515549</v>
      </c>
      <c r="BS53" s="57" t="n">
        <f aca="false">BK53*BM53</f>
        <v>1.57399112373116E-005</v>
      </c>
      <c r="BT53" s="57" t="n">
        <f aca="false">BK53*BN53</f>
        <v>0.000146363095693849</v>
      </c>
      <c r="BU53" s="57" t="n">
        <f aca="false">BK53*BO53</f>
        <v>3.2817341341025E-005</v>
      </c>
      <c r="BV53" s="57" t="n">
        <f aca="false">BK53*BP53</f>
        <v>4.80948989631578E-005</v>
      </c>
      <c r="BW53" s="57" t="n">
        <f aca="false">BK53*BQ53</f>
        <v>0.000427770095243053</v>
      </c>
      <c r="BX53" s="57" t="n">
        <f aca="false">BR53*f_stroke_fatal_recur</f>
        <v>0.0001308930475609</v>
      </c>
      <c r="BY53" s="57" t="n">
        <f aca="false">BR53*(1-f_stroke_fatal_recur)*f_stroke_major</f>
        <v>7.35546636928978E-005</v>
      </c>
      <c r="BZ53" s="57" t="n">
        <f aca="false">BR53*(1-f_stroke_fatal_recur)*(1-f_stroke_major)</f>
        <v>0.00014733021226175</v>
      </c>
      <c r="CA53" s="57" t="n">
        <f aca="false">BS53*(1-f_bleed_fatal)</f>
        <v>1.44177586933774E-005</v>
      </c>
      <c r="CB53" s="57" t="n">
        <f aca="false">BT53*(1-f_bleed_fatal)</f>
        <v>0.000134068595655565</v>
      </c>
      <c r="CC53" s="57" t="n">
        <f aca="false">BU53*f_mi_fatal</f>
        <v>3.97089830226403E-006</v>
      </c>
      <c r="CD53" s="57" t="n">
        <f aca="false">BU53-CC53</f>
        <v>2.8846443038761E-005</v>
      </c>
      <c r="CE53" s="57" t="n">
        <f aca="false">BK53-BR53-BS53-BT53-CC53</f>
        <v>0.0148594972237442</v>
      </c>
      <c r="CF53" s="19" t="n">
        <f aca="false">BX53*c_stroke_fatal+BY53*c_stroke_major+BZ53*c_stroke_minor+BS53*c_ich+BT53*c_major_bleed+CC53*c_mi_fatal+CD53*c_mi_nonfatal+BV53*c_tia+BW53*c_minor_bleed</f>
        <v>14.1997988544311</v>
      </c>
      <c r="CG53" s="57" t="n">
        <f aca="false">dt*(CD53*dec_mi+CB53*dec_major_bleed+BW53*dec_minor_bleed+BV53*dec_tia)</f>
        <v>6.61372550288052E-006</v>
      </c>
      <c r="CH53" s="57" t="n">
        <f aca="false">I53*BJ53+BX53+BS53-CA53+BT53-CB53+CC53</f>
        <v>0.00115415152336954</v>
      </c>
      <c r="CI53" s="57" t="n">
        <f aca="false">1-EXP(LN(1-E53)*dt)</f>
        <v>0.0271675499979046</v>
      </c>
      <c r="CJ53" s="57" t="n">
        <f aca="false">J53*(1-CI53)</f>
        <v>0.0900189535481169</v>
      </c>
      <c r="CK53" s="57" t="n">
        <f aca="false">(1-EXP(-r_stroke*F53*rr_asa_stroke*dt))</f>
        <v>0.0104640011762072</v>
      </c>
      <c r="CL53" s="57" t="n">
        <f aca="false">(1-EXP(-r_ich*rr_asa_ich*dt))</f>
        <v>0.00102357767802375</v>
      </c>
      <c r="CM53" s="57" t="n">
        <f aca="false">(1-EXP(-r_mb*rr_asa_mb*dt))</f>
        <v>0.00951809672747972</v>
      </c>
      <c r="CN53" s="57" t="n">
        <f aca="false">(1-EXP(-r_mi*rr_asa_mi*dt))</f>
        <v>0.00213413516393479</v>
      </c>
      <c r="CO53" s="57" t="n">
        <f aca="false">(1-EXP(-r_tia*rr_asa_tia*dt))</f>
        <v>0.00312764565589152</v>
      </c>
      <c r="CP53" s="57" t="n">
        <f aca="false">(1-EXP(-r_minor*rr_asa_minor*dt))</f>
        <v>0.0278181950466747</v>
      </c>
      <c r="CQ53" s="57" t="n">
        <f aca="false">CJ53*CK53</f>
        <v>0.000941958435808433</v>
      </c>
      <c r="CR53" s="57" t="n">
        <f aca="false">CJ53*CL53</f>
        <v>9.2141391450909E-005</v>
      </c>
      <c r="CS53" s="57" t="n">
        <f aca="false">CJ53*CM53</f>
        <v>0.000856809107177481</v>
      </c>
      <c r="CT53" s="57" t="n">
        <f aca="false">CJ53*CN53</f>
        <v>0.000192112614187649</v>
      </c>
      <c r="CU53" s="57" t="n">
        <f aca="false">CJ53*CO53</f>
        <v>0.000281547389012669</v>
      </c>
      <c r="CV53" s="57" t="n">
        <f aca="false">CJ53*CP53</f>
        <v>0.00250416480769907</v>
      </c>
      <c r="CW53" s="57" t="n">
        <f aca="false">CQ53*f_stroke_fatal</f>
        <v>0.000223244149286599</v>
      </c>
      <c r="CX53" s="57" t="n">
        <f aca="false">CQ53*(1-f_stroke_fatal)*f_stroke_major</f>
        <v>0.000239331857411771</v>
      </c>
      <c r="CY53" s="57" t="n">
        <f aca="false">CQ53*(1-f_stroke_fatal)*(1-f_stroke_major)</f>
        <v>0.000479382429110064</v>
      </c>
      <c r="CZ53" s="57" t="n">
        <f aca="false">CR53*(1-f_bleed_fatal)</f>
        <v>8.44015145690326E-005</v>
      </c>
      <c r="DA53" s="57" t="n">
        <f aca="false">CS53*(1-f_bleed_fatal)</f>
        <v>0.000784837142174572</v>
      </c>
      <c r="DB53" s="57" t="n">
        <f aca="false">CT53*f_mi_fatal</f>
        <v>2.32456263167055E-005</v>
      </c>
      <c r="DC53" s="57" t="n">
        <f aca="false">CT53-DB53</f>
        <v>0.000168866987870943</v>
      </c>
      <c r="DD53" s="57" t="n">
        <f aca="false">CJ53-CQ53-CR53-CS53-DB53</f>
        <v>0.0881047989873634</v>
      </c>
      <c r="DE53" s="19" t="n">
        <f aca="false">CW53*c_stroke_fatal+CX53*c_stroke_major+CY53*c_stroke_minor+CR53*c_ich+CS53*c_major_bleed+DB53*c_mi_fatal+DC53*c_mi_nonfatal+CU53*c_tia+CV53*c_minor_bleed</f>
        <v>46.9249278240993</v>
      </c>
      <c r="DF53" s="57" t="n">
        <f aca="false">dt*(DC53*dec_mi+DA53*dec_major_bleed+CV53*dec_minor_bleed+CU53*dec_tia)</f>
        <v>3.87167285330803E-005</v>
      </c>
      <c r="DG53" s="57" t="n">
        <f aca="false">J53*CI53+CW53+CR53-CZ53+CS53-DA53+DB53</f>
        <v>0.0028400922892808</v>
      </c>
      <c r="DH53" s="57" t="n">
        <f aca="false">AG53</f>
        <v>0.214755920138841</v>
      </c>
      <c r="DI53" s="57" t="n">
        <f aca="false">AB53+AC53+BF53+BA53+BB53+BC53+CY53+CZ53</f>
        <v>0.0375496346720871</v>
      </c>
      <c r="DJ53" s="57" t="n">
        <f aca="false">AA53+AZ53+BY53+CX53+CE53+BZ53+CA53+CB53</f>
        <v>0.0160015373449463</v>
      </c>
      <c r="DK53" s="57" t="n">
        <f aca="false">AD53+DD53+DA53</f>
        <v>0.0905614708331845</v>
      </c>
      <c r="DL53" s="57" t="n">
        <f aca="false">K53+AJ53+BI53+CH53+DG53</f>
        <v>0.641131437010942</v>
      </c>
      <c r="DM53" s="58" t="n">
        <f aca="false">SUM(DH53:DL53)</f>
        <v>1</v>
      </c>
      <c r="DN53" s="19" t="n">
        <f aca="false">dt*(G53*Warfarin!$H$2+(H53+I53+J53)*c_aspirin)</f>
        <v>23.0133876388405</v>
      </c>
      <c r="DO53" s="19" t="n">
        <f aca="false">dt*(H53*c_lt_minor_stroke+I53*c_lt_major_stroke)</f>
        <v>211.767574635171</v>
      </c>
      <c r="DP53" s="19" t="n">
        <f aca="false">AH53+BG53+CF53+DE53</f>
        <v>176.72966947101</v>
      </c>
      <c r="DQ53" s="19" t="n">
        <f aca="false">DN53+DO53+DP53</f>
        <v>411.510631745022</v>
      </c>
      <c r="DR53" s="57" t="n">
        <f aca="false">dt*(G53*(u_af-dec_per_year_over_70*MAX(B53-ref_age,0))+H53*(u_minor_stroke-dec_per_year_over_70*MAX(B53-ref_age,0))+I53*(u_major_stroke-dec_per_year_over_70*MAX(B53-ref_age,0))+J53*(u_af-dec_per_year_over_70*MAX(B53-ref_age,0)))-AI53-BH53-CG53-DF53</f>
        <v>0.0723778709865054</v>
      </c>
      <c r="DS53" s="57" t="n">
        <f aca="false">dt*(G53+H53+I53+J53)</f>
        <v>0.0930650518188969</v>
      </c>
      <c r="DT53" s="19" t="n">
        <f aca="false">DQ53*C53</f>
        <v>345.465802836419</v>
      </c>
      <c r="DU53" s="19" t="n">
        <f aca="false">DN53*C53</f>
        <v>19.3198858627883</v>
      </c>
      <c r="DV53" s="19" t="n">
        <f aca="false">DP53*C53</f>
        <v>148.365685936026</v>
      </c>
      <c r="DW53" s="19" t="n">
        <f aca="false">DO53*C53</f>
        <v>177.780231037605</v>
      </c>
      <c r="DX53" s="57" t="n">
        <f aca="false">DR53*C53</f>
        <v>0.0607616848243103</v>
      </c>
      <c r="DY53" s="57" t="n">
        <f aca="false">DS53*C53</f>
        <v>0.0781287052203046</v>
      </c>
      <c r="DZ53" s="57" t="n">
        <f aca="false">T53+AS53+BR53+CQ53</f>
        <v>0.00354022642781146</v>
      </c>
      <c r="EA53" s="57" t="n">
        <f aca="false">U53+AT53+BS53+CR53</f>
        <v>0.000583392685331115</v>
      </c>
      <c r="EB53" s="57" t="n">
        <f aca="false">V53+AU53+BT53+CS53</f>
        <v>0.00317468491991214</v>
      </c>
      <c r="EC53" s="57" t="n">
        <f aca="false">G53*dt*C53</f>
        <v>0.0471328724621243</v>
      </c>
    </row>
    <row r="54" customFormat="false" ht="15" hidden="false" customHeight="false" outlineLevel="0" collapsed="false">
      <c r="A54" s="8" t="n">
        <v>48</v>
      </c>
      <c r="B54" s="54" t="n">
        <f aca="false">start_age+A54*dt</f>
        <v>82</v>
      </c>
      <c r="C54" s="16" t="n">
        <f aca="false">(1+disc_rate)^-(A54*dt)</f>
        <v>0.836387421895396</v>
      </c>
      <c r="D54" s="55" t="n">
        <f aca="false">IF(A54*dt&gt;=wane_start,(1-wane_decay)^(A54*dt-wane_start),1)</f>
        <v>1</v>
      </c>
      <c r="E54" s="25" t="n">
        <f aca="false">MIN(p_nonvasc_death*MIN(EXP(gomp_int+gomp_slope*INT(B54)),1)/qx_ref,0.999)</f>
        <v>0.115828440791284</v>
      </c>
      <c r="F54" s="55" t="n">
        <f aca="false">rr_stroke_per_decade^((B54-ref_age)/10)</f>
        <v>1.62670765679655</v>
      </c>
      <c r="G54" s="57" t="n">
        <f aca="false">DH53</f>
        <v>0.214755920138841</v>
      </c>
      <c r="H54" s="57" t="n">
        <f aca="false">DI53</f>
        <v>0.0375496346720871</v>
      </c>
      <c r="I54" s="57" t="n">
        <f aca="false">DJ53</f>
        <v>0.0160015373449463</v>
      </c>
      <c r="J54" s="57" t="n">
        <f aca="false">DK53</f>
        <v>0.0905614708331845</v>
      </c>
      <c r="K54" s="57" t="n">
        <f aca="false">DL53</f>
        <v>0.641131437010942</v>
      </c>
      <c r="L54" s="57" t="n">
        <f aca="false">1-EXP(LN(1-E54)*dt)</f>
        <v>0.0303072797491967</v>
      </c>
      <c r="M54" s="57" t="n">
        <f aca="false">G54*(1-L54)</f>
        <v>0.208247252389397</v>
      </c>
      <c r="N54" s="57" t="n">
        <f aca="false">IF(Warfarin!$B$2=1,EXP(LN(or_apx_stroke)*D54)*(1-EXP(-r_stroke*F54*dt))/(1-(1-EXP(-r_stroke*F54*dt))+EXP(LN(or_apx_stroke)*D54)*(1-EXP(-r_stroke*F54*dt))),(1-EXP(-r_stroke*F54*dt)))</f>
        <v>0.00653798105807502</v>
      </c>
      <c r="O54" s="57" t="n">
        <f aca="false">IF(Warfarin!$B$2=1,EXP(LN(or_apx_ich)*D54)*(1-EXP(-r_ich*dt))/(1-(1-EXP(-r_ich*dt))+EXP(LN(or_apx_ich)*D54)*(1-EXP(-r_ich*dt))),(1-EXP(-r_ich*dt)))</f>
        <v>0.0020060281549299</v>
      </c>
      <c r="P54" s="57" t="n">
        <f aca="false">IF(Warfarin!$B$2=1,EXP(LN(or_apx_mb)*D54)*(1-EXP(-r_mb*dt))/(1-(1-EXP(-r_mb*dt))+EXP(LN(or_apx_mb)*D54)*(1-EXP(-r_mb*dt))),(1-EXP(-r_mb*dt)))</f>
        <v>0.00835410477572107</v>
      </c>
      <c r="Q54" s="57" t="n">
        <f aca="false">IF(Warfarin!$B$2=1,EXP(LN(or_apx_mi)*D54)*(1-EXP(-r_mi*dt))/(1-(1-EXP(-r_mi*dt))+EXP(LN(or_apx_mi)*D54)*(1-EXP(-r_mi*dt))),(1-EXP(-r_mi*dt)))</f>
        <v>0.00150338686144691</v>
      </c>
      <c r="R54" s="57" t="n">
        <f aca="false">(1-EXP(-r_tia*dt))</f>
        <v>0.0020060281549299</v>
      </c>
      <c r="S54" s="57" t="n">
        <f aca="false">(1-EXP(-r_minor*dt))</f>
        <v>0.0437937690785545</v>
      </c>
      <c r="T54" s="57" t="n">
        <f aca="false">M54*N54</f>
        <v>0.00136151659151804</v>
      </c>
      <c r="U54" s="57" t="n">
        <f aca="false">M54*O54</f>
        <v>0.000417749851479922</v>
      </c>
      <c r="V54" s="57" t="n">
        <f aca="false">M54*P54</f>
        <v>0.00173971936571705</v>
      </c>
      <c r="W54" s="57" t="n">
        <f aca="false">M54*Q54</f>
        <v>0.000313076183174638</v>
      </c>
      <c r="X54" s="57" t="n">
        <f aca="false">M54*R54</f>
        <v>0.000417749851479922</v>
      </c>
      <c r="Y54" s="57" t="n">
        <f aca="false">M54*S54</f>
        <v>0.0091199320823847</v>
      </c>
      <c r="Z54" s="57" t="n">
        <f aca="false">T54*f_stroke_fatal</f>
        <v>0.000322679432189776</v>
      </c>
      <c r="AA54" s="57" t="n">
        <f aca="false">T54*(1-f_stroke_fatal)*f_stroke_major</f>
        <v>0.000345932774056313</v>
      </c>
      <c r="AB54" s="57" t="n">
        <f aca="false">T54*(1-f_stroke_fatal)*(1-f_stroke_major)</f>
        <v>0.000692904385271954</v>
      </c>
      <c r="AC54" s="57" t="n">
        <f aca="false">U54*(1-f_bleed_fatal)</f>
        <v>0.000382658863955608</v>
      </c>
      <c r="AD54" s="57" t="n">
        <f aca="false">V54*(1-f_bleed_fatal)</f>
        <v>0.00159358293899682</v>
      </c>
      <c r="AE54" s="57" t="n">
        <f aca="false">W54*f_mi_fatal</f>
        <v>3.78822181641312E-005</v>
      </c>
      <c r="AF54" s="57" t="n">
        <f aca="false">W54-AE54</f>
        <v>0.000275193965010506</v>
      </c>
      <c r="AG54" s="57" t="n">
        <f aca="false">M54-T54-U54-V54-AE54</f>
        <v>0.204690384362518</v>
      </c>
      <c r="AH54" s="19" t="n">
        <f aca="false">Z54*c_stroke_fatal+AA54*c_stroke_major+AB54*c_stroke_minor+U54*c_ich+V54*c_major_bleed+AE54*c_mi_fatal+AF54*c_mi_nonfatal+X54*c_tia+Y54*c_minor_bleed</f>
        <v>78.6689217848433</v>
      </c>
      <c r="AI54" s="57" t="n">
        <f aca="false">dt*(AF54*dec_mi+AD54*dec_major_bleed+Y54*dec_minor_bleed+X54*dec_tia)</f>
        <v>8.56490569468634E-005</v>
      </c>
      <c r="AJ54" s="57" t="n">
        <f aca="false">G54*L54+Z54+U54-AC54+V54-AD54+AE54</f>
        <v>0.00705045681404244</v>
      </c>
      <c r="AK54" s="57" t="n">
        <f aca="false">1-EXP(LN(1-E54)*hr_death_prior_stroke*dt)</f>
        <v>0.0683377233826246</v>
      </c>
      <c r="AL54" s="57" t="n">
        <f aca="false">H54*(1-AK54)</f>
        <v>0.0349835781247474</v>
      </c>
      <c r="AM54" s="57" t="n">
        <f aca="false">(1-EXP(-r_stroke*F54*rr_stroke_prior*rr_asa_stroke*dt))</f>
        <v>0.0231067247134612</v>
      </c>
      <c r="AN54" s="57" t="n">
        <f aca="false">(1-EXP(-r_ich*rr_asa_ich*dt))</f>
        <v>0.00102357767802375</v>
      </c>
      <c r="AO54" s="57" t="n">
        <f aca="false">(1-EXP(-r_mb*rr_asa_mb*dt))</f>
        <v>0.00951809672747972</v>
      </c>
      <c r="AP54" s="57" t="n">
        <f aca="false">(1-EXP(-r_mi*rr_asa_mi*dt))</f>
        <v>0.00213413516393479</v>
      </c>
      <c r="AQ54" s="57" t="n">
        <f aca="false">(1-EXP(-r_tia*rr_asa_tia*dt))</f>
        <v>0.00312764565589152</v>
      </c>
      <c r="AR54" s="57" t="n">
        <f aca="false">(1-EXP(-r_minor*rr_asa_minor*dt))</f>
        <v>0.0278181950466747</v>
      </c>
      <c r="AS54" s="57" t="n">
        <f aca="false">AL54*AM54</f>
        <v>0.000808355909220402</v>
      </c>
      <c r="AT54" s="57" t="n">
        <f aca="false">AL54*AN54</f>
        <v>3.58084096658913E-005</v>
      </c>
      <c r="AU54" s="57" t="n">
        <f aca="false">AL54*AO54</f>
        <v>0.000332977080464689</v>
      </c>
      <c r="AV54" s="57" t="n">
        <f aca="false">AL54*AP54</f>
        <v>7.46596842362834E-005</v>
      </c>
      <c r="AW54" s="57" t="n">
        <f aca="false">AL54*AQ54</f>
        <v>0.000109416236149408</v>
      </c>
      <c r="AX54" s="57" t="n">
        <f aca="false">AL54*AR54</f>
        <v>0.000973179999704806</v>
      </c>
      <c r="AY54" s="57" t="n">
        <f aca="false">AS54*f_stroke_fatal_recur</f>
        <v>0.000300781150261819</v>
      </c>
      <c r="AZ54" s="57" t="n">
        <f aca="false">AS54*(1-f_stroke_fatal_recur)*f_stroke_major</f>
        <v>0.000169022394733208</v>
      </c>
      <c r="BA54" s="57" t="n">
        <f aca="false">AS54*(1-f_stroke_fatal_recur)*(1-f_stroke_major)</f>
        <v>0.000338552364225374</v>
      </c>
      <c r="BB54" s="57" t="n">
        <f aca="false">AT54*(1-f_bleed_fatal)</f>
        <v>3.28005032539564E-005</v>
      </c>
      <c r="BC54" s="57" t="n">
        <f aca="false">AU54*(1-f_bleed_fatal)</f>
        <v>0.000305007005705655</v>
      </c>
      <c r="BD54" s="57" t="n">
        <f aca="false">AV54*f_mi_fatal</f>
        <v>9.03382179259029E-006</v>
      </c>
      <c r="BE54" s="57" t="n">
        <f aca="false">AV54-BD54</f>
        <v>6.56258624436931E-005</v>
      </c>
      <c r="BF54" s="57" t="n">
        <f aca="false">AL54-AS54-AT54-AU54-BD54</f>
        <v>0.0337974029036038</v>
      </c>
      <c r="BG54" s="19" t="n">
        <f aca="false">AY54*c_stroke_fatal+AZ54*c_stroke_major+BA54*c_stroke_minor+AT54*c_ich+AU54*c_major_bleed+BD54*c_mi_fatal+BE54*c_mi_nonfatal+AW54*c_tia+AX54*c_minor_bleed</f>
        <v>32.5825005734663</v>
      </c>
      <c r="BH54" s="57" t="n">
        <f aca="false">dt*(BE54*dec_mi+BC54*dec_major_bleed+AX54*dec_minor_bleed+AW54*dec_tia)</f>
        <v>1.50462724124834E-005</v>
      </c>
      <c r="BI54" s="57" t="n">
        <f aca="false">H54*AK54+AY54+AT54-BB54+AU54-BC54+BD54</f>
        <v>0.00290684950056507</v>
      </c>
      <c r="BJ54" s="57" t="n">
        <f aca="false">1-EXP(LN(1-E54)*hr_death_prior_stroke*dt)</f>
        <v>0.0683377233826246</v>
      </c>
      <c r="BK54" s="57" t="n">
        <f aca="false">I54*(1-BJ54)</f>
        <v>0.0149080287121706</v>
      </c>
      <c r="BL54" s="57" t="n">
        <f aca="false">(1-EXP(-r_stroke*F54*rr_stroke_prior*rr_asa_stroke*dt))</f>
        <v>0.0231067247134612</v>
      </c>
      <c r="BM54" s="57" t="n">
        <f aca="false">(1-EXP(-r_ich*rr_asa_ich*dt))</f>
        <v>0.00102357767802375</v>
      </c>
      <c r="BN54" s="57" t="n">
        <f aca="false">(1-EXP(-r_mb*rr_asa_mb*dt))</f>
        <v>0.00951809672747972</v>
      </c>
      <c r="BO54" s="57" t="n">
        <f aca="false">(1-EXP(-r_mi*rr_asa_mi*dt))</f>
        <v>0.00213413516393479</v>
      </c>
      <c r="BP54" s="57" t="n">
        <f aca="false">(1-EXP(-r_tia*rr_asa_tia*dt))</f>
        <v>0.00312764565589152</v>
      </c>
      <c r="BQ54" s="57" t="n">
        <f aca="false">(1-EXP(-r_minor*rr_asa_minor*dt))</f>
        <v>0.0278181950466747</v>
      </c>
      <c r="BR54" s="57" t="n">
        <f aca="false">BK54*BL54</f>
        <v>0.000344475715472501</v>
      </c>
      <c r="BS54" s="57" t="n">
        <f aca="false">BK54*BM54</f>
        <v>1.52595254131149E-005</v>
      </c>
      <c r="BT54" s="57" t="n">
        <f aca="false">BK54*BN54</f>
        <v>0.000141896059298485</v>
      </c>
      <c r="BU54" s="57" t="n">
        <f aca="false">BK54*BO54</f>
        <v>3.18157482995928E-005</v>
      </c>
      <c r="BV54" s="57" t="n">
        <f aca="false">BK54*BP54</f>
        <v>4.66270312395264E-005</v>
      </c>
      <c r="BW54" s="57" t="n">
        <f aca="false">BK54*BQ54</f>
        <v>0.000414714450476588</v>
      </c>
      <c r="BX54" s="57" t="n">
        <f aca="false">BR54*f_stroke_fatal_recur</f>
        <v>0.000128175968970163</v>
      </c>
      <c r="BY54" s="57" t="n">
        <f aca="false">BR54*(1-f_stroke_fatal_recur)*f_stroke_major</f>
        <v>7.20278155852786E-005</v>
      </c>
      <c r="BZ54" s="57" t="n">
        <f aca="false">BR54*(1-f_stroke_fatal_recur)*(1-f_stroke_major)</f>
        <v>0.00014427193091706</v>
      </c>
      <c r="CA54" s="57" t="n">
        <f aca="false">BS54*(1-f_bleed_fatal)</f>
        <v>1.39777252784132E-005</v>
      </c>
      <c r="CB54" s="57" t="n">
        <f aca="false">BT54*(1-f_bleed_fatal)</f>
        <v>0.000129976790317412</v>
      </c>
      <c r="CC54" s="57" t="n">
        <f aca="false">BU54*f_mi_fatal</f>
        <v>3.84970554425072E-006</v>
      </c>
      <c r="CD54" s="57" t="n">
        <f aca="false">BU54-CC54</f>
        <v>2.7966042755342E-005</v>
      </c>
      <c r="CE54" s="57" t="n">
        <f aca="false">BK54-BR54-BS54-BT54-CC54</f>
        <v>0.0144025477064422</v>
      </c>
      <c r="CF54" s="19" t="n">
        <f aca="false">BX54*c_stroke_fatal+BY54*c_stroke_major+BZ54*c_stroke_minor+BS54*c_ich+BT54*c_major_bleed+CC54*c_mi_fatal+CD54*c_mi_nonfatal+BV54*c_tia+BW54*c_minor_bleed</f>
        <v>13.8848248264215</v>
      </c>
      <c r="CG54" s="57" t="n">
        <f aca="false">dt*(CD54*dec_mi+CB54*dec_major_bleed+BW54*dec_minor_bleed+BV54*dec_tia)</f>
        <v>6.41187303187162E-006</v>
      </c>
      <c r="CH54" s="57" t="n">
        <f aca="false">I54*BJ54+BX54+BS54-CA54+BT54-CB54+CC54</f>
        <v>0.00123873537640586</v>
      </c>
      <c r="CI54" s="57" t="n">
        <f aca="false">1-EXP(LN(1-E54)*dt)</f>
        <v>0.0303072797491967</v>
      </c>
      <c r="CJ54" s="57" t="n">
        <f aca="false">J54*(1-CI54)</f>
        <v>0.0878167990021445</v>
      </c>
      <c r="CK54" s="57" t="n">
        <f aca="false">(1-EXP(-r_stroke*F54*rr_asa_stroke*dt))</f>
        <v>0.0105700448587948</v>
      </c>
      <c r="CL54" s="57" t="n">
        <f aca="false">(1-EXP(-r_ich*rr_asa_ich*dt))</f>
        <v>0.00102357767802375</v>
      </c>
      <c r="CM54" s="57" t="n">
        <f aca="false">(1-EXP(-r_mb*rr_asa_mb*dt))</f>
        <v>0.00951809672747972</v>
      </c>
      <c r="CN54" s="57" t="n">
        <f aca="false">(1-EXP(-r_mi*rr_asa_mi*dt))</f>
        <v>0.00213413516393479</v>
      </c>
      <c r="CO54" s="57" t="n">
        <f aca="false">(1-EXP(-r_tia*rr_asa_tia*dt))</f>
        <v>0.00312764565589152</v>
      </c>
      <c r="CP54" s="57" t="n">
        <f aca="false">(1-EXP(-r_minor*rr_asa_minor*dt))</f>
        <v>0.0278181950466747</v>
      </c>
      <c r="CQ54" s="57" t="n">
        <f aca="false">CJ54*CK54</f>
        <v>0.00092822750480843</v>
      </c>
      <c r="CR54" s="57" t="n">
        <f aca="false">CJ54*CL54</f>
        <v>8.98873152140931E-005</v>
      </c>
      <c r="CS54" s="57" t="n">
        <f aca="false">CJ54*CM54</f>
        <v>0.000835848787200056</v>
      </c>
      <c r="CT54" s="57" t="n">
        <f aca="false">CJ54*CN54</f>
        <v>0.00018741291873467</v>
      </c>
      <c r="CU54" s="57" t="n">
        <f aca="false">CJ54*CO54</f>
        <v>0.000274659829913356</v>
      </c>
      <c r="CV54" s="57" t="n">
        <f aca="false">CJ54*CP54</f>
        <v>0.00244290484301628</v>
      </c>
      <c r="CW54" s="57" t="n">
        <f aca="false">CQ54*f_stroke_fatal</f>
        <v>0.000219989918639598</v>
      </c>
      <c r="CX54" s="57" t="n">
        <f aca="false">CQ54*(1-f_stroke_fatal)*f_stroke_major</f>
        <v>0.000235843116194221</v>
      </c>
      <c r="CY54" s="57" t="n">
        <f aca="false">CQ54*(1-f_stroke_fatal)*(1-f_stroke_major)</f>
        <v>0.000472394469974611</v>
      </c>
      <c r="CZ54" s="57" t="n">
        <f aca="false">CR54*(1-f_bleed_fatal)</f>
        <v>8.23367807361093E-005</v>
      </c>
      <c r="DA54" s="57" t="n">
        <f aca="false">CS54*(1-f_bleed_fatal)</f>
        <v>0.000765637489075251</v>
      </c>
      <c r="DB54" s="57" t="n">
        <f aca="false">CT54*f_mi_fatal</f>
        <v>2.26769631668951E-005</v>
      </c>
      <c r="DC54" s="57" t="n">
        <f aca="false">CT54-DB54</f>
        <v>0.000164735955567775</v>
      </c>
      <c r="DD54" s="57" t="n">
        <f aca="false">CJ54-CQ54-CR54-CS54-DB54</f>
        <v>0.085940158431755</v>
      </c>
      <c r="DE54" s="19" t="n">
        <f aca="false">CW54*c_stroke_fatal+CX54*c_stroke_major+CY54*c_stroke_minor+CR54*c_ich+CS54*c_major_bleed+DB54*c_mi_fatal+DC54*c_mi_nonfatal+CU54*c_tia+CV54*c_minor_bleed</f>
        <v>46.1210641642954</v>
      </c>
      <c r="DF54" s="57" t="n">
        <f aca="false">dt*(DC54*dec_mi+DA54*dec_major_bleed+CV54*dec_minor_bleed+CU54*dec_tia)</f>
        <v>3.77695922202956E-005</v>
      </c>
      <c r="DG54" s="57" t="n">
        <f aca="false">J54*CI54+CW54+CR54-CZ54+CS54-DA54+DB54</f>
        <v>0.00306510054544932</v>
      </c>
      <c r="DH54" s="57" t="n">
        <f aca="false">AG54</f>
        <v>0.204690384362518</v>
      </c>
      <c r="DI54" s="57" t="n">
        <f aca="false">AB54+AC54+BF54+BA54+BB54+BC54+CY54+CZ54</f>
        <v>0.0361040572767271</v>
      </c>
      <c r="DJ54" s="57" t="n">
        <f aca="false">AA54+AZ54+BY54+CX54+CE54+BZ54+CA54+CB54</f>
        <v>0.0155136002535241</v>
      </c>
      <c r="DK54" s="57" t="n">
        <f aca="false">AD54+DD54+DA54</f>
        <v>0.0882993788598271</v>
      </c>
      <c r="DL54" s="57" t="n">
        <f aca="false">K54+AJ54+BI54+CH54+DG54</f>
        <v>0.655392579247405</v>
      </c>
      <c r="DM54" s="58" t="n">
        <f aca="false">SUM(DH54:DL54)</f>
        <v>1</v>
      </c>
      <c r="DN54" s="19" t="n">
        <f aca="false">dt*(G54*Warfarin!$H$2+(H54+I54+J54)*c_aspirin)</f>
        <v>22.0353935035703</v>
      </c>
      <c r="DO54" s="19" t="n">
        <f aca="false">dt*(H54*c_lt_minor_stroke+I54*c_lt_major_stroke)</f>
        <v>205.977612448831</v>
      </c>
      <c r="DP54" s="19" t="n">
        <f aca="false">AH54+BG54+CF54+DE54</f>
        <v>171.257311349026</v>
      </c>
      <c r="DQ54" s="19" t="n">
        <f aca="false">DN54+DO54+DP54</f>
        <v>399.270317301428</v>
      </c>
      <c r="DR54" s="57" t="n">
        <f aca="false">dt*(G54*(u_af-dec_per_year_over_70*MAX(B54-ref_age,0))+H54*(u_minor_stroke-dec_per_year_over_70*MAX(B54-ref_age,0))+I54*(u_major_stroke-dec_per_year_over_70*MAX(B54-ref_age,0))+J54*(u_af-dec_per_year_over_70*MAX(B54-ref_age,0)))-AI54-BH54-CG54-DF54</f>
        <v>0.0697407635586718</v>
      </c>
      <c r="DS54" s="57" t="n">
        <f aca="false">dt*(G54+H54+I54+J54)</f>
        <v>0.0897171407472647</v>
      </c>
      <c r="DT54" s="19" t="n">
        <f aca="false">DQ54*C54</f>
        <v>333.944671327098</v>
      </c>
      <c r="DU54" s="19" t="n">
        <f aca="false">DN54*C54</f>
        <v>18.4301259629017</v>
      </c>
      <c r="DV54" s="19" t="n">
        <f aca="false">DP54*C54</f>
        <v>143.237461119949</v>
      </c>
      <c r="DW54" s="19" t="n">
        <f aca="false">DO54*C54</f>
        <v>172.277084244247</v>
      </c>
      <c r="DX54" s="57" t="n">
        <f aca="false">DR54*C54</f>
        <v>0.0583302974338539</v>
      </c>
      <c r="DY54" s="57" t="n">
        <f aca="false">DS54*C54</f>
        <v>0.0750382880494311</v>
      </c>
      <c r="DZ54" s="57" t="n">
        <f aca="false">T54+AS54+BR54+CQ54</f>
        <v>0.00344257572101938</v>
      </c>
      <c r="EA54" s="57" t="n">
        <f aca="false">U54+AT54+BS54+CR54</f>
        <v>0.000558705101773021</v>
      </c>
      <c r="EB54" s="57" t="n">
        <f aca="false">V54+AU54+BT54+CS54</f>
        <v>0.00305044129268028</v>
      </c>
      <c r="EC54" s="57" t="n">
        <f aca="false">G54*dt*C54</f>
        <v>0.0449047875954247</v>
      </c>
    </row>
    <row r="55" customFormat="false" ht="15" hidden="false" customHeight="false" outlineLevel="0" collapsed="false">
      <c r="A55" s="8" t="n">
        <v>49</v>
      </c>
      <c r="B55" s="54" t="n">
        <f aca="false">start_age+A55*dt</f>
        <v>82.25</v>
      </c>
      <c r="C55" s="16" t="n">
        <f aca="false">(1+disc_rate)^-(A55*dt)</f>
        <v>0.83328004649169</v>
      </c>
      <c r="D55" s="55" t="n">
        <f aca="false">IF(A55*dt&gt;=wane_start,(1-wane_decay)^(A55*dt-wane_start),1)</f>
        <v>1</v>
      </c>
      <c r="E55" s="25" t="n">
        <f aca="false">MIN(p_nonvasc_death*MIN(EXP(gomp_int+gomp_slope*INT(B55)),1)/qx_ref,0.999)</f>
        <v>0.115828440791284</v>
      </c>
      <c r="F55" s="55" t="n">
        <f aca="false">rr_stroke_per_decade^((B55-ref_age)/10)</f>
        <v>1.64328084289394</v>
      </c>
      <c r="G55" s="57" t="n">
        <f aca="false">DH54</f>
        <v>0.204690384362518</v>
      </c>
      <c r="H55" s="57" t="n">
        <f aca="false">DI54</f>
        <v>0.0361040572767271</v>
      </c>
      <c r="I55" s="57" t="n">
        <f aca="false">DJ54</f>
        <v>0.0155136002535241</v>
      </c>
      <c r="J55" s="57" t="n">
        <f aca="false">DK54</f>
        <v>0.0882993788598271</v>
      </c>
      <c r="K55" s="57" t="n">
        <f aca="false">DL54</f>
        <v>0.655392579247405</v>
      </c>
      <c r="L55" s="57" t="n">
        <f aca="false">1-EXP(LN(1-E55)*dt)</f>
        <v>0.0303072797491967</v>
      </c>
      <c r="M55" s="57" t="n">
        <f aca="false">G55*(1-L55)</f>
        <v>0.198486775621672</v>
      </c>
      <c r="N55" s="57" t="n">
        <f aca="false">IF(Warfarin!$B$2=1,EXP(LN(or_apx_stroke)*D55)*(1-EXP(-r_stroke*F55*dt))/(1-(1-EXP(-r_stroke*F55*dt))+EXP(LN(or_apx_stroke)*D55)*(1-EXP(-r_stroke*F55*dt))),(1-EXP(-r_stroke*F55*dt)))</f>
        <v>0.00660437072626141</v>
      </c>
      <c r="O55" s="57" t="n">
        <f aca="false">IF(Warfarin!$B$2=1,EXP(LN(or_apx_ich)*D55)*(1-EXP(-r_ich*dt))/(1-(1-EXP(-r_ich*dt))+EXP(LN(or_apx_ich)*D55)*(1-EXP(-r_ich*dt))),(1-EXP(-r_ich*dt)))</f>
        <v>0.0020060281549299</v>
      </c>
      <c r="P55" s="57" t="n">
        <f aca="false">IF(Warfarin!$B$2=1,EXP(LN(or_apx_mb)*D55)*(1-EXP(-r_mb*dt))/(1-(1-EXP(-r_mb*dt))+EXP(LN(or_apx_mb)*D55)*(1-EXP(-r_mb*dt))),(1-EXP(-r_mb*dt)))</f>
        <v>0.00835410477572107</v>
      </c>
      <c r="Q55" s="57" t="n">
        <f aca="false">IF(Warfarin!$B$2=1,EXP(LN(or_apx_mi)*D55)*(1-EXP(-r_mi*dt))/(1-(1-EXP(-r_mi*dt))+EXP(LN(or_apx_mi)*D55)*(1-EXP(-r_mi*dt))),(1-EXP(-r_mi*dt)))</f>
        <v>0.00150338686144691</v>
      </c>
      <c r="R55" s="57" t="n">
        <f aca="false">(1-EXP(-r_tia*dt))</f>
        <v>0.0020060281549299</v>
      </c>
      <c r="S55" s="57" t="n">
        <f aca="false">(1-EXP(-r_minor*dt))</f>
        <v>0.0437937690785545</v>
      </c>
      <c r="T55" s="57" t="n">
        <f aca="false">M55*N55</f>
        <v>0.00131088025046579</v>
      </c>
      <c r="U55" s="57" t="n">
        <f aca="false">M55*O55</f>
        <v>0.000398170060278327</v>
      </c>
      <c r="V55" s="57" t="n">
        <f aca="false">M55*P55</f>
        <v>0.00165817932013849</v>
      </c>
      <c r="W55" s="57" t="n">
        <f aca="false">M55*Q55</f>
        <v>0.000298402410640583</v>
      </c>
      <c r="X55" s="57" t="n">
        <f aca="false">M55*R55</f>
        <v>0.000398170060278327</v>
      </c>
      <c r="Y55" s="57" t="n">
        <f aca="false">M55*S55</f>
        <v>0.00869248401672237</v>
      </c>
      <c r="Z55" s="57" t="n">
        <f aca="false">T55*f_stroke_fatal</f>
        <v>0.000310678619360392</v>
      </c>
      <c r="AA55" s="57" t="n">
        <f aca="false">T55*(1-f_stroke_fatal)*f_stroke_major</f>
        <v>0.000333067143158097</v>
      </c>
      <c r="AB55" s="57" t="n">
        <f aca="false">T55*(1-f_stroke_fatal)*(1-f_stroke_major)</f>
        <v>0.0006671344879473</v>
      </c>
      <c r="AC55" s="57" t="n">
        <f aca="false">U55*(1-f_bleed_fatal)</f>
        <v>0.000364723775214948</v>
      </c>
      <c r="AD55" s="57" t="n">
        <f aca="false">V55*(1-f_bleed_fatal)</f>
        <v>0.00151889225724686</v>
      </c>
      <c r="AE55" s="57" t="n">
        <f aca="false">W55*f_mi_fatal</f>
        <v>3.61066916875105E-005</v>
      </c>
      <c r="AF55" s="57" t="n">
        <f aca="false">W55-AE55</f>
        <v>0.000262295718953072</v>
      </c>
      <c r="AG55" s="57" t="n">
        <f aca="false">M55-T55-U55-V55-AE55</f>
        <v>0.195083439299102</v>
      </c>
      <c r="AH55" s="19" t="n">
        <f aca="false">Z55*c_stroke_fatal+AA55*c_stroke_major+AB55*c_stroke_minor+U55*c_ich+V55*c_major_bleed+AE55*c_mi_fatal+AF55*c_mi_nonfatal+X55*c_tia+Y55*c_minor_bleed</f>
        <v>75.4686129420506</v>
      </c>
      <c r="AI55" s="57" t="n">
        <f aca="false">dt*(AF55*dec_mi+AD55*dec_major_bleed+Y55*dec_minor_bleed+X55*dec_tia)</f>
        <v>8.16347152404758E-005</v>
      </c>
      <c r="AJ55" s="57" t="n">
        <f aca="false">G55*L55+Z55+U55-AC55+V55-AD55+AE55</f>
        <v>0.00672312739984833</v>
      </c>
      <c r="AK55" s="57" t="n">
        <f aca="false">1-EXP(LN(1-E55)*hr_death_prior_stroke*dt)</f>
        <v>0.0683377233826246</v>
      </c>
      <c r="AL55" s="57" t="n">
        <f aca="false">H55*(1-AK55)</f>
        <v>0.0336367881975597</v>
      </c>
      <c r="AM55" s="57" t="n">
        <f aca="false">(1-EXP(-r_stroke*F55*rr_stroke_prior*rr_asa_stroke*dt))</f>
        <v>0.0233393713821529</v>
      </c>
      <c r="AN55" s="57" t="n">
        <f aca="false">(1-EXP(-r_ich*rr_asa_ich*dt))</f>
        <v>0.00102357767802375</v>
      </c>
      <c r="AO55" s="57" t="n">
        <f aca="false">(1-EXP(-r_mb*rr_asa_mb*dt))</f>
        <v>0.00951809672747972</v>
      </c>
      <c r="AP55" s="57" t="n">
        <f aca="false">(1-EXP(-r_mi*rr_asa_mi*dt))</f>
        <v>0.00213413516393479</v>
      </c>
      <c r="AQ55" s="57" t="n">
        <f aca="false">(1-EXP(-r_tia*rr_asa_tia*dt))</f>
        <v>0.00312764565589152</v>
      </c>
      <c r="AR55" s="57" t="n">
        <f aca="false">(1-EXP(-r_minor*rr_asa_minor*dt))</f>
        <v>0.0278181950466747</v>
      </c>
      <c r="AS55" s="57" t="n">
        <f aca="false">AL55*AM55</f>
        <v>0.000785061491845664</v>
      </c>
      <c r="AT55" s="57" t="n">
        <f aca="false">AL55*AN55</f>
        <v>3.44298655594347E-005</v>
      </c>
      <c r="AU55" s="57" t="n">
        <f aca="false">AL55*AO55</f>
        <v>0.000320158203666121</v>
      </c>
      <c r="AV55" s="57" t="n">
        <f aca="false">AL55*AP55</f>
        <v>7.17854524942389E-005</v>
      </c>
      <c r="AW55" s="57" t="n">
        <f aca="false">AL55*AQ55</f>
        <v>0.000105203954484241</v>
      </c>
      <c r="AX55" s="57" t="n">
        <f aca="false">AL55*AR55</f>
        <v>0.000935714734823401</v>
      </c>
      <c r="AY55" s="57" t="n">
        <f aca="false">AS55*f_stroke_fatal_recur</f>
        <v>0.000292113530500853</v>
      </c>
      <c r="AZ55" s="57" t="n">
        <f aca="false">AS55*(1-f_stroke_fatal_recur)*f_stroke_major</f>
        <v>0.000164151671127822</v>
      </c>
      <c r="BA55" s="57" t="n">
        <f aca="false">AS55*(1-f_stroke_fatal_recur)*(1-f_stroke_major)</f>
        <v>0.000328796290216989</v>
      </c>
      <c r="BB55" s="57" t="n">
        <f aca="false">AT55*(1-f_bleed_fatal)</f>
        <v>3.15377568524422E-005</v>
      </c>
      <c r="BC55" s="57" t="n">
        <f aca="false">AU55*(1-f_bleed_fatal)</f>
        <v>0.000293264914558167</v>
      </c>
      <c r="BD55" s="57" t="n">
        <f aca="false">AV55*f_mi_fatal</f>
        <v>8.68603975180291E-006</v>
      </c>
      <c r="BE55" s="57" t="n">
        <f aca="false">AV55-BD55</f>
        <v>6.3099412742436E-005</v>
      </c>
      <c r="BF55" s="57" t="n">
        <f aca="false">AL55-AS55-AT55-AU55-BD55</f>
        <v>0.0324884525967367</v>
      </c>
      <c r="BG55" s="19" t="n">
        <f aca="false">AY55*c_stroke_fatal+AZ55*c_stroke_major+BA55*c_stroke_minor+AT55*c_ich+AU55*c_major_bleed+BD55*c_mi_fatal+BE55*c_mi_nonfatal+AW55*c_tia+AX55*c_minor_bleed</f>
        <v>31.5979653244394</v>
      </c>
      <c r="BH55" s="57" t="n">
        <f aca="false">dt*(BE55*dec_mi+BC55*dec_major_bleed+AX55*dec_minor_bleed+AW55*dec_tia)</f>
        <v>1.44670243991842E-005</v>
      </c>
      <c r="BI55" s="57" t="n">
        <f aca="false">H55*AK55+AY55+AT55-BB55+AU55-BC55+BD55</f>
        <v>0.00279785404723501</v>
      </c>
      <c r="BJ55" s="57" t="n">
        <f aca="false">1-EXP(LN(1-E55)*hr_death_prior_stroke*dt)</f>
        <v>0.0683377233826246</v>
      </c>
      <c r="BK55" s="57" t="n">
        <f aca="false">I55*(1-BJ55)</f>
        <v>0.0144534361307302</v>
      </c>
      <c r="BL55" s="57" t="n">
        <f aca="false">(1-EXP(-r_stroke*F55*rr_stroke_prior*rr_asa_stroke*dt))</f>
        <v>0.0233393713821529</v>
      </c>
      <c r="BM55" s="57" t="n">
        <f aca="false">(1-EXP(-r_ich*rr_asa_ich*dt))</f>
        <v>0.00102357767802375</v>
      </c>
      <c r="BN55" s="57" t="n">
        <f aca="false">(1-EXP(-r_mb*rr_asa_mb*dt))</f>
        <v>0.00951809672747972</v>
      </c>
      <c r="BO55" s="57" t="n">
        <f aca="false">(1-EXP(-r_mi*rr_asa_mi*dt))</f>
        <v>0.00213413516393479</v>
      </c>
      <c r="BP55" s="57" t="n">
        <f aca="false">(1-EXP(-r_tia*rr_asa_tia*dt))</f>
        <v>0.00312764565589152</v>
      </c>
      <c r="BQ55" s="57" t="n">
        <f aca="false">(1-EXP(-r_minor*rr_asa_minor*dt))</f>
        <v>0.0278181950466747</v>
      </c>
      <c r="BR55" s="57" t="n">
        <f aca="false">BK55*BL55</f>
        <v>0.000337334113603339</v>
      </c>
      <c r="BS55" s="57" t="n">
        <f aca="false">BK55*BM55</f>
        <v>1.47942145941573E-005</v>
      </c>
      <c r="BT55" s="57" t="n">
        <f aca="false">BK55*BN55</f>
        <v>0.00013756920313674</v>
      </c>
      <c r="BU55" s="57" t="n">
        <f aca="false">BK55*BO55</f>
        <v>3.08455862862769E-005</v>
      </c>
      <c r="BV55" s="57" t="n">
        <f aca="false">BK55*BP55</f>
        <v>4.52052267269838E-005</v>
      </c>
      <c r="BW55" s="57" t="n">
        <f aca="false">BK55*BQ55</f>
        <v>0.000402068505379308</v>
      </c>
      <c r="BX55" s="57" t="n">
        <f aca="false">BR55*f_stroke_fatal_recur</f>
        <v>0.000125518650330666</v>
      </c>
      <c r="BY55" s="57" t="n">
        <f aca="false">BR55*(1-f_stroke_fatal_recur)*f_stroke_major</f>
        <v>7.05345492698E-005</v>
      </c>
      <c r="BZ55" s="57" t="n">
        <f aca="false">BR55*(1-f_stroke_fatal_recur)*(1-f_stroke_major)</f>
        <v>0.000141280914002873</v>
      </c>
      <c r="CA55" s="57" t="n">
        <f aca="false">BS55*(1-f_bleed_fatal)</f>
        <v>1.35515005682481E-005</v>
      </c>
      <c r="CB55" s="57" t="n">
        <f aca="false">BT55*(1-f_bleed_fatal)</f>
        <v>0.000126013390073254</v>
      </c>
      <c r="CC55" s="57" t="n">
        <f aca="false">BU55*f_mi_fatal</f>
        <v>3.73231594063951E-006</v>
      </c>
      <c r="CD55" s="57" t="n">
        <f aca="false">BU55-CC55</f>
        <v>2.71132703456374E-005</v>
      </c>
      <c r="CE55" s="57" t="n">
        <f aca="false">BK55-BR55-BS55-BT55-CC55</f>
        <v>0.0139600062834553</v>
      </c>
      <c r="CF55" s="19" t="n">
        <f aca="false">BX55*c_stroke_fatal+BY55*c_stroke_major+BZ55*c_stroke_minor+BS55*c_ich+BT55*c_major_bleed+CC55*c_mi_fatal+CD55*c_mi_nonfatal+BV55*c_tia+BW55*c_minor_bleed</f>
        <v>13.5773716264309</v>
      </c>
      <c r="CG55" s="57" t="n">
        <f aca="false">dt*(CD55*dec_mi+CB55*dec_major_bleed+BW55*dec_minor_bleed+BV55*dec_tia)</f>
        <v>6.21635490068859E-006</v>
      </c>
      <c r="CH55" s="57" t="n">
        <f aca="false">I55*BJ55+BX55+BS55-CA55+BT55-CB55+CC55</f>
        <v>0.00120221361615465</v>
      </c>
      <c r="CI55" s="57" t="n">
        <f aca="false">1-EXP(LN(1-E55)*dt)</f>
        <v>0.0303072797491967</v>
      </c>
      <c r="CJ55" s="57" t="n">
        <f aca="false">J55*(1-CI55)</f>
        <v>0.085623264883042</v>
      </c>
      <c r="CK55" s="57" t="n">
        <f aca="false">(1-EXP(-r_stroke*F55*rr_asa_stroke*dt))</f>
        <v>0.0106771573947936</v>
      </c>
      <c r="CL55" s="57" t="n">
        <f aca="false">(1-EXP(-r_ich*rr_asa_ich*dt))</f>
        <v>0.00102357767802375</v>
      </c>
      <c r="CM55" s="57" t="n">
        <f aca="false">(1-EXP(-r_mb*rr_asa_mb*dt))</f>
        <v>0.00951809672747972</v>
      </c>
      <c r="CN55" s="57" t="n">
        <f aca="false">(1-EXP(-r_mi*rr_asa_mi*dt))</f>
        <v>0.00213413516393479</v>
      </c>
      <c r="CO55" s="57" t="n">
        <f aca="false">(1-EXP(-r_tia*rr_asa_tia*dt))</f>
        <v>0.00312764565589152</v>
      </c>
      <c r="CP55" s="57" t="n">
        <f aca="false">(1-EXP(-r_minor*rr_asa_minor*dt))</f>
        <v>0.0278181950466747</v>
      </c>
      <c r="CQ55" s="57" t="n">
        <f aca="false">CJ55*CK55</f>
        <v>0.000914213075812341</v>
      </c>
      <c r="CR55" s="57" t="n">
        <f aca="false">CJ55*CL55</f>
        <v>8.76420626537963E-005</v>
      </c>
      <c r="CS55" s="57" t="n">
        <f aca="false">CJ55*CM55</f>
        <v>0.000814970517279411</v>
      </c>
      <c r="CT55" s="57" t="n">
        <f aca="false">CJ55*CN55</f>
        <v>0.000182731620437803</v>
      </c>
      <c r="CU55" s="57" t="n">
        <f aca="false">CJ55*CO55</f>
        <v>0.000267799232454695</v>
      </c>
      <c r="CV55" s="57" t="n">
        <f aca="false">CJ55*CP55</f>
        <v>0.00238188468304956</v>
      </c>
      <c r="CW55" s="57" t="n">
        <f aca="false">CQ55*f_stroke_fatal</f>
        <v>0.000216668498967525</v>
      </c>
      <c r="CX55" s="57" t="n">
        <f aca="false">CQ55*(1-f_stroke_fatal)*f_stroke_major</f>
        <v>0.000232282344089324</v>
      </c>
      <c r="CY55" s="57" t="n">
        <f aca="false">CQ55*(1-f_stroke_fatal)*(1-f_stroke_major)</f>
        <v>0.000465262232755493</v>
      </c>
      <c r="CZ55" s="57" t="n">
        <f aca="false">CR55*(1-f_bleed_fatal)</f>
        <v>8.02801293908774E-005</v>
      </c>
      <c r="DA55" s="57" t="n">
        <f aca="false">CS55*(1-f_bleed_fatal)</f>
        <v>0.000746512993827941</v>
      </c>
      <c r="DB55" s="57" t="n">
        <f aca="false">CT55*f_mi_fatal</f>
        <v>2.21105260729742E-005</v>
      </c>
      <c r="DC55" s="57" t="n">
        <f aca="false">CT55-DB55</f>
        <v>0.000160621094364829</v>
      </c>
      <c r="DD55" s="57" t="n">
        <f aca="false">CJ55-CQ55-CR55-CS55-DB55</f>
        <v>0.0837843287012235</v>
      </c>
      <c r="DE55" s="19" t="n">
        <f aca="false">CW55*c_stroke_fatal+CX55*c_stroke_major+CY55*c_stroke_minor+CR55*c_ich+CS55*c_major_bleed+DB55*c_mi_fatal+DC55*c_mi_nonfatal+CU55*c_tia+CV55*c_minor_bleed</f>
        <v>45.3078867368355</v>
      </c>
      <c r="DF55" s="57" t="n">
        <f aca="false">dt*(DC55*dec_mi+DA55*dec_major_bleed+CV55*dec_minor_bleed+CU55*dec_tia)</f>
        <v>3.6826163512563E-005</v>
      </c>
      <c r="DG55" s="57" t="n">
        <f aca="false">J55*CI55+CW55+CR55-CZ55+CS55-DA55+DB55</f>
        <v>0.00299071245853997</v>
      </c>
      <c r="DH55" s="57" t="n">
        <f aca="false">AG55</f>
        <v>0.195083439299102</v>
      </c>
      <c r="DI55" s="57" t="n">
        <f aca="false">AB55+AC55+BF55+BA55+BB55+BC55+CY55+CZ55</f>
        <v>0.0347194521836729</v>
      </c>
      <c r="DJ55" s="57" t="n">
        <f aca="false">AA55+AZ55+BY55+CX55+CE55+BZ55+CA55+CB55</f>
        <v>0.0150408877957447</v>
      </c>
      <c r="DK55" s="57" t="n">
        <f aca="false">AD55+DD55+DA55</f>
        <v>0.0860497339522983</v>
      </c>
      <c r="DL55" s="57" t="n">
        <f aca="false">K55+AJ55+BI55+CH55+DG55</f>
        <v>0.669106486769183</v>
      </c>
      <c r="DM55" s="58" t="n">
        <f aca="false">SUM(DH55:DL55)</f>
        <v>1</v>
      </c>
      <c r="DN55" s="19" t="n">
        <f aca="false">dt*(G55*Warfarin!$H$2+(H55+I55+J55)*c_aspirin)</f>
        <v>21.027577119915</v>
      </c>
      <c r="DO55" s="19" t="n">
        <f aca="false">dt*(H55*c_lt_minor_stroke+I55*c_lt_major_stroke)</f>
        <v>198.884161660764</v>
      </c>
      <c r="DP55" s="19" t="n">
        <f aca="false">AH55+BG55+CF55+DE55</f>
        <v>165.951836629756</v>
      </c>
      <c r="DQ55" s="19" t="n">
        <f aca="false">DN55+DO55+DP55</f>
        <v>385.863575410436</v>
      </c>
      <c r="DR55" s="57" t="n">
        <f aca="false">dt*(G55*(u_af-dec_per_year_over_70*MAX(B55-ref_age,0))+H55*(u_minor_stroke-dec_per_year_over_70*MAX(B55-ref_age,0))+I55*(u_major_stroke-dec_per_year_over_70*MAX(B55-ref_age,0))+J55*(u_af-dec_per_year_over_70*MAX(B55-ref_age,0)))-AI55-BH55-CG55-DF55</f>
        <v>0.0669446949293829</v>
      </c>
      <c r="DS55" s="57" t="n">
        <f aca="false">dt*(G55+H55+I55+J55)</f>
        <v>0.086151855188149</v>
      </c>
      <c r="DT55" s="19" t="n">
        <f aca="false">DQ55*C55</f>
        <v>321.532418057458</v>
      </c>
      <c r="DU55" s="19" t="n">
        <f aca="false">DN55*C55</f>
        <v>17.5218604400904</v>
      </c>
      <c r="DV55" s="19" t="n">
        <f aca="false">DP55*C55</f>
        <v>138.284354142225</v>
      </c>
      <c r="DW55" s="19" t="n">
        <f aca="false">DO55*C55</f>
        <v>165.726203475142</v>
      </c>
      <c r="DX55" s="57" t="n">
        <f aca="false">DR55*C55</f>
        <v>0.0557836785031282</v>
      </c>
      <c r="DY55" s="57" t="n">
        <f aca="false">DS55*C55</f>
        <v>0.0717886218965262</v>
      </c>
      <c r="DZ55" s="57" t="n">
        <f aca="false">T55+AS55+BR55+CQ55</f>
        <v>0.00334748893172713</v>
      </c>
      <c r="EA55" s="57" t="n">
        <f aca="false">U55+AT55+BS55+CR55</f>
        <v>0.000535036203085716</v>
      </c>
      <c r="EB55" s="57" t="n">
        <f aca="false">V55+AU55+BT55+CS55</f>
        <v>0.00293087724422076</v>
      </c>
      <c r="EC55" s="57" t="n">
        <f aca="false">G55*dt*C55</f>
        <v>0.0426411032495002</v>
      </c>
    </row>
    <row r="56" customFormat="false" ht="15" hidden="false" customHeight="false" outlineLevel="0" collapsed="false">
      <c r="A56" s="8" t="n">
        <v>50</v>
      </c>
      <c r="B56" s="54" t="n">
        <f aca="false">start_age+A56*dt</f>
        <v>82.5</v>
      </c>
      <c r="C56" s="16" t="n">
        <f aca="false">(1+disc_rate)^-(A56*dt)</f>
        <v>0.830184215716283</v>
      </c>
      <c r="D56" s="55" t="n">
        <f aca="false">IF(A56*dt&gt;=wane_start,(1-wane_decay)^(A56*dt-wane_start),1)</f>
        <v>1</v>
      </c>
      <c r="E56" s="25" t="n">
        <f aca="false">MIN(p_nonvasc_death*MIN(EXP(gomp_int+gomp_slope*INT(B56)),1)/qx_ref,0.999)</f>
        <v>0.115828440791284</v>
      </c>
      <c r="F56" s="55" t="n">
        <f aca="false">rr_stroke_per_decade^((B56-ref_age)/10)</f>
        <v>1.66002287955048</v>
      </c>
      <c r="G56" s="57" t="n">
        <f aca="false">DH55</f>
        <v>0.195083439299102</v>
      </c>
      <c r="H56" s="57" t="n">
        <f aca="false">DI55</f>
        <v>0.0347194521836729</v>
      </c>
      <c r="I56" s="57" t="n">
        <f aca="false">DJ55</f>
        <v>0.0150408877957447</v>
      </c>
      <c r="J56" s="57" t="n">
        <f aca="false">DK55</f>
        <v>0.0860497339522983</v>
      </c>
      <c r="K56" s="57" t="n">
        <f aca="false">DL55</f>
        <v>0.669106486769183</v>
      </c>
      <c r="L56" s="57" t="n">
        <f aca="false">1-EXP(LN(1-E56)*dt)</f>
        <v>0.0303072797491967</v>
      </c>
      <c r="M56" s="57" t="n">
        <f aca="false">G56*(1-L56)</f>
        <v>0.189170990929829</v>
      </c>
      <c r="N56" s="57" t="n">
        <f aca="false">IF(Warfarin!$B$2=1,EXP(LN(or_apx_stroke)*D56)*(1-EXP(-r_stroke*F56*dt))/(1-(1-EXP(-r_stroke*F56*dt))+EXP(LN(or_apx_stroke)*D56)*(1-EXP(-r_stroke*F56*dt))),(1-EXP(-r_stroke*F56*dt)))</f>
        <v>0.00667143227953626</v>
      </c>
      <c r="O56" s="57" t="n">
        <f aca="false">IF(Warfarin!$B$2=1,EXP(LN(or_apx_ich)*D56)*(1-EXP(-r_ich*dt))/(1-(1-EXP(-r_ich*dt))+EXP(LN(or_apx_ich)*D56)*(1-EXP(-r_ich*dt))),(1-EXP(-r_ich*dt)))</f>
        <v>0.0020060281549299</v>
      </c>
      <c r="P56" s="57" t="n">
        <f aca="false">IF(Warfarin!$B$2=1,EXP(LN(or_apx_mb)*D56)*(1-EXP(-r_mb*dt))/(1-(1-EXP(-r_mb*dt))+EXP(LN(or_apx_mb)*D56)*(1-EXP(-r_mb*dt))),(1-EXP(-r_mb*dt)))</f>
        <v>0.00835410477572107</v>
      </c>
      <c r="Q56" s="57" t="n">
        <f aca="false">IF(Warfarin!$B$2=1,EXP(LN(or_apx_mi)*D56)*(1-EXP(-r_mi*dt))/(1-(1-EXP(-r_mi*dt))+EXP(LN(or_apx_mi)*D56)*(1-EXP(-r_mi*dt))),(1-EXP(-r_mi*dt)))</f>
        <v>0.00150338686144691</v>
      </c>
      <c r="R56" s="57" t="n">
        <f aca="false">(1-EXP(-r_tia*dt))</f>
        <v>0.0020060281549299</v>
      </c>
      <c r="S56" s="57" t="n">
        <f aca="false">(1-EXP(-r_minor*dt))</f>
        <v>0.0437937690785545</v>
      </c>
      <c r="T56" s="57" t="n">
        <f aca="false">M56*N56</f>
        <v>0.00126204145524112</v>
      </c>
      <c r="U56" s="57" t="n">
        <f aca="false">M56*O56</f>
        <v>0.000379482333901224</v>
      </c>
      <c r="V56" s="57" t="n">
        <f aca="false">M56*P56</f>
        <v>0.00158035427875477</v>
      </c>
      <c r="W56" s="57" t="n">
        <f aca="false">M56*Q56</f>
        <v>0.000284397182330797</v>
      </c>
      <c r="X56" s="57" t="n">
        <f aca="false">M56*R56</f>
        <v>0.000379482333901224</v>
      </c>
      <c r="Y56" s="57" t="n">
        <f aca="false">M56*S56</f>
        <v>0.00828451069314225</v>
      </c>
      <c r="Z56" s="57" t="n">
        <f aca="false">T56*f_stroke_fatal</f>
        <v>0.000299103824892146</v>
      </c>
      <c r="AA56" s="57" t="n">
        <f aca="false">T56*(1-f_stroke_fatal)*f_stroke_major</f>
        <v>0.000320658230906209</v>
      </c>
      <c r="AB56" s="57" t="n">
        <f aca="false">T56*(1-f_stroke_fatal)*(1-f_stroke_major)</f>
        <v>0.000642279399442767</v>
      </c>
      <c r="AC56" s="57" t="n">
        <f aca="false">U56*(1-f_bleed_fatal)</f>
        <v>0.000347605817853522</v>
      </c>
      <c r="AD56" s="57" t="n">
        <f aca="false">V56*(1-f_bleed_fatal)</f>
        <v>0.00144760451933937</v>
      </c>
      <c r="AE56" s="57" t="n">
        <f aca="false">W56*f_mi_fatal</f>
        <v>3.44120590620264E-005</v>
      </c>
      <c r="AF56" s="57" t="n">
        <f aca="false">W56-AE56</f>
        <v>0.000249985123268771</v>
      </c>
      <c r="AG56" s="57" t="n">
        <f aca="false">M56-T56-U56-V56-AE56</f>
        <v>0.18591470080287</v>
      </c>
      <c r="AH56" s="19" t="n">
        <f aca="false">Z56*c_stroke_fatal+AA56*c_stroke_major+AB56*c_stroke_minor+U56*c_ich+V56*c_major_bleed+AE56*c_mi_fatal+AF56*c_mi_nonfatal+X56*c_tia+Y56*c_minor_bleed</f>
        <v>72.395287999732</v>
      </c>
      <c r="AI56" s="57" t="n">
        <f aca="false">dt*(AF56*dec_mi+AD56*dec_major_bleed+Y56*dec_minor_bleed+X56*dec_tia)</f>
        <v>7.78032688976234E-005</v>
      </c>
      <c r="AJ56" s="57" t="n">
        <f aca="false">G56*L56+Z56+U56-AC56+V56-AD56+AE56</f>
        <v>0.00641059052869059</v>
      </c>
      <c r="AK56" s="57" t="n">
        <f aca="false">1-EXP(LN(1-E56)*hr_death_prior_stroke*dt)</f>
        <v>0.0683377233826246</v>
      </c>
      <c r="AL56" s="57" t="n">
        <f aca="false">H56*(1-AK56)</f>
        <v>0.0323468038643488</v>
      </c>
      <c r="AM56" s="57" t="n">
        <f aca="false">(1-EXP(-r_stroke*F56*rr_stroke_prior*rr_asa_stroke*dt))</f>
        <v>0.0235743320421314</v>
      </c>
      <c r="AN56" s="57" t="n">
        <f aca="false">(1-EXP(-r_ich*rr_asa_ich*dt))</f>
        <v>0.00102357767802375</v>
      </c>
      <c r="AO56" s="57" t="n">
        <f aca="false">(1-EXP(-r_mb*rr_asa_mb*dt))</f>
        <v>0.00951809672747972</v>
      </c>
      <c r="AP56" s="57" t="n">
        <f aca="false">(1-EXP(-r_mi*rr_asa_mi*dt))</f>
        <v>0.00213413516393479</v>
      </c>
      <c r="AQ56" s="57" t="n">
        <f aca="false">(1-EXP(-r_tia*rr_asa_tia*dt))</f>
        <v>0.00312764565589152</v>
      </c>
      <c r="AR56" s="57" t="n">
        <f aca="false">(1-EXP(-r_minor*rr_asa_minor*dt))</f>
        <v>0.0278181950466747</v>
      </c>
      <c r="AS56" s="57" t="n">
        <f aca="false">AL56*AM56</f>
        <v>0.000762554294799858</v>
      </c>
      <c r="AT56" s="57" t="n">
        <f aca="false">AL56*AN56</f>
        <v>3.31094663909597E-005</v>
      </c>
      <c r="AU56" s="57" t="n">
        <f aca="false">AL56*AO56</f>
        <v>0.000307880008005686</v>
      </c>
      <c r="AV56" s="57" t="n">
        <f aca="false">AL56*AP56</f>
        <v>6.90324515678085E-005</v>
      </c>
      <c r="AW56" s="57" t="n">
        <f aca="false">AL56*AQ56</f>
        <v>0.000101169340588305</v>
      </c>
      <c r="AX56" s="57" t="n">
        <f aca="false">AL56*AR56</f>
        <v>0.000899829699034985</v>
      </c>
      <c r="AY56" s="57" t="n">
        <f aca="false">AS56*f_stroke_fatal_recur</f>
        <v>0.000283738827552079</v>
      </c>
      <c r="AZ56" s="57" t="n">
        <f aca="false">AS56*(1-f_stroke_fatal_recur)*f_stroke_major</f>
        <v>0.00015944555059351</v>
      </c>
      <c r="BA56" s="57" t="n">
        <f aca="false">AS56*(1-f_stroke_fatal_recur)*(1-f_stroke_major)</f>
        <v>0.000319369916654269</v>
      </c>
      <c r="BB56" s="57" t="n">
        <f aca="false">AT56*(1-f_bleed_fatal)</f>
        <v>3.0328271214119E-005</v>
      </c>
      <c r="BC56" s="57" t="n">
        <f aca="false">AU56*(1-f_bleed_fatal)</f>
        <v>0.000282018087333209</v>
      </c>
      <c r="BD56" s="57" t="n">
        <f aca="false">AV56*f_mi_fatal</f>
        <v>8.35292663970483E-006</v>
      </c>
      <c r="BE56" s="57" t="n">
        <f aca="false">AV56-BD56</f>
        <v>6.06795249281037E-005</v>
      </c>
      <c r="BF56" s="57" t="n">
        <f aca="false">AL56-AS56-AT56-AU56-BD56</f>
        <v>0.0312349071685126</v>
      </c>
      <c r="BG56" s="19" t="n">
        <f aca="false">AY56*c_stroke_fatal+AZ56*c_stroke_major+BA56*c_stroke_minor+AT56*c_ich+AU56*c_major_bleed+BD56*c_mi_fatal+BE56*c_mi_nonfatal+AW56*c_tia+AX56*c_minor_bleed</f>
        <v>30.6482223472431</v>
      </c>
      <c r="BH56" s="57" t="n">
        <f aca="false">dt*(BE56*dec_mi+BC56*dec_major_bleed+AX56*dec_minor_bleed+AW56*dec_tia)</f>
        <v>1.39122082046796E-005</v>
      </c>
      <c r="BI56" s="57" t="n">
        <f aca="false">H56*AK56+AY56+AT56-BB56+AU56-BC56+BD56</f>
        <v>0.0026933831893652</v>
      </c>
      <c r="BJ56" s="57" t="n">
        <f aca="false">1-EXP(LN(1-E56)*hr_death_prior_stroke*dt)</f>
        <v>0.0683377233826246</v>
      </c>
      <c r="BK56" s="57" t="n">
        <f aca="false">I56*(1-BJ56)</f>
        <v>0.01401302776613</v>
      </c>
      <c r="BL56" s="57" t="n">
        <f aca="false">(1-EXP(-r_stroke*F56*rr_stroke_prior*rr_asa_stroke*dt))</f>
        <v>0.0235743320421314</v>
      </c>
      <c r="BM56" s="57" t="n">
        <f aca="false">(1-EXP(-r_ich*rr_asa_ich*dt))</f>
        <v>0.00102357767802375</v>
      </c>
      <c r="BN56" s="57" t="n">
        <f aca="false">(1-EXP(-r_mb*rr_asa_mb*dt))</f>
        <v>0.00951809672747972</v>
      </c>
      <c r="BO56" s="57" t="n">
        <f aca="false">(1-EXP(-r_mi*rr_asa_mi*dt))</f>
        <v>0.00213413516393479</v>
      </c>
      <c r="BP56" s="57" t="n">
        <f aca="false">(1-EXP(-r_tia*rr_asa_tia*dt))</f>
        <v>0.00312764565589152</v>
      </c>
      <c r="BQ56" s="57" t="n">
        <f aca="false">(1-EXP(-r_minor*rr_asa_minor*dt))</f>
        <v>0.0278181950466747</v>
      </c>
      <c r="BR56" s="57" t="n">
        <f aca="false">BK56*BL56</f>
        <v>0.000330347769474357</v>
      </c>
      <c r="BS56" s="57" t="n">
        <f aca="false">BK56*BM56</f>
        <v>1.43434224229377E-005</v>
      </c>
      <c r="BT56" s="57" t="n">
        <f aca="false">BK56*BN56</f>
        <v>0.000133377353722885</v>
      </c>
      <c r="BU56" s="57" t="n">
        <f aca="false">BK56*BO56</f>
        <v>2.99056953088927E-005</v>
      </c>
      <c r="BV56" s="57" t="n">
        <f aca="false">BK56*BP56</f>
        <v>4.38277854186239E-005</v>
      </c>
      <c r="BW56" s="57" t="n">
        <f aca="false">BK56*BQ56</f>
        <v>0.000389817139592674</v>
      </c>
      <c r="BX56" s="57" t="n">
        <f aca="false">BR56*f_stroke_fatal_recur</f>
        <v>0.000122919101543713</v>
      </c>
      <c r="BY56" s="57" t="n">
        <f aca="false">BR56*(1-f_stroke_fatal_recur)*f_stroke_major</f>
        <v>6.90737464209043E-005</v>
      </c>
      <c r="BZ56" s="57" t="n">
        <f aca="false">BR56*(1-f_stroke_fatal_recur)*(1-f_stroke_major)</f>
        <v>0.000138354921509739</v>
      </c>
      <c r="CA56" s="57" t="n">
        <f aca="false">BS56*(1-f_bleed_fatal)</f>
        <v>1.31385749394109E-005</v>
      </c>
      <c r="CB56" s="57" t="n">
        <f aca="false">BT56*(1-f_bleed_fatal)</f>
        <v>0.000122173656010162</v>
      </c>
      <c r="CC56" s="57" t="n">
        <f aca="false">BU56*f_mi_fatal</f>
        <v>3.61858913237602E-006</v>
      </c>
      <c r="CD56" s="57" t="n">
        <f aca="false">BU56-CC56</f>
        <v>2.62871061765167E-005</v>
      </c>
      <c r="CE56" s="57" t="n">
        <f aca="false">BK56-BR56-BS56-BT56-CC56</f>
        <v>0.0135313406313775</v>
      </c>
      <c r="CF56" s="19" t="n">
        <f aca="false">BX56*c_stroke_fatal+BY56*c_stroke_major+BZ56*c_stroke_minor+BS56*c_ich+BT56*c_major_bleed+CC56*c_mi_fatal+CD56*c_mi_nonfatal+BV56*c_tia+BW56*c_minor_bleed</f>
        <v>13.2771816509449</v>
      </c>
      <c r="CG56" s="57" t="n">
        <f aca="false">dt*(CD56*dec_mi+CB56*dec_major_bleed+BW56*dec_minor_bleed+BV56*dec_tia)</f>
        <v>6.02693733445564E-006</v>
      </c>
      <c r="CH56" s="57" t="n">
        <f aca="false">I56*BJ56+BX56+BS56-CA56+BT56-CB56+CC56</f>
        <v>0.00116680626548704</v>
      </c>
      <c r="CI56" s="57" t="n">
        <f aca="false">1-EXP(LN(1-E56)*dt)</f>
        <v>0.0303072797491967</v>
      </c>
      <c r="CJ56" s="57" t="n">
        <f aca="false">J56*(1-CI56)</f>
        <v>0.083441800593062</v>
      </c>
      <c r="CK56" s="57" t="n">
        <f aca="false">(1-EXP(-r_stroke*F56*rr_asa_stroke*dt))</f>
        <v>0.0107853494388376</v>
      </c>
      <c r="CL56" s="57" t="n">
        <f aca="false">(1-EXP(-r_ich*rr_asa_ich*dt))</f>
        <v>0.00102357767802375</v>
      </c>
      <c r="CM56" s="57" t="n">
        <f aca="false">(1-EXP(-r_mb*rr_asa_mb*dt))</f>
        <v>0.00951809672747972</v>
      </c>
      <c r="CN56" s="57" t="n">
        <f aca="false">(1-EXP(-r_mi*rr_asa_mi*dt))</f>
        <v>0.00213413516393479</v>
      </c>
      <c r="CO56" s="57" t="n">
        <f aca="false">(1-EXP(-r_tia*rr_asa_tia*dt))</f>
        <v>0.00312764565589152</v>
      </c>
      <c r="CP56" s="57" t="n">
        <f aca="false">(1-EXP(-r_minor*rr_asa_minor*dt))</f>
        <v>0.0278181950466747</v>
      </c>
      <c r="CQ56" s="57" t="n">
        <f aca="false">CJ56*CK56</f>
        <v>0.000899948977201979</v>
      </c>
      <c r="CR56" s="57" t="n">
        <f aca="false">CJ56*CL56</f>
        <v>8.54091645011669E-005</v>
      </c>
      <c r="CS56" s="57" t="n">
        <f aca="false">CJ56*CM56</f>
        <v>0.000794207129159839</v>
      </c>
      <c r="CT56" s="57" t="n">
        <f aca="false">CJ56*CN56</f>
        <v>0.000178076080787689</v>
      </c>
      <c r="CU56" s="57" t="n">
        <f aca="false">CJ56*CO56</f>
        <v>0.000260976385144657</v>
      </c>
      <c r="CV56" s="57" t="n">
        <f aca="false">CJ56*CP56</f>
        <v>0.00232120028394354</v>
      </c>
      <c r="CW56" s="57" t="n">
        <f aca="false">CQ56*f_stroke_fatal</f>
        <v>0.000213287907596869</v>
      </c>
      <c r="CX56" s="57" t="n">
        <f aca="false">CQ56*(1-f_stroke_fatal)*f_stroke_major</f>
        <v>0.000228658136178502</v>
      </c>
      <c r="CY56" s="57" t="n">
        <f aca="false">CQ56*(1-f_stroke_fatal)*(1-f_stroke_major)</f>
        <v>0.000458002933426608</v>
      </c>
      <c r="CZ56" s="57" t="n">
        <f aca="false">CR56*(1-f_bleed_fatal)</f>
        <v>7.82347946830689E-005</v>
      </c>
      <c r="DA56" s="57" t="n">
        <f aca="false">CS56*(1-f_bleed_fatal)</f>
        <v>0.000727493730310413</v>
      </c>
      <c r="DB56" s="57" t="n">
        <f aca="false">CT56*f_mi_fatal</f>
        <v>2.15472057753103E-005</v>
      </c>
      <c r="DC56" s="57" t="n">
        <f aca="false">CT56-DB56</f>
        <v>0.000156528875012378</v>
      </c>
      <c r="DD56" s="57" t="n">
        <f aca="false">CJ56-CQ56-CR56-CS56-DB56</f>
        <v>0.0816406881164237</v>
      </c>
      <c r="DE56" s="19" t="n">
        <f aca="false">CW56*c_stroke_fatal+CX56*c_stroke_major+CY56*c_stroke_minor+CR56*c_ich+CS56*c_major_bleed+DB56*c_mi_fatal+DC56*c_mi_nonfatal+CU56*c_tia+CV56*c_minor_bleed</f>
        <v>44.4871099107736</v>
      </c>
      <c r="DF56" s="57" t="n">
        <f aca="false">dt*(DC56*dec_mi+DA56*dec_major_bleed+CV56*dec_minor_bleed+CU56*dec_tia)</f>
        <v>3.58879259815677E-005</v>
      </c>
      <c r="DG56" s="57" t="n">
        <f aca="false">J56*CI56+CW56+CR56-CZ56+CS56-DA56+DB56</f>
        <v>0.00291665624127595</v>
      </c>
      <c r="DH56" s="57" t="n">
        <f aca="false">AG56</f>
        <v>0.18591470080287</v>
      </c>
      <c r="DI56" s="57" t="n">
        <f aca="false">AB56+AC56+BF56+BA56+BB56+BC56+CY56+CZ56</f>
        <v>0.0333927463891201</v>
      </c>
      <c r="DJ56" s="57" t="n">
        <f aca="false">AA56+AZ56+BY56+CX56+CE56+BZ56+CA56+CB56</f>
        <v>0.0145828434479359</v>
      </c>
      <c r="DK56" s="57" t="n">
        <f aca="false">AD56+DD56+DA56</f>
        <v>0.0838157863660735</v>
      </c>
      <c r="DL56" s="57" t="n">
        <f aca="false">K56+AJ56+BI56+CH56+DG56</f>
        <v>0.682293922994001</v>
      </c>
      <c r="DM56" s="58" t="n">
        <f aca="false">SUM(DH56:DL56)</f>
        <v>1</v>
      </c>
      <c r="DN56" s="19" t="n">
        <f aca="false">dt*(G56*Warfarin!$H$2+(H56+I56+J56)*c_aspirin)</f>
        <v>20.0646768452549</v>
      </c>
      <c r="DO56" s="19" t="n">
        <f aca="false">dt*(H56*c_lt_minor_stroke+I56*c_lt_major_stroke)</f>
        <v>192.054935869756</v>
      </c>
      <c r="DP56" s="19" t="n">
        <f aca="false">AH56+BG56+CF56+DE56</f>
        <v>160.807801908693</v>
      </c>
      <c r="DQ56" s="19" t="n">
        <f aca="false">DN56+DO56+DP56</f>
        <v>372.927414623705</v>
      </c>
      <c r="DR56" s="57" t="n">
        <f aca="false">dt*(G56*(u_af-dec_per_year_over_70*MAX(B56-ref_age,0))+H56*(u_minor_stroke-dec_per_year_over_70*MAX(B56-ref_age,0))+I56*(u_major_stroke-dec_per_year_over_70*MAX(B56-ref_age,0))+J56*(u_af-dec_per_year_over_70*MAX(B56-ref_age,0)))-AI56-BH56-CG56-DF56</f>
        <v>0.0642565121012797</v>
      </c>
      <c r="DS56" s="57" t="n">
        <f aca="false">dt*(G56+H56+I56+J56)</f>
        <v>0.0827233783077045</v>
      </c>
      <c r="DT56" s="19" t="n">
        <f aca="false">DQ56*C56</f>
        <v>309.598453228482</v>
      </c>
      <c r="DU56" s="19" t="n">
        <f aca="false">DN56*C56</f>
        <v>16.6573780103786</v>
      </c>
      <c r="DV56" s="19" t="n">
        <f aca="false">DP56*C56</f>
        <v>133.500098908628</v>
      </c>
      <c r="DW56" s="19" t="n">
        <f aca="false">DO56*C56</f>
        <v>159.440976309475</v>
      </c>
      <c r="DX56" s="57" t="n">
        <f aca="false">DR56*C56</f>
        <v>0.0533447421034647</v>
      </c>
      <c r="DY56" s="57" t="n">
        <f aca="false">DS56*C56</f>
        <v>0.0686756429417831</v>
      </c>
      <c r="DZ56" s="57" t="n">
        <f aca="false">T56+AS56+BR56+CQ56</f>
        <v>0.00325489249671731</v>
      </c>
      <c r="EA56" s="57" t="n">
        <f aca="false">U56+AT56+BS56+CR56</f>
        <v>0.000512344387216289</v>
      </c>
      <c r="EB56" s="57" t="n">
        <f aca="false">V56+AU56+BT56+CS56</f>
        <v>0.00281581876964318</v>
      </c>
      <c r="EC56" s="57" t="n">
        <f aca="false">G56*dt*C56</f>
        <v>0.0404887980134401</v>
      </c>
    </row>
    <row r="57" customFormat="false" ht="15" hidden="false" customHeight="false" outlineLevel="0" collapsed="false">
      <c r="A57" s="8" t="n">
        <v>51</v>
      </c>
      <c r="B57" s="54" t="n">
        <f aca="false">start_age+A57*dt</f>
        <v>82.75</v>
      </c>
      <c r="C57" s="16" t="n">
        <f aca="false">(1+disc_rate)^-(A57*dt)</f>
        <v>0.827099886678174</v>
      </c>
      <c r="D57" s="55" t="n">
        <f aca="false">IF(A57*dt&gt;=wane_start,(1-wane_decay)^(A57*dt-wane_start),1)</f>
        <v>1</v>
      </c>
      <c r="E57" s="25" t="n">
        <f aca="false">MIN(p_nonvasc_death*MIN(EXP(gomp_int+gomp_slope*INT(B57)),1)/qx_ref,0.999)</f>
        <v>0.115828440791284</v>
      </c>
      <c r="F57" s="55" t="n">
        <f aca="false">rr_stroke_per_decade^((B57-ref_age)/10)</f>
        <v>1.67693548704561</v>
      </c>
      <c r="G57" s="57" t="n">
        <f aca="false">DH56</f>
        <v>0.18591470080287</v>
      </c>
      <c r="H57" s="57" t="n">
        <f aca="false">DI56</f>
        <v>0.0333927463891201</v>
      </c>
      <c r="I57" s="57" t="n">
        <f aca="false">DJ56</f>
        <v>0.0145828434479359</v>
      </c>
      <c r="J57" s="57" t="n">
        <f aca="false">DK56</f>
        <v>0.0838157863660735</v>
      </c>
      <c r="K57" s="57" t="n">
        <f aca="false">DL56</f>
        <v>0.682293922994001</v>
      </c>
      <c r="L57" s="57" t="n">
        <f aca="false">1-EXP(LN(1-E57)*dt)</f>
        <v>0.0303072797491967</v>
      </c>
      <c r="M57" s="57" t="n">
        <f aca="false">G57*(1-L57)</f>
        <v>0.180280131956149</v>
      </c>
      <c r="N57" s="57" t="n">
        <f aca="false">IF(Warfarin!$B$2=1,EXP(LN(or_apx_stroke)*D57)*(1-EXP(-r_stroke*F57*dt))/(1-(1-EXP(-r_stroke*F57*dt))+EXP(LN(or_apx_stroke)*D57)*(1-EXP(-r_stroke*F57*dt))),(1-EXP(-r_stroke*F57*dt)))</f>
        <v>0.00673917247123912</v>
      </c>
      <c r="O57" s="57" t="n">
        <f aca="false">IF(Warfarin!$B$2=1,EXP(LN(or_apx_ich)*D57)*(1-EXP(-r_ich*dt))/(1-(1-EXP(-r_ich*dt))+EXP(LN(or_apx_ich)*D57)*(1-EXP(-r_ich*dt))),(1-EXP(-r_ich*dt)))</f>
        <v>0.0020060281549299</v>
      </c>
      <c r="P57" s="57" t="n">
        <f aca="false">IF(Warfarin!$B$2=1,EXP(LN(or_apx_mb)*D57)*(1-EXP(-r_mb*dt))/(1-(1-EXP(-r_mb*dt))+EXP(LN(or_apx_mb)*D57)*(1-EXP(-r_mb*dt))),(1-EXP(-r_mb*dt)))</f>
        <v>0.00835410477572107</v>
      </c>
      <c r="Q57" s="57" t="n">
        <f aca="false">IF(Warfarin!$B$2=1,EXP(LN(or_apx_mi)*D57)*(1-EXP(-r_mi*dt))/(1-(1-EXP(-r_mi*dt))+EXP(LN(or_apx_mi)*D57)*(1-EXP(-r_mi*dt))),(1-EXP(-r_mi*dt)))</f>
        <v>0.00150338686144691</v>
      </c>
      <c r="R57" s="57" t="n">
        <f aca="false">(1-EXP(-r_tia*dt))</f>
        <v>0.0020060281549299</v>
      </c>
      <c r="S57" s="57" t="n">
        <f aca="false">(1-EXP(-r_minor*dt))</f>
        <v>0.0437937690785545</v>
      </c>
      <c r="T57" s="57" t="n">
        <f aca="false">M57*N57</f>
        <v>0.00121493890239023</v>
      </c>
      <c r="U57" s="57" t="n">
        <f aca="false">M57*O57</f>
        <v>0.000361647020478511</v>
      </c>
      <c r="V57" s="57" t="n">
        <f aca="false">M57*P57</f>
        <v>0.00150607911134249</v>
      </c>
      <c r="W57" s="57" t="n">
        <f aca="false">M57*Q57</f>
        <v>0.000271030781762789</v>
      </c>
      <c r="X57" s="57" t="n">
        <f aca="false">M57*R57</f>
        <v>0.000361647020478511</v>
      </c>
      <c r="Y57" s="57" t="n">
        <f aca="false">M57*S57</f>
        <v>0.00789514646833892</v>
      </c>
      <c r="Z57" s="57" t="n">
        <f aca="false">T57*f_stroke_fatal</f>
        <v>0.000287940519866486</v>
      </c>
      <c r="AA57" s="57" t="n">
        <f aca="false">T57*(1-f_stroke_fatal)*f_stroke_major</f>
        <v>0.000308690461380408</v>
      </c>
      <c r="AB57" s="57" t="n">
        <f aca="false">T57*(1-f_stroke_fatal)*(1-f_stroke_major)</f>
        <v>0.000618307921143341</v>
      </c>
      <c r="AC57" s="57" t="n">
        <f aca="false">U57*(1-f_bleed_fatal)</f>
        <v>0.000331268670758316</v>
      </c>
      <c r="AD57" s="57" t="n">
        <f aca="false">V57*(1-f_bleed_fatal)</f>
        <v>0.00137956846598972</v>
      </c>
      <c r="AE57" s="57" t="n">
        <f aca="false">W57*f_mi_fatal</f>
        <v>3.27947245932975E-005</v>
      </c>
      <c r="AF57" s="57" t="n">
        <f aca="false">W57-AE57</f>
        <v>0.000238236057169492</v>
      </c>
      <c r="AG57" s="57" t="n">
        <f aca="false">M57-T57-U57-V57-AE57</f>
        <v>0.177164672197344</v>
      </c>
      <c r="AH57" s="19" t="n">
        <f aca="false">Z57*c_stroke_fatal+AA57*c_stroke_major+AB57*c_stroke_minor+U57*c_ich+V57*c_major_bleed+AE57*c_mi_fatal+AF57*c_mi_nonfatal+X57*c_tia+Y57*c_minor_bleed</f>
        <v>69.4439896834619</v>
      </c>
      <c r="AI57" s="57" t="n">
        <f aca="false">dt*(AF57*dec_mi+AD57*dec_major_bleed+Y57*dec_minor_bleed+X57*dec_tia)</f>
        <v>7.41465883037333E-005</v>
      </c>
      <c r="AJ57" s="57" t="n">
        <f aca="false">G57*L57+Z57+U57-AC57+V57-AD57+AE57</f>
        <v>0.00611219308625352</v>
      </c>
      <c r="AK57" s="57" t="n">
        <f aca="false">1-EXP(LN(1-E57)*hr_death_prior_stroke*dt)</f>
        <v>0.0683377233826246</v>
      </c>
      <c r="AL57" s="57" t="n">
        <f aca="false">H57*(1-AK57)</f>
        <v>0.0311107621233943</v>
      </c>
      <c r="AM57" s="57" t="n">
        <f aca="false">(1-EXP(-r_stroke*F57*rr_stroke_prior*rr_asa_stroke*dt))</f>
        <v>0.0238116291304661</v>
      </c>
      <c r="AN57" s="57" t="n">
        <f aca="false">(1-EXP(-r_ich*rr_asa_ich*dt))</f>
        <v>0.00102357767802375</v>
      </c>
      <c r="AO57" s="57" t="n">
        <f aca="false">(1-EXP(-r_mb*rr_asa_mb*dt))</f>
        <v>0.00951809672747972</v>
      </c>
      <c r="AP57" s="57" t="n">
        <f aca="false">(1-EXP(-r_mi*rr_asa_mi*dt))</f>
        <v>0.00213413516393479</v>
      </c>
      <c r="AQ57" s="57" t="n">
        <f aca="false">(1-EXP(-r_tia*rr_asa_tia*dt))</f>
        <v>0.00312764565589152</v>
      </c>
      <c r="AR57" s="57" t="n">
        <f aca="false">(1-EXP(-r_minor*rr_asa_minor*dt))</f>
        <v>0.0278181950466747</v>
      </c>
      <c r="AS57" s="57" t="n">
        <f aca="false">AL57*AM57</f>
        <v>0.000740797929648417</v>
      </c>
      <c r="AT57" s="57" t="n">
        <f aca="false">AL57*AN57</f>
        <v>3.1844281655813E-005</v>
      </c>
      <c r="AU57" s="57" t="n">
        <f aca="false">AL57*AO57</f>
        <v>0.000296115243156079</v>
      </c>
      <c r="AV57" s="57" t="n">
        <f aca="false">AL57*AP57</f>
        <v>6.63945714243464E-005</v>
      </c>
      <c r="AW57" s="57" t="n">
        <f aca="false">AL57*AQ57</f>
        <v>9.73034400067086E-005</v>
      </c>
      <c r="AX57" s="57" t="n">
        <f aca="false">AL57*AR57</f>
        <v>0.000865445248799283</v>
      </c>
      <c r="AY57" s="57" t="n">
        <f aca="false">AS57*f_stroke_fatal_recur</f>
        <v>0.000275643501642879</v>
      </c>
      <c r="AZ57" s="57" t="n">
        <f aca="false">AS57*(1-f_stroke_fatal_recur)*f_stroke_major</f>
        <v>0.000154896424525844</v>
      </c>
      <c r="BA57" s="57" t="n">
        <f aca="false">AS57*(1-f_stroke_fatal_recur)*(1-f_stroke_major)</f>
        <v>0.000310258003479693</v>
      </c>
      <c r="BB57" s="57" t="n">
        <f aca="false">AT57*(1-f_bleed_fatal)</f>
        <v>2.91693619967247E-005</v>
      </c>
      <c r="BC57" s="57" t="n">
        <f aca="false">AU57*(1-f_bleed_fatal)</f>
        <v>0.000271241562730969</v>
      </c>
      <c r="BD57" s="57" t="n">
        <f aca="false">AV57*f_mi_fatal</f>
        <v>8.03374314234592E-006</v>
      </c>
      <c r="BE57" s="57" t="n">
        <f aca="false">AV57-BD57</f>
        <v>5.83608282820005E-005</v>
      </c>
      <c r="BF57" s="57" t="n">
        <f aca="false">AL57-AS57-AT57-AU57-BD57</f>
        <v>0.0300339709257916</v>
      </c>
      <c r="BG57" s="19" t="n">
        <f aca="false">AY57*c_stroke_fatal+AZ57*c_stroke_major+BA57*c_stroke_minor+AT57*c_ich+AU57*c_major_bleed+BD57*c_mi_fatal+BE57*c_mi_nonfatal+AW57*c_tia+AX57*c_minor_bleed</f>
        <v>29.7316314615875</v>
      </c>
      <c r="BH57" s="57" t="n">
        <f aca="false">dt*(BE57*dec_mi+BC57*dec_major_bleed+AX57*dec_minor_bleed+AW57*dec_tia)</f>
        <v>1.33805924653952E-005</v>
      </c>
      <c r="BI57" s="57" t="n">
        <f aca="false">H57*AK57+AY57+AT57-BB57+AU57-BC57+BD57</f>
        <v>0.00259321011059525</v>
      </c>
      <c r="BJ57" s="57" t="n">
        <f aca="false">1-EXP(LN(1-E57)*hr_death_prior_stroke*dt)</f>
        <v>0.0683377233826246</v>
      </c>
      <c r="BK57" s="57" t="n">
        <f aca="false">I57*(1-BJ57)</f>
        <v>0.0135862851262588</v>
      </c>
      <c r="BL57" s="57" t="n">
        <f aca="false">(1-EXP(-r_stroke*F57*rr_stroke_prior*rr_asa_stroke*dt))</f>
        <v>0.0238116291304661</v>
      </c>
      <c r="BM57" s="57" t="n">
        <f aca="false">(1-EXP(-r_ich*rr_asa_ich*dt))</f>
        <v>0.00102357767802375</v>
      </c>
      <c r="BN57" s="57" t="n">
        <f aca="false">(1-EXP(-r_mb*rr_asa_mb*dt))</f>
        <v>0.00951809672747972</v>
      </c>
      <c r="BO57" s="57" t="n">
        <f aca="false">(1-EXP(-r_mi*rr_asa_mi*dt))</f>
        <v>0.00213413516393479</v>
      </c>
      <c r="BP57" s="57" t="n">
        <f aca="false">(1-EXP(-r_tia*rr_asa_tia*dt))</f>
        <v>0.00312764565589152</v>
      </c>
      <c r="BQ57" s="57" t="n">
        <f aca="false">(1-EXP(-r_minor*rr_asa_minor*dt))</f>
        <v>0.0278181950466747</v>
      </c>
      <c r="BR57" s="57" t="n">
        <f aca="false">BK57*BL57</f>
        <v>0.000323511582687241</v>
      </c>
      <c r="BS57" s="57" t="n">
        <f aca="false">BK57*BM57</f>
        <v>1.39066181825045E-005</v>
      </c>
      <c r="BT57" s="57" t="n">
        <f aca="false">BK57*BN57</f>
        <v>0.00012931557599885</v>
      </c>
      <c r="BU57" s="57" t="n">
        <f aca="false">BK57*BO57</f>
        <v>2.89949688351931E-005</v>
      </c>
      <c r="BV57" s="57" t="n">
        <f aca="false">BK57*BP57</f>
        <v>4.24930856548468E-005</v>
      </c>
      <c r="BW57" s="57" t="n">
        <f aca="false">BK57*BQ57</f>
        <v>0.000377945929602002</v>
      </c>
      <c r="BX57" s="57" t="n">
        <f aca="false">BR57*f_stroke_fatal_recur</f>
        <v>0.000120375424802096</v>
      </c>
      <c r="BY57" s="57" t="n">
        <f aca="false">BR57*(1-f_stroke_fatal_recur)*f_stroke_major</f>
        <v>6.76443405757535E-005</v>
      </c>
      <c r="BZ57" s="57" t="n">
        <f aca="false">BR57*(1-f_stroke_fatal_recur)*(1-f_stroke_major)</f>
        <v>0.000135491817309392</v>
      </c>
      <c r="CA57" s="57" t="n">
        <f aca="false">BS57*(1-f_bleed_fatal)</f>
        <v>1.27384622551741E-005</v>
      </c>
      <c r="CB57" s="57" t="n">
        <f aca="false">BT57*(1-f_bleed_fatal)</f>
        <v>0.000118453067614946</v>
      </c>
      <c r="CC57" s="57" t="n">
        <f aca="false">BU57*f_mi_fatal</f>
        <v>3.50839122905836E-006</v>
      </c>
      <c r="CD57" s="57" t="n">
        <f aca="false">BU57-CC57</f>
        <v>2.54865776061347E-005</v>
      </c>
      <c r="CE57" s="57" t="n">
        <f aca="false">BK57-BR57-BS57-BT57-CC57</f>
        <v>0.0131160429581611</v>
      </c>
      <c r="CF57" s="19" t="n">
        <f aca="false">BX57*c_stroke_fatal+BY57*c_stroke_major+BZ57*c_stroke_minor+BS57*c_ich+BT57*c_major_bleed+CC57*c_mi_fatal+CD57*c_mi_nonfatal+BV57*c_tia+BW57*c_minor_bleed</f>
        <v>12.9840092217549</v>
      </c>
      <c r="CG57" s="57" t="n">
        <f aca="false">dt*(CD57*dec_mi+CB57*dec_major_bleed+BW57*dec_minor_bleed+BV57*dec_tia)</f>
        <v>5.84339733215429E-006</v>
      </c>
      <c r="CH57" s="57" t="n">
        <f aca="false">I57*BJ57+BX57+BS57-CA57+BT57-CB57+CC57</f>
        <v>0.00113247280201955</v>
      </c>
      <c r="CI57" s="57" t="n">
        <f aca="false">1-EXP(LN(1-E57)*dt)</f>
        <v>0.0303072797491967</v>
      </c>
      <c r="CJ57" s="57" t="n">
        <f aca="false">J57*(1-CI57)</f>
        <v>0.081275557881278</v>
      </c>
      <c r="CK57" s="57" t="n">
        <f aca="false">(1-EXP(-r_stroke*F57*rr_asa_stroke*dt))</f>
        <v>0.0108946317493377</v>
      </c>
      <c r="CL57" s="57" t="n">
        <f aca="false">(1-EXP(-r_ich*rr_asa_ich*dt))</f>
        <v>0.00102357767802375</v>
      </c>
      <c r="CM57" s="57" t="n">
        <f aca="false">(1-EXP(-r_mb*rr_asa_mb*dt))</f>
        <v>0.00951809672747972</v>
      </c>
      <c r="CN57" s="57" t="n">
        <f aca="false">(1-EXP(-r_mi*rr_asa_mi*dt))</f>
        <v>0.00213413516393479</v>
      </c>
      <c r="CO57" s="57" t="n">
        <f aca="false">(1-EXP(-r_tia*rr_asa_tia*dt))</f>
        <v>0.00312764565589152</v>
      </c>
      <c r="CP57" s="57" t="n">
        <f aca="false">(1-EXP(-r_minor*rr_asa_minor*dt))</f>
        <v>0.0278181950466747</v>
      </c>
      <c r="CQ57" s="57" t="n">
        <f aca="false">CJ57*CK57</f>
        <v>0.000885467273338505</v>
      </c>
      <c r="CR57" s="57" t="n">
        <f aca="false">CJ57*CL57</f>
        <v>8.31918468162031E-005</v>
      </c>
      <c r="CS57" s="57" t="n">
        <f aca="false">CJ57*CM57</f>
        <v>0.000773588621493881</v>
      </c>
      <c r="CT57" s="57" t="n">
        <f aca="false">CJ57*CN57</f>
        <v>0.000173453026042853</v>
      </c>
      <c r="CU57" s="57" t="n">
        <f aca="false">CJ57*CO57</f>
        <v>0.000254201145537539</v>
      </c>
      <c r="CV57" s="57" t="n">
        <f aca="false">CJ57*CP57</f>
        <v>0.00226093932166869</v>
      </c>
      <c r="CW57" s="57" t="n">
        <f aca="false">CQ57*f_stroke_fatal</f>
        <v>0.000209855743781226</v>
      </c>
      <c r="CX57" s="57" t="n">
        <f aca="false">CQ57*(1-f_stroke_fatal)*f_stroke_major</f>
        <v>0.000224978639342574</v>
      </c>
      <c r="CY57" s="57" t="n">
        <f aca="false">CQ57*(1-f_stroke_fatal)*(1-f_stroke_major)</f>
        <v>0.000450632890214705</v>
      </c>
      <c r="CZ57" s="57" t="n">
        <f aca="false">CR57*(1-f_bleed_fatal)</f>
        <v>7.62037316836421E-005</v>
      </c>
      <c r="DA57" s="57" t="n">
        <f aca="false">CS57*(1-f_bleed_fatal)</f>
        <v>0.000708607177288395</v>
      </c>
      <c r="DB57" s="57" t="n">
        <f aca="false">CT57*f_mi_fatal</f>
        <v>2.09878161511852E-005</v>
      </c>
      <c r="DC57" s="57" t="n">
        <f aca="false">CT57-DB57</f>
        <v>0.000152465209891668</v>
      </c>
      <c r="DD57" s="57" t="n">
        <f aca="false">CJ57-CQ57-CR57-CS57-DB57</f>
        <v>0.0795123223234783</v>
      </c>
      <c r="DE57" s="19" t="n">
        <f aca="false">CW57*c_stroke_fatal+CX57*c_stroke_major+CY57*c_stroke_minor+CR57*c_ich+CS57*c_major_bleed+DB57*c_mi_fatal+DC57*c_mi_nonfatal+CU57*c_tia+CV57*c_minor_bleed</f>
        <v>43.6603427973218</v>
      </c>
      <c r="DF57" s="57" t="n">
        <f aca="false">dt*(DC57*dec_mi+DA57*dec_major_bleed+CV57*dec_minor_bleed+CU57*dec_tia)</f>
        <v>3.49562351797626E-005</v>
      </c>
      <c r="DG57" s="57" t="n">
        <f aca="false">J57*CI57+CW57+CR57-CZ57+CS57-DA57+DB57</f>
        <v>0.00284304160406595</v>
      </c>
      <c r="DH57" s="57" t="n">
        <f aca="false">AG57</f>
        <v>0.177164672197344</v>
      </c>
      <c r="DI57" s="57" t="n">
        <f aca="false">AB57+AC57+BF57+BA57+BB57+BC57+CY57+CZ57</f>
        <v>0.032121053067799</v>
      </c>
      <c r="DJ57" s="57" t="n">
        <f aca="false">AA57+AZ57+BY57+CX57+CE57+BZ57+CA57+CB57</f>
        <v>0.0141389361711652</v>
      </c>
      <c r="DK57" s="57" t="n">
        <f aca="false">AD57+DD57+DA57</f>
        <v>0.0816004979667564</v>
      </c>
      <c r="DL57" s="57" t="n">
        <f aca="false">K57+AJ57+BI57+CH57+DG57</f>
        <v>0.694974840596936</v>
      </c>
      <c r="DM57" s="58" t="n">
        <f aca="false">SUM(DH57:DL57)</f>
        <v>1</v>
      </c>
      <c r="DN57" s="19" t="n">
        <f aca="false">dt*(G57*Warfarin!$H$2+(H57+I57+J57)*c_aspirin)</f>
        <v>19.1447309337678</v>
      </c>
      <c r="DO57" s="19" t="n">
        <f aca="false">dt*(H57*c_lt_minor_stroke+I57*c_lt_major_stroke)</f>
        <v>185.477994357334</v>
      </c>
      <c r="DP57" s="19" t="n">
        <f aca="false">AH57+BG57+CF57+DE57</f>
        <v>155.819973164126</v>
      </c>
      <c r="DQ57" s="19" t="n">
        <f aca="false">DN57+DO57+DP57</f>
        <v>360.442698455228</v>
      </c>
      <c r="DR57" s="57" t="n">
        <f aca="false">dt*(G57*(u_af-dec_per_year_over_70*MAX(B57-ref_age,0))+H57*(u_minor_stroke-dec_per_year_over_70*MAX(B57-ref_age,0))+I57*(u_major_stroke-dec_per_year_over_70*MAX(B57-ref_age,0))+J57*(u_af-dec_per_year_over_70*MAX(B57-ref_age,0)))-AI57-BH57-CG57-DF57</f>
        <v>0.0616721206641534</v>
      </c>
      <c r="DS57" s="57" t="n">
        <f aca="false">dt*(G57+H57+I57+J57)</f>
        <v>0.0794265192514998</v>
      </c>
      <c r="DT57" s="19" t="n">
        <f aca="false">DQ57*C57</f>
        <v>298.122115046294</v>
      </c>
      <c r="DU57" s="19" t="n">
        <f aca="false">DN57*C57</f>
        <v>15.8346047858035</v>
      </c>
      <c r="DV57" s="19" t="n">
        <f aca="false">DP57*C57</f>
        <v>128.878682146245</v>
      </c>
      <c r="DW57" s="19" t="n">
        <f aca="false">DO57*C57</f>
        <v>153.408828114246</v>
      </c>
      <c r="DX57" s="57" t="n">
        <f aca="false">DR57*C57</f>
        <v>0.051009004012524</v>
      </c>
      <c r="DY57" s="57" t="n">
        <f aca="false">DS57*C57</f>
        <v>0.0656936650721573</v>
      </c>
      <c r="DZ57" s="57" t="n">
        <f aca="false">T57+AS57+BR57+CQ57</f>
        <v>0.0031647156880644</v>
      </c>
      <c r="EA57" s="57" t="n">
        <f aca="false">U57+AT57+BS57+CR57</f>
        <v>0.000490589767133032</v>
      </c>
      <c r="EB57" s="57" t="n">
        <f aca="false">V57+AU57+BT57+CS57</f>
        <v>0.0027050985519913</v>
      </c>
      <c r="EC57" s="57" t="n">
        <f aca="false">G57*dt*C57</f>
        <v>0.038442506991465</v>
      </c>
    </row>
    <row r="58" customFormat="false" ht="15" hidden="false" customHeight="false" outlineLevel="0" collapsed="false">
      <c r="A58" s="8" t="n">
        <v>52</v>
      </c>
      <c r="B58" s="54" t="n">
        <f aca="false">start_age+A58*dt</f>
        <v>83</v>
      </c>
      <c r="C58" s="16" t="n">
        <f aca="false">(1+disc_rate)^-(A58*dt)</f>
        <v>0.824027016645711</v>
      </c>
      <c r="D58" s="55" t="n">
        <f aca="false">IF(A58*dt&gt;=wane_start,(1-wane_decay)^(A58*dt-wane_start),1)</f>
        <v>1</v>
      </c>
      <c r="E58" s="25" t="n">
        <f aca="false">MIN(p_nonvasc_death*MIN(EXP(gomp_int+gomp_slope*INT(B58)),1)/qx_ref,0.999)</f>
        <v>0.128604742069064</v>
      </c>
      <c r="F58" s="55" t="n">
        <f aca="false">rr_stroke_per_decade^((B58-ref_age)/10)</f>
        <v>1.69402040318528</v>
      </c>
      <c r="G58" s="57" t="n">
        <f aca="false">DH57</f>
        <v>0.177164672197344</v>
      </c>
      <c r="H58" s="57" t="n">
        <f aca="false">DI57</f>
        <v>0.032121053067799</v>
      </c>
      <c r="I58" s="57" t="n">
        <f aca="false">DJ57</f>
        <v>0.0141389361711652</v>
      </c>
      <c r="J58" s="57" t="n">
        <f aca="false">DK57</f>
        <v>0.0816004979667564</v>
      </c>
      <c r="K58" s="57" t="n">
        <f aca="false">DL57</f>
        <v>0.694974840596936</v>
      </c>
      <c r="L58" s="57" t="n">
        <f aca="false">1-EXP(LN(1-E58)*dt)</f>
        <v>0.033829444439164</v>
      </c>
      <c r="M58" s="57" t="n">
        <f aca="false">G58*(1-L58)</f>
        <v>0.171171289762662</v>
      </c>
      <c r="N58" s="57" t="n">
        <f aca="false">IF(Warfarin!$B$2=1,EXP(LN(or_apx_stroke)*D58)*(1-EXP(-r_stroke*F58*dt))/(1-(1-EXP(-r_stroke*F58*dt))+EXP(LN(or_apx_stroke)*D58)*(1-EXP(-r_stroke*F58*dt))),(1-EXP(-r_stroke*F58*dt)))</f>
        <v>0.00680759812164</v>
      </c>
      <c r="O58" s="57" t="n">
        <f aca="false">IF(Warfarin!$B$2=1,EXP(LN(or_apx_ich)*D58)*(1-EXP(-r_ich*dt))/(1-(1-EXP(-r_ich*dt))+EXP(LN(or_apx_ich)*D58)*(1-EXP(-r_ich*dt))),(1-EXP(-r_ich*dt)))</f>
        <v>0.0020060281549299</v>
      </c>
      <c r="P58" s="57" t="n">
        <f aca="false">IF(Warfarin!$B$2=1,EXP(LN(or_apx_mb)*D58)*(1-EXP(-r_mb*dt))/(1-(1-EXP(-r_mb*dt))+EXP(LN(or_apx_mb)*D58)*(1-EXP(-r_mb*dt))),(1-EXP(-r_mb*dt)))</f>
        <v>0.00835410477572107</v>
      </c>
      <c r="Q58" s="57" t="n">
        <f aca="false">IF(Warfarin!$B$2=1,EXP(LN(or_apx_mi)*D58)*(1-EXP(-r_mi*dt))/(1-(1-EXP(-r_mi*dt))+EXP(LN(or_apx_mi)*D58)*(1-EXP(-r_mi*dt))),(1-EXP(-r_mi*dt)))</f>
        <v>0.00150338686144691</v>
      </c>
      <c r="R58" s="57" t="n">
        <f aca="false">(1-EXP(-r_tia*dt))</f>
        <v>0.0020060281549299</v>
      </c>
      <c r="S58" s="57" t="n">
        <f aca="false">(1-EXP(-r_minor*dt))</f>
        <v>0.0437937690785545</v>
      </c>
      <c r="T58" s="57" t="n">
        <f aca="false">M58*N58</f>
        <v>0.00116526535066699</v>
      </c>
      <c r="U58" s="57" t="n">
        <f aca="false">M58*O58</f>
        <v>0.000343374426579563</v>
      </c>
      <c r="V58" s="57" t="n">
        <f aca="false">M58*P58</f>
        <v>0.00142998288927259</v>
      </c>
      <c r="W58" s="57" t="n">
        <f aca="false">M58*Q58</f>
        <v>0.000257336668086107</v>
      </c>
      <c r="X58" s="57" t="n">
        <f aca="false">M58*R58</f>
        <v>0.000343374426579563</v>
      </c>
      <c r="Y58" s="57" t="n">
        <f aca="false">M58*S58</f>
        <v>0.00749623593674434</v>
      </c>
      <c r="Z58" s="57" t="n">
        <f aca="false">T58*f_stroke_fatal</f>
        <v>0.000276167888108077</v>
      </c>
      <c r="AA58" s="57" t="n">
        <f aca="false">T58*(1-f_stroke_fatal)*f_stroke_major</f>
        <v>0.000296069455032119</v>
      </c>
      <c r="AB58" s="57" t="n">
        <f aca="false">T58*(1-f_stroke_fatal)*(1-f_stroke_major)</f>
        <v>0.000593028007526796</v>
      </c>
      <c r="AC58" s="57" t="n">
        <f aca="false">U58*(1-f_bleed_fatal)</f>
        <v>0.000314530974746879</v>
      </c>
      <c r="AD58" s="57" t="n">
        <f aca="false">V58*(1-f_bleed_fatal)</f>
        <v>0.00130986432657369</v>
      </c>
      <c r="AE58" s="57" t="n">
        <f aca="false">W58*f_mi_fatal</f>
        <v>3.1137736838419E-005</v>
      </c>
      <c r="AF58" s="57" t="n">
        <f aca="false">W58-AE58</f>
        <v>0.000226198931247688</v>
      </c>
      <c r="AG58" s="57" t="n">
        <f aca="false">M58-T58-U58-V58-AE58</f>
        <v>0.168201529359304</v>
      </c>
      <c r="AH58" s="19" t="n">
        <f aca="false">Z58*c_stroke_fatal+AA58*c_stroke_major+AB58*c_stroke_minor+U58*c_ich+V58*c_major_bleed+AE58*c_mi_fatal+AF58*c_mi_nonfatal+X58*c_tia+Y58*c_minor_bleed</f>
        <v>66.3680088628551</v>
      </c>
      <c r="AI58" s="57" t="n">
        <f aca="false">dt*(AF58*dec_mi+AD58*dec_major_bleed+Y58*dec_minor_bleed+X58*dec_tia)</f>
        <v>7.0400254391528E-005</v>
      </c>
      <c r="AJ58" s="57" t="n">
        <f aca="false">G58*L58+Z58+U58-AC58+V58-AD58+AE58</f>
        <v>0.00644965007416084</v>
      </c>
      <c r="AK58" s="57" t="n">
        <f aca="false">1-EXP(LN(1-E58)*hr_death_prior_stroke*dt)</f>
        <v>0.0761026200294805</v>
      </c>
      <c r="AL58" s="57" t="n">
        <f aca="false">H58*(1-AK58)</f>
        <v>0.0296765567712336</v>
      </c>
      <c r="AM58" s="57" t="n">
        <f aca="false">(1-EXP(-r_stroke*F58*rr_stroke_prior*rr_asa_stroke*dt))</f>
        <v>0.0240512852899299</v>
      </c>
      <c r="AN58" s="57" t="n">
        <f aca="false">(1-EXP(-r_ich*rr_asa_ich*dt))</f>
        <v>0.00102357767802375</v>
      </c>
      <c r="AO58" s="57" t="n">
        <f aca="false">(1-EXP(-r_mb*rr_asa_mb*dt))</f>
        <v>0.00951809672747972</v>
      </c>
      <c r="AP58" s="57" t="n">
        <f aca="false">(1-EXP(-r_mi*rr_asa_mi*dt))</f>
        <v>0.00213413516393479</v>
      </c>
      <c r="AQ58" s="57" t="n">
        <f aca="false">(1-EXP(-r_tia*rr_asa_tia*dt))</f>
        <v>0.00312764565589152</v>
      </c>
      <c r="AR58" s="57" t="n">
        <f aca="false">(1-EXP(-r_minor*rr_asa_minor*dt))</f>
        <v>0.0278181950466747</v>
      </c>
      <c r="AS58" s="57" t="n">
        <f aca="false">AL58*AM58</f>
        <v>0.00071375933332774</v>
      </c>
      <c r="AT58" s="57" t="n">
        <f aca="false">AL58*AN58</f>
        <v>3.03762610716391E-005</v>
      </c>
      <c r="AU58" s="57" t="n">
        <f aca="false">AL58*AO58</f>
        <v>0.000282464337887144</v>
      </c>
      <c r="AV58" s="57" t="n">
        <f aca="false">AL58*AP58</f>
        <v>6.33337833499967E-005</v>
      </c>
      <c r="AW58" s="57" t="n">
        <f aca="false">AL58*AQ58</f>
        <v>9.28177538673667E-005</v>
      </c>
      <c r="AX58" s="57" t="n">
        <f aca="false">AL58*AR58</f>
        <v>0.00082554824457589</v>
      </c>
      <c r="AY58" s="57" t="n">
        <f aca="false">AS58*f_stroke_fatal_recur</f>
        <v>0.000265582710337919</v>
      </c>
      <c r="AZ58" s="57" t="n">
        <f aca="false">AS58*(1-f_stroke_fatal_recur)*f_stroke_major</f>
        <v>0.000149242815455611</v>
      </c>
      <c r="BA58" s="57" t="n">
        <f aca="false">AS58*(1-f_stroke_fatal_recur)*(1-f_stroke_major)</f>
        <v>0.000298933807534211</v>
      </c>
      <c r="BB58" s="57" t="n">
        <f aca="false">AT58*(1-f_bleed_fatal)</f>
        <v>2.78246551416214E-005</v>
      </c>
      <c r="BC58" s="57" t="n">
        <f aca="false">AU58*(1-f_bleed_fatal)</f>
        <v>0.000258737333504624</v>
      </c>
      <c r="BD58" s="57" t="n">
        <f aca="false">AV58*f_mi_fatal</f>
        <v>7.6633877853496E-006</v>
      </c>
      <c r="BE58" s="57" t="n">
        <f aca="false">AV58-BD58</f>
        <v>5.56703955646471E-005</v>
      </c>
      <c r="BF58" s="57" t="n">
        <f aca="false">AL58-AS58-AT58-AU58-BD58</f>
        <v>0.0286422934511617</v>
      </c>
      <c r="BG58" s="19" t="n">
        <f aca="false">AY58*c_stroke_fatal+AZ58*c_stroke_major+BA58*c_stroke_minor+AT58*c_ich+AU58*c_major_bleed+BD58*c_mi_fatal+BE58*c_mi_nonfatal+AW58*c_tia+AX58*c_minor_bleed</f>
        <v>28.6062277462474</v>
      </c>
      <c r="BH58" s="57" t="n">
        <f aca="false">dt*(BE58*dec_mi+BC58*dec_major_bleed+AX58*dec_minor_bleed+AW58*dec_tia)</f>
        <v>1.27637474889579E-005</v>
      </c>
      <c r="BI58" s="57" t="n">
        <f aca="false">H58*AK58+AY58+AT58-BB58+AU58-BC58+BD58</f>
        <v>0.0027440210050013</v>
      </c>
      <c r="BJ58" s="57" t="n">
        <f aca="false">1-EXP(LN(1-E58)*hr_death_prior_stroke*dt)</f>
        <v>0.0761026200294805</v>
      </c>
      <c r="BK58" s="57" t="n">
        <f aca="false">I58*(1-BJ58)</f>
        <v>0.0130629260841099</v>
      </c>
      <c r="BL58" s="57" t="n">
        <f aca="false">(1-EXP(-r_stroke*F58*rr_stroke_prior*rr_asa_stroke*dt))</f>
        <v>0.0240512852899299</v>
      </c>
      <c r="BM58" s="57" t="n">
        <f aca="false">(1-EXP(-r_ich*rr_asa_ich*dt))</f>
        <v>0.00102357767802375</v>
      </c>
      <c r="BN58" s="57" t="n">
        <f aca="false">(1-EXP(-r_mb*rr_asa_mb*dt))</f>
        <v>0.00951809672747972</v>
      </c>
      <c r="BO58" s="57" t="n">
        <f aca="false">(1-EXP(-r_mi*rr_asa_mi*dt))</f>
        <v>0.00213413516393479</v>
      </c>
      <c r="BP58" s="57" t="n">
        <f aca="false">(1-EXP(-r_tia*rr_asa_tia*dt))</f>
        <v>0.00312764565589152</v>
      </c>
      <c r="BQ58" s="57" t="n">
        <f aca="false">(1-EXP(-r_minor*rr_asa_minor*dt))</f>
        <v>0.0278181950466747</v>
      </c>
      <c r="BR58" s="57" t="n">
        <f aca="false">BK58*BL58</f>
        <v>0.000314180161970195</v>
      </c>
      <c r="BS58" s="57" t="n">
        <f aca="false">BK58*BM58</f>
        <v>1.33709195493691E-005</v>
      </c>
      <c r="BT58" s="57" t="n">
        <f aca="false">BK58*BN58</f>
        <v>0.000124334194012476</v>
      </c>
      <c r="BU58" s="57" t="n">
        <f aca="false">BK58*BO58</f>
        <v>2.787804989998E-005</v>
      </c>
      <c r="BV58" s="57" t="n">
        <f aca="false">BK58*BP58</f>
        <v>4.08562040201984E-005</v>
      </c>
      <c r="BW58" s="57" t="n">
        <f aca="false">BK58*BQ58</f>
        <v>0.000363387025688065</v>
      </c>
      <c r="BX58" s="57" t="n">
        <f aca="false">BR58*f_stroke_fatal_recur</f>
        <v>0.00011690329646749</v>
      </c>
      <c r="BY58" s="57" t="n">
        <f aca="false">BR58*(1-f_stroke_fatal_recur)*f_stroke_major</f>
        <v>6.56931962124009E-005</v>
      </c>
      <c r="BZ58" s="57" t="n">
        <f aca="false">BR58*(1-f_stroke_fatal_recur)*(1-f_stroke_major)</f>
        <v>0.000131583669290304</v>
      </c>
      <c r="CA58" s="57" t="n">
        <f aca="false">BS58*(1-f_bleed_fatal)</f>
        <v>1.22477623072221E-005</v>
      </c>
      <c r="CB58" s="57" t="n">
        <f aca="false">BT58*(1-f_bleed_fatal)</f>
        <v>0.000113890121715428</v>
      </c>
      <c r="CC58" s="57" t="n">
        <f aca="false">BU58*f_mi_fatal</f>
        <v>3.37324403789758E-006</v>
      </c>
      <c r="CD58" s="57" t="n">
        <f aca="false">BU58-CC58</f>
        <v>2.45048058620824E-005</v>
      </c>
      <c r="CE58" s="57" t="n">
        <f aca="false">BK58-BR58-BS58-BT58-CC58</f>
        <v>0.01260766756454</v>
      </c>
      <c r="CF58" s="19" t="n">
        <f aca="false">BX58*c_stroke_fatal+BY58*c_stroke_major+BZ58*c_stroke_minor+BS58*c_ich+BT58*c_major_bleed+CC58*c_mi_fatal+CD58*c_mi_nonfatal+BV58*c_tia+BW58*c_minor_bleed</f>
        <v>12.591792284901</v>
      </c>
      <c r="CG58" s="57" t="n">
        <f aca="false">dt*(CD58*dec_mi+CB58*dec_major_bleed+BW58*dec_minor_bleed+BV58*dec_tia)</f>
        <v>5.61830306965124E-006</v>
      </c>
      <c r="CH58" s="57" t="n">
        <f aca="false">I58*BJ58+BX58+BS58-CA58+BT58-CB58+CC58</f>
        <v>0.00120785385709985</v>
      </c>
      <c r="CI58" s="57" t="n">
        <f aca="false">1-EXP(LN(1-E58)*dt)</f>
        <v>0.033829444439164</v>
      </c>
      <c r="CJ58" s="57" t="n">
        <f aca="false">J58*(1-CI58)</f>
        <v>0.0788399984545819</v>
      </c>
      <c r="CK58" s="57" t="n">
        <f aca="false">(1-EXP(-r_stroke*F58*rr_asa_stroke*dt))</f>
        <v>0.0110050151894427</v>
      </c>
      <c r="CL58" s="57" t="n">
        <f aca="false">(1-EXP(-r_ich*rr_asa_ich*dt))</f>
        <v>0.00102357767802375</v>
      </c>
      <c r="CM58" s="57" t="n">
        <f aca="false">(1-EXP(-r_mb*rr_asa_mb*dt))</f>
        <v>0.00951809672747972</v>
      </c>
      <c r="CN58" s="57" t="n">
        <f aca="false">(1-EXP(-r_mi*rr_asa_mi*dt))</f>
        <v>0.00213413516393479</v>
      </c>
      <c r="CO58" s="57" t="n">
        <f aca="false">(1-EXP(-r_tia*rr_asa_tia*dt))</f>
        <v>0.00312764565589152</v>
      </c>
      <c r="CP58" s="57" t="n">
        <f aca="false">(1-EXP(-r_minor*rr_asa_minor*dt))</f>
        <v>0.0278181950466747</v>
      </c>
      <c r="CQ58" s="57" t="n">
        <f aca="false">CJ58*CK58</f>
        <v>0.000867635380528316</v>
      </c>
      <c r="CR58" s="57" t="n">
        <f aca="false">CJ58*CL58</f>
        <v>8.06988625535366E-005</v>
      </c>
      <c r="CS58" s="57" t="n">
        <f aca="false">CJ58*CM58</f>
        <v>0.000750406731285062</v>
      </c>
      <c r="CT58" s="57" t="n">
        <f aca="false">CJ58*CN58</f>
        <v>0.000168255213026488</v>
      </c>
      <c r="CU58" s="57" t="n">
        <f aca="false">CJ58*CO58</f>
        <v>0.000246583578676967</v>
      </c>
      <c r="CV58" s="57" t="n">
        <f aca="false">CJ58*CP58</f>
        <v>0.00219318645448909</v>
      </c>
      <c r="CW58" s="57" t="n">
        <f aca="false">CQ58*f_stroke_fatal</f>
        <v>0.000205629585185211</v>
      </c>
      <c r="CX58" s="57" t="n">
        <f aca="false">CQ58*(1-f_stroke_fatal)*f_stroke_major</f>
        <v>0.000220447929849254</v>
      </c>
      <c r="CY58" s="57" t="n">
        <f aca="false">CQ58*(1-f_stroke_fatal)*(1-f_stroke_major)</f>
        <v>0.000441557865493851</v>
      </c>
      <c r="CZ58" s="57" t="n">
        <f aca="false">CR58*(1-f_bleed_fatal)</f>
        <v>7.39201580990396E-005</v>
      </c>
      <c r="DA58" s="57" t="n">
        <f aca="false">CS58*(1-f_bleed_fatal)</f>
        <v>0.000687372565857117</v>
      </c>
      <c r="DB58" s="57" t="n">
        <f aca="false">CT58*f_mi_fatal</f>
        <v>2.0358880776205E-005</v>
      </c>
      <c r="DC58" s="57" t="n">
        <f aca="false">CT58-DB58</f>
        <v>0.000147896332250283</v>
      </c>
      <c r="DD58" s="57" t="n">
        <f aca="false">CJ58-CQ58-CR58-CS58-DB58</f>
        <v>0.0771208985994388</v>
      </c>
      <c r="DE58" s="19" t="n">
        <f aca="false">CW58*c_stroke_fatal+CX58*c_stroke_major+CY58*c_stroke_minor+CR58*c_ich+CS58*c_major_bleed+DB58*c_mi_fatal+DC58*c_mi_nonfatal+CU58*c_tia+CV58*c_minor_bleed</f>
        <v>42.6735284203437</v>
      </c>
      <c r="DF58" s="57" t="n">
        <f aca="false">dt*(DC58*dec_mi+DA58*dec_major_bleed+CV58*dec_minor_bleed+CU58*dec_tia)</f>
        <v>3.39087125255565E-005</v>
      </c>
      <c r="DG58" s="57" t="n">
        <f aca="false">J58*CI58+CW58+CR58-CZ58+CS58-DA58+DB58</f>
        <v>0.00305630084801836</v>
      </c>
      <c r="DH58" s="57" t="n">
        <f aca="false">AG58</f>
        <v>0.168201529359304</v>
      </c>
      <c r="DI58" s="57" t="n">
        <f aca="false">AB58+AC58+BF58+BA58+BB58+BC58+CY58+CZ58</f>
        <v>0.0306508262532087</v>
      </c>
      <c r="DJ58" s="57" t="n">
        <f aca="false">AA58+AZ58+BY58+CX58+CE58+BZ58+CA58+CB58</f>
        <v>0.0135968425144023</v>
      </c>
      <c r="DK58" s="57" t="n">
        <f aca="false">AD58+DD58+DA58</f>
        <v>0.0791181354918696</v>
      </c>
      <c r="DL58" s="57" t="n">
        <f aca="false">K58+AJ58+BI58+CH58+DG58</f>
        <v>0.708432666381216</v>
      </c>
      <c r="DM58" s="58" t="n">
        <f aca="false">SUM(DH58:DL58)</f>
        <v>1</v>
      </c>
      <c r="DN58" s="19" t="n">
        <f aca="false">dt*(G58*Warfarin!$H$2+(H58+I58+J58)*c_aspirin)</f>
        <v>18.2658621385981</v>
      </c>
      <c r="DO58" s="19" t="n">
        <f aca="false">dt*(H58*c_lt_minor_stroke+I58*c_lt_major_stroke)</f>
        <v>179.142066089795</v>
      </c>
      <c r="DP58" s="19" t="n">
        <f aca="false">AH58+BG58+CF58+DE58</f>
        <v>150.239557314347</v>
      </c>
      <c r="DQ58" s="19" t="n">
        <f aca="false">DN58+DO58+DP58</f>
        <v>347.647485542741</v>
      </c>
      <c r="DR58" s="57" t="n">
        <f aca="false">dt*(G58*(u_af-dec_per_year_over_70*MAX(B58-ref_age,0))+H58*(u_minor_stroke-dec_per_year_over_70*MAX(B58-ref_age,0))+I58*(u_major_stroke-dec_per_year_over_70*MAX(B58-ref_age,0))+J58*(u_af-dec_per_year_over_70*MAX(B58-ref_age,0)))-AI58-BH58-CG58-DF58</f>
        <v>0.059188119720862</v>
      </c>
      <c r="DS58" s="57" t="n">
        <f aca="false">dt*(G58+H58+I58+J58)</f>
        <v>0.0762562898507662</v>
      </c>
      <c r="DT58" s="19" t="n">
        <f aca="false">DQ58*C58</f>
        <v>286.470920356167</v>
      </c>
      <c r="DU58" s="19" t="n">
        <f aca="false">DN58*C58</f>
        <v>15.0515638845308</v>
      </c>
      <c r="DV58" s="19" t="n">
        <f aca="false">DP58*C58</f>
        <v>123.801454195914</v>
      </c>
      <c r="DW58" s="19" t="n">
        <f aca="false">DO58*C58</f>
        <v>147.617902275723</v>
      </c>
      <c r="DX58" s="57" t="n">
        <f aca="false">DR58*C58</f>
        <v>0.0487726097144511</v>
      </c>
      <c r="DY58" s="57" t="n">
        <f aca="false">DS58*C58</f>
        <v>0.0628372430261975</v>
      </c>
      <c r="DZ58" s="57" t="n">
        <f aca="false">T58+AS58+BR58+CQ58</f>
        <v>0.00306084022649324</v>
      </c>
      <c r="EA58" s="57" t="n">
        <f aca="false">U58+AT58+BS58+CR58</f>
        <v>0.000467820469754107</v>
      </c>
      <c r="EB58" s="57" t="n">
        <f aca="false">V58+AU58+BT58+CS58</f>
        <v>0.00258718815245727</v>
      </c>
      <c r="EC58" s="57" t="n">
        <f aca="false">G58*dt*C58</f>
        <v>0.0364971190714482</v>
      </c>
    </row>
    <row r="59" customFormat="false" ht="15" hidden="false" customHeight="false" outlineLevel="0" collapsed="false">
      <c r="A59" s="8" t="n">
        <v>53</v>
      </c>
      <c r="B59" s="54" t="n">
        <f aca="false">start_age+A59*dt</f>
        <v>83.25</v>
      </c>
      <c r="C59" s="16" t="n">
        <f aca="false">(1+disc_rate)^-(A59*dt)</f>
        <v>0.820965563046</v>
      </c>
      <c r="D59" s="55" t="n">
        <f aca="false">IF(A59*dt&gt;=wane_start,(1-wane_decay)^(A59*dt-wane_start),1)</f>
        <v>1</v>
      </c>
      <c r="E59" s="25" t="n">
        <f aca="false">MIN(p_nonvasc_death*MIN(EXP(gomp_int+gomp_slope*INT(B59)),1)/qx_ref,0.999)</f>
        <v>0.128604742069064</v>
      </c>
      <c r="F59" s="55" t="n">
        <f aca="false">rr_stroke_per_decade^((B59-ref_age)/10)</f>
        <v>1.71127938348053</v>
      </c>
      <c r="G59" s="57" t="n">
        <f aca="false">DH58</f>
        <v>0.168201529359304</v>
      </c>
      <c r="H59" s="57" t="n">
        <f aca="false">DI58</f>
        <v>0.0306508262532087</v>
      </c>
      <c r="I59" s="57" t="n">
        <f aca="false">DJ58</f>
        <v>0.0135968425144023</v>
      </c>
      <c r="J59" s="57" t="n">
        <f aca="false">DK58</f>
        <v>0.0791181354918696</v>
      </c>
      <c r="K59" s="57" t="n">
        <f aca="false">DL58</f>
        <v>0.708432666381216</v>
      </c>
      <c r="L59" s="57" t="n">
        <f aca="false">1-EXP(LN(1-E59)*dt)</f>
        <v>0.033829444439164</v>
      </c>
      <c r="M59" s="57" t="n">
        <f aca="false">G59*(1-L59)</f>
        <v>0.162511365067261</v>
      </c>
      <c r="N59" s="57" t="n">
        <f aca="false">IF(Warfarin!$B$2=1,EXP(LN(or_apx_stroke)*D59)*(1-EXP(-r_stroke*F59*dt))/(1-(1-EXP(-r_stroke*F59*dt))+EXP(LN(or_apx_stroke)*D59)*(1-EXP(-r_stroke*F59*dt))),(1-EXP(-r_stroke*F59*dt)))</f>
        <v>0.00687671611858354</v>
      </c>
      <c r="O59" s="57" t="n">
        <f aca="false">IF(Warfarin!$B$2=1,EXP(LN(or_apx_ich)*D59)*(1-EXP(-r_ich*dt))/(1-(1-EXP(-r_ich*dt))+EXP(LN(or_apx_ich)*D59)*(1-EXP(-r_ich*dt))),(1-EXP(-r_ich*dt)))</f>
        <v>0.0020060281549299</v>
      </c>
      <c r="P59" s="57" t="n">
        <f aca="false">IF(Warfarin!$B$2=1,EXP(LN(or_apx_mb)*D59)*(1-EXP(-r_mb*dt))/(1-(1-EXP(-r_mb*dt))+EXP(LN(or_apx_mb)*D59)*(1-EXP(-r_mb*dt))),(1-EXP(-r_mb*dt)))</f>
        <v>0.00835410477572107</v>
      </c>
      <c r="Q59" s="57" t="n">
        <f aca="false">IF(Warfarin!$B$2=1,EXP(LN(or_apx_mi)*D59)*(1-EXP(-r_mi*dt))/(1-(1-EXP(-r_mi*dt))+EXP(LN(or_apx_mi)*D59)*(1-EXP(-r_mi*dt))),(1-EXP(-r_mi*dt)))</f>
        <v>0.00150338686144691</v>
      </c>
      <c r="R59" s="57" t="n">
        <f aca="false">(1-EXP(-r_tia*dt))</f>
        <v>0.0020060281549299</v>
      </c>
      <c r="S59" s="57" t="n">
        <f aca="false">(1-EXP(-r_minor*dt))</f>
        <v>0.0437937690785545</v>
      </c>
      <c r="T59" s="57" t="n">
        <f aca="false">M59*N59</f>
        <v>0.00111754452361105</v>
      </c>
      <c r="U59" s="57" t="n">
        <f aca="false">M59*O59</f>
        <v>0.000326002373821016</v>
      </c>
      <c r="V59" s="57" t="n">
        <f aca="false">M59*P59</f>
        <v>0.00135763697101736</v>
      </c>
      <c r="W59" s="57" t="n">
        <f aca="false">M59*Q59</f>
        <v>0.000244317451077922</v>
      </c>
      <c r="X59" s="57" t="n">
        <f aca="false">M59*R59</f>
        <v>0.000326002373821016</v>
      </c>
      <c r="Y59" s="57" t="n">
        <f aca="false">M59*S59</f>
        <v>0.00711698519439629</v>
      </c>
      <c r="Z59" s="57" t="n">
        <f aca="false">T59*f_stroke_fatal</f>
        <v>0.000264858052095818</v>
      </c>
      <c r="AA59" s="57" t="n">
        <f aca="false">T59*(1-f_stroke_fatal)*f_stroke_major</f>
        <v>0.000283944595014571</v>
      </c>
      <c r="AB59" s="57" t="n">
        <f aca="false">T59*(1-f_stroke_fatal)*(1-f_stroke_major)</f>
        <v>0.000568741876500658</v>
      </c>
      <c r="AC59" s="57" t="n">
        <f aca="false">U59*(1-f_bleed_fatal)</f>
        <v>0.000298618174420051</v>
      </c>
      <c r="AD59" s="57" t="n">
        <f aca="false">V59*(1-f_bleed_fatal)</f>
        <v>0.0012435954654519</v>
      </c>
      <c r="AE59" s="57" t="n">
        <f aca="false">W59*f_mi_fatal</f>
        <v>2.95624115804286E-005</v>
      </c>
      <c r="AF59" s="57" t="n">
        <f aca="false">W59-AE59</f>
        <v>0.000214755039497494</v>
      </c>
      <c r="AG59" s="57" t="n">
        <f aca="false">M59-T59-U59-V59-AE59</f>
        <v>0.159680618787231</v>
      </c>
      <c r="AH59" s="19" t="n">
        <f aca="false">Z59*c_stroke_fatal+AA59*c_stroke_major+AB59*c_stroke_minor+U59*c_ich+V59*c_major_bleed+AE59*c_mi_fatal+AF59*c_mi_nonfatal+X59*c_tia+Y59*c_minor_bleed</f>
        <v>63.4253209526245</v>
      </c>
      <c r="AI59" s="57" t="n">
        <f aca="false">dt*(AF59*dec_mi+AD59*dec_major_bleed+Y59*dec_minor_bleed+X59*dec_tia)</f>
        <v>6.68385536973695E-005</v>
      </c>
      <c r="AJ59" s="57" t="n">
        <f aca="false">G59*L59+Z59+U59-AC59+V59-AD59+AE59</f>
        <v>0.00612601046068566</v>
      </c>
      <c r="AK59" s="57" t="n">
        <f aca="false">1-EXP(LN(1-E59)*hr_death_prior_stroke*dt)</f>
        <v>0.0761026200294805</v>
      </c>
      <c r="AL59" s="57" t="n">
        <f aca="false">H59*(1-AK59)</f>
        <v>0.0283182180692711</v>
      </c>
      <c r="AM59" s="57" t="n">
        <f aca="false">(1-EXP(-r_stroke*F59*rr_stroke_prior*rr_asa_stroke*dt))</f>
        <v>0.0242933233706392</v>
      </c>
      <c r="AN59" s="57" t="n">
        <f aca="false">(1-EXP(-r_ich*rr_asa_ich*dt))</f>
        <v>0.00102357767802375</v>
      </c>
      <c r="AO59" s="57" t="n">
        <f aca="false">(1-EXP(-r_mb*rr_asa_mb*dt))</f>
        <v>0.00951809672747972</v>
      </c>
      <c r="AP59" s="57" t="n">
        <f aca="false">(1-EXP(-r_mi*rr_asa_mi*dt))</f>
        <v>0.00213413516393479</v>
      </c>
      <c r="AQ59" s="57" t="n">
        <f aca="false">(1-EXP(-r_tia*rr_asa_tia*dt))</f>
        <v>0.00312764565589152</v>
      </c>
      <c r="AR59" s="57" t="n">
        <f aca="false">(1-EXP(-r_minor*rr_asa_minor*dt))</f>
        <v>0.0278181950466747</v>
      </c>
      <c r="AS59" s="57" t="n">
        <f aca="false">AL59*AM59</f>
        <v>0.000687943628837081</v>
      </c>
      <c r="AT59" s="57" t="n">
        <f aca="false">AL59*AN59</f>
        <v>2.89858958971146E-005</v>
      </c>
      <c r="AU59" s="57" t="n">
        <f aca="false">AL59*AO59</f>
        <v>0.000269535538733187</v>
      </c>
      <c r="AV59" s="57" t="n">
        <f aca="false">AL59*AP59</f>
        <v>6.04349049616051E-005</v>
      </c>
      <c r="AW59" s="57" t="n">
        <f aca="false">AL59*AQ59</f>
        <v>8.85693517269446E-005</v>
      </c>
      <c r="AX59" s="57" t="n">
        <f aca="false">AL59*AR59</f>
        <v>0.000787761713625252</v>
      </c>
      <c r="AY59" s="57" t="n">
        <f aca="false">AS59*f_stroke_fatal_recur</f>
        <v>0.000255976944853989</v>
      </c>
      <c r="AZ59" s="57" t="n">
        <f aca="false">AS59*(1-f_stroke_fatal_recur)*f_stroke_major</f>
        <v>0.000143844905766369</v>
      </c>
      <c r="BA59" s="57" t="n">
        <f aca="false">AS59*(1-f_stroke_fatal_recur)*(1-f_stroke_major)</f>
        <v>0.000288121778216722</v>
      </c>
      <c r="BB59" s="57" t="n">
        <f aca="false">AT59*(1-f_bleed_fatal)</f>
        <v>2.6551080641757E-005</v>
      </c>
      <c r="BC59" s="57" t="n">
        <f aca="false">AU59*(1-f_bleed_fatal)</f>
        <v>0.000246894553479599</v>
      </c>
      <c r="BD59" s="57" t="n">
        <f aca="false">AV59*f_mi_fatal</f>
        <v>7.31262350035422E-006</v>
      </c>
      <c r="BE59" s="57" t="n">
        <f aca="false">AV59-BD59</f>
        <v>5.31222814612509E-005</v>
      </c>
      <c r="BF59" s="57" t="n">
        <f aca="false">AL59-AS59-AT59-AU59-BD59</f>
        <v>0.0273244403823034</v>
      </c>
      <c r="BG59" s="19" t="n">
        <f aca="false">AY59*c_stroke_fatal+AZ59*c_stroke_major+BA59*c_stroke_minor+AT59*c_ich+AU59*c_major_bleed+BD59*c_mi_fatal+BE59*c_mi_nonfatal+AW59*c_tia+AX59*c_minor_bleed</f>
        <v>27.5332047481903</v>
      </c>
      <c r="BH59" s="57" t="n">
        <f aca="false">dt*(BE59*dec_mi+BC59*dec_major_bleed+AX59*dec_minor_bleed+AW59*dec_tia)</f>
        <v>1.21795324019458E-005</v>
      </c>
      <c r="BI59" s="57" t="n">
        <f aca="false">H59*AK59+AY59+AT59-BB59+AU59-BC59+BD59</f>
        <v>0.00262097355280086</v>
      </c>
      <c r="BJ59" s="57" t="n">
        <f aca="false">1-EXP(LN(1-E59)*hr_death_prior_stroke*dt)</f>
        <v>0.0761026200294805</v>
      </c>
      <c r="BK59" s="57" t="n">
        <f aca="false">I59*(1-BJ59)</f>
        <v>0.0125620871749281</v>
      </c>
      <c r="BL59" s="57" t="n">
        <f aca="false">(1-EXP(-r_stroke*F59*rr_stroke_prior*rr_asa_stroke*dt))</f>
        <v>0.0242933233706392</v>
      </c>
      <c r="BM59" s="57" t="n">
        <f aca="false">(1-EXP(-r_ich*rr_asa_ich*dt))</f>
        <v>0.00102357767802375</v>
      </c>
      <c r="BN59" s="57" t="n">
        <f aca="false">(1-EXP(-r_mb*rr_asa_mb*dt))</f>
        <v>0.00951809672747972</v>
      </c>
      <c r="BO59" s="57" t="n">
        <f aca="false">(1-EXP(-r_mi*rr_asa_mi*dt))</f>
        <v>0.00213413516393479</v>
      </c>
      <c r="BP59" s="57" t="n">
        <f aca="false">(1-EXP(-r_tia*rr_asa_tia*dt))</f>
        <v>0.00312764565589152</v>
      </c>
      <c r="BQ59" s="57" t="n">
        <f aca="false">(1-EXP(-r_minor*rr_asa_minor*dt))</f>
        <v>0.0278181950466747</v>
      </c>
      <c r="BR59" s="57" t="n">
        <f aca="false">BK59*BL59</f>
        <v>0.000305174845950687</v>
      </c>
      <c r="BS59" s="57" t="n">
        <f aca="false">BK59*BM59</f>
        <v>1.28582720216448E-005</v>
      </c>
      <c r="BT59" s="57" t="n">
        <f aca="false">BK59*BN59</f>
        <v>0.000119567160829998</v>
      </c>
      <c r="BU59" s="57" t="n">
        <f aca="false">BK59*BO59</f>
        <v>2.68091919724283E-005</v>
      </c>
      <c r="BV59" s="57" t="n">
        <f aca="false">BK59*BP59</f>
        <v>3.92897573815944E-005</v>
      </c>
      <c r="BW59" s="57" t="n">
        <f aca="false">BK59*BQ59</f>
        <v>0.00034945459122548</v>
      </c>
      <c r="BX59" s="57" t="n">
        <f aca="false">BR59*f_stroke_fatal_recur</f>
        <v>0.000113552508429791</v>
      </c>
      <c r="BY59" s="57" t="n">
        <f aca="false">BR59*(1-f_stroke_fatal_recur)*f_stroke_major</f>
        <v>6.38102383944583E-005</v>
      </c>
      <c r="BZ59" s="57" t="n">
        <f aca="false">BR59*(1-f_stroke_fatal_recur)*(1-f_stroke_major)</f>
        <v>0.000127812099126438</v>
      </c>
      <c r="CA59" s="57" t="n">
        <f aca="false">BS59*(1-f_bleed_fatal)</f>
        <v>1.17781771718266E-005</v>
      </c>
      <c r="CB59" s="57" t="n">
        <f aca="false">BT59*(1-f_bleed_fatal)</f>
        <v>0.000109523519320278</v>
      </c>
      <c r="CC59" s="57" t="n">
        <f aca="false">BU59*f_mi_fatal</f>
        <v>3.24391222866382E-006</v>
      </c>
      <c r="CD59" s="57" t="n">
        <f aca="false">BU59-CC59</f>
        <v>2.35652797437645E-005</v>
      </c>
      <c r="CE59" s="57" t="n">
        <f aca="false">BK59-BR59-BS59-BT59-CC59</f>
        <v>0.0121212429838971</v>
      </c>
      <c r="CF59" s="19" t="n">
        <f aca="false">BX59*c_stroke_fatal+BY59*c_stroke_major+BZ59*c_stroke_minor+BS59*c_ich+BT59*c_major_bleed+CC59*c_mi_fatal+CD59*c_mi_nonfatal+BV59*c_tia+BW59*c_minor_bleed</f>
        <v>12.2138517828291</v>
      </c>
      <c r="CG59" s="57" t="n">
        <f aca="false">dt*(CD59*dec_mi+CB59*dec_major_bleed+BW59*dec_minor_bleed+BV59*dec_tia)</f>
        <v>5.4028946104179E-006</v>
      </c>
      <c r="CH59" s="57" t="n">
        <f aca="false">I59*BJ59+BX59+BS59-CA59+BT59-CB59+CC59</f>
        <v>0.00116267549649224</v>
      </c>
      <c r="CI59" s="57" t="n">
        <f aca="false">1-EXP(LN(1-E59)*dt)</f>
        <v>0.033829444439164</v>
      </c>
      <c r="CJ59" s="57" t="n">
        <f aca="false">J59*(1-CI59)</f>
        <v>0.0764416129231171</v>
      </c>
      <c r="CK59" s="57" t="n">
        <f aca="false">(1-EXP(-r_stroke*F59*rr_asa_stroke*dt))</f>
        <v>0.0111165107280075</v>
      </c>
      <c r="CL59" s="57" t="n">
        <f aca="false">(1-EXP(-r_ich*rr_asa_ich*dt))</f>
        <v>0.00102357767802375</v>
      </c>
      <c r="CM59" s="57" t="n">
        <f aca="false">(1-EXP(-r_mb*rr_asa_mb*dt))</f>
        <v>0.00951809672747972</v>
      </c>
      <c r="CN59" s="57" t="n">
        <f aca="false">(1-EXP(-r_mi*rr_asa_mi*dt))</f>
        <v>0.00213413516393479</v>
      </c>
      <c r="CO59" s="57" t="n">
        <f aca="false">(1-EXP(-r_tia*rr_asa_tia*dt))</f>
        <v>0.00312764565589152</v>
      </c>
      <c r="CP59" s="57" t="n">
        <f aca="false">(1-EXP(-r_minor*rr_asa_minor*dt))</f>
        <v>0.0278181950466747</v>
      </c>
      <c r="CQ59" s="57" t="n">
        <f aca="false">CJ59*CK59</f>
        <v>0.000849764010126025</v>
      </c>
      <c r="CR59" s="57" t="n">
        <f aca="false">CJ59*CL59</f>
        <v>7.82439286602342E-005</v>
      </c>
      <c r="CS59" s="57" t="n">
        <f aca="false">CJ59*CM59</f>
        <v>0.000727578665806792</v>
      </c>
      <c r="CT59" s="57" t="n">
        <f aca="false">CJ59*CN59</f>
        <v>0.000163136734127116</v>
      </c>
      <c r="CU59" s="57" t="n">
        <f aca="false">CJ59*CO59</f>
        <v>0.000239082278588328</v>
      </c>
      <c r="CV59" s="57" t="n">
        <f aca="false">CJ59*CP59</f>
        <v>0.00212646769797768</v>
      </c>
      <c r="CW59" s="57" t="n">
        <f aca="false">CQ59*f_stroke_fatal</f>
        <v>0.000201394070399868</v>
      </c>
      <c r="CX59" s="57" t="n">
        <f aca="false">CQ59*(1-f_stroke_fatal)*f_stroke_major</f>
        <v>0.00021590718992881</v>
      </c>
      <c r="CY59" s="57" t="n">
        <f aca="false">CQ59*(1-f_stroke_fatal)*(1-f_stroke_major)</f>
        <v>0.000432462749797347</v>
      </c>
      <c r="CZ59" s="57" t="n">
        <f aca="false">CR59*(1-f_bleed_fatal)</f>
        <v>7.16714386527745E-005</v>
      </c>
      <c r="DA59" s="57" t="n">
        <f aca="false">CS59*(1-f_bleed_fatal)</f>
        <v>0.000666462057879022</v>
      </c>
      <c r="DB59" s="57" t="n">
        <f aca="false">CT59*f_mi_fatal</f>
        <v>1.97395448293811E-005</v>
      </c>
      <c r="DC59" s="57" t="n">
        <f aca="false">CT59-DB59</f>
        <v>0.000143397189297735</v>
      </c>
      <c r="DD59" s="57" t="n">
        <f aca="false">CJ59-CQ59-CR59-CS59-DB59</f>
        <v>0.0747662867736947</v>
      </c>
      <c r="DE59" s="19" t="n">
        <f aca="false">CW59*c_stroke_fatal+CX59*c_stroke_major+CY59*c_stroke_minor+CR59*c_ich+CS59*c_major_bleed+DB59*c_mi_fatal+DC59*c_mi_nonfatal+CU59*c_tia+CV59*c_minor_bleed</f>
        <v>41.6902612117593</v>
      </c>
      <c r="DF59" s="57" t="n">
        <f aca="false">dt*(DC59*dec_mi+DA59*dec_major_bleed+CV59*dec_minor_bleed+CU59*dec_tia)</f>
        <v>3.28771781888487E-005</v>
      </c>
      <c r="DG59" s="57" t="n">
        <f aca="false">J59*CI59+CW59+CR59-CZ59+CS59-DA59+DB59</f>
        <v>0.00296534528191693</v>
      </c>
      <c r="DH59" s="57" t="n">
        <f aca="false">AG59</f>
        <v>0.159680618787231</v>
      </c>
      <c r="DI59" s="57" t="n">
        <f aca="false">AB59+AC59+BF59+BA59+BB59+BC59+CY59+CZ59</f>
        <v>0.0292575020340123</v>
      </c>
      <c r="DJ59" s="57" t="n">
        <f aca="false">AA59+AZ59+BY59+CX59+CE59+BZ59+CA59+CB59</f>
        <v>0.0130778637086198</v>
      </c>
      <c r="DK59" s="57" t="n">
        <f aca="false">AD59+DD59+DA59</f>
        <v>0.0766763442970256</v>
      </c>
      <c r="DL59" s="57" t="n">
        <f aca="false">K59+AJ59+BI59+CH59+DG59</f>
        <v>0.721307671173112</v>
      </c>
      <c r="DM59" s="58" t="n">
        <f aca="false">SUM(DH59:DL59)</f>
        <v>1</v>
      </c>
      <c r="DN59" s="19" t="n">
        <f aca="false">dt*(G59*Warfarin!$H$2+(H59+I59+J59)*c_aspirin)</f>
        <v>17.3610195563081</v>
      </c>
      <c r="DO59" s="19" t="n">
        <f aca="false">dt*(H59*c_lt_minor_stroke+I59*c_lt_major_stroke)</f>
        <v>171.628411424533</v>
      </c>
      <c r="DP59" s="19" t="n">
        <f aca="false">AH59+BG59+CF59+DE59</f>
        <v>144.862638695403</v>
      </c>
      <c r="DQ59" s="19" t="n">
        <f aca="false">DN59+DO59+DP59</f>
        <v>333.852069676245</v>
      </c>
      <c r="DR59" s="57" t="n">
        <f aca="false">dt*(G59*(u_af-dec_per_year_over_70*MAX(B59-ref_age,0))+H59*(u_minor_stroke-dec_per_year_over_70*MAX(B59-ref_age,0))+I59*(u_major_stroke-dec_per_year_over_70*MAX(B59-ref_age,0))+J59*(u_af-dec_per_year_over_70*MAX(B59-ref_age,0)))-AI59-BH59-CG59-DF59</f>
        <v>0.0565624544811557</v>
      </c>
      <c r="DS59" s="57" t="n">
        <f aca="false">dt*(G59+H59+I59+J59)</f>
        <v>0.0728918334046962</v>
      </c>
      <c r="DT59" s="19" t="n">
        <f aca="false">DQ59*C59</f>
        <v>274.081052355831</v>
      </c>
      <c r="DU59" s="19" t="n">
        <f aca="false">DN59*C59</f>
        <v>14.2527991950971</v>
      </c>
      <c r="DV59" s="19" t="n">
        <f aca="false">DP59*C59</f>
        <v>118.927237740901</v>
      </c>
      <c r="DW59" s="19" t="n">
        <f aca="false">DO59*C59</f>
        <v>140.901015419833</v>
      </c>
      <c r="DX59" s="57" t="n">
        <f aca="false">DR59*C59</f>
        <v>0.0464358272903858</v>
      </c>
      <c r="DY59" s="57" t="n">
        <f aca="false">DS59*C59</f>
        <v>0.0598416850525416</v>
      </c>
      <c r="DZ59" s="57" t="n">
        <f aca="false">T59+AS59+BR59+CQ59</f>
        <v>0.00296042700852484</v>
      </c>
      <c r="EA59" s="57" t="n">
        <f aca="false">U59+AT59+BS59+CR59</f>
        <v>0.00044609047040001</v>
      </c>
      <c r="EB59" s="57" t="n">
        <f aca="false">V59+AU59+BT59+CS59</f>
        <v>0.00247431833638733</v>
      </c>
      <c r="EC59" s="57" t="n">
        <f aca="false">G59*dt*C59</f>
        <v>0.0345219158139149</v>
      </c>
    </row>
    <row r="60" customFormat="false" ht="15" hidden="false" customHeight="false" outlineLevel="0" collapsed="false">
      <c r="A60" s="8" t="n">
        <v>54</v>
      </c>
      <c r="B60" s="54" t="n">
        <f aca="false">start_age+A60*dt</f>
        <v>83.5</v>
      </c>
      <c r="C60" s="16" t="n">
        <f aca="false">(1+disc_rate)^-(A60*dt)</f>
        <v>0.817915483464319</v>
      </c>
      <c r="D60" s="55" t="n">
        <f aca="false">IF(A60*dt&gt;=wane_start,(1-wane_decay)^(A60*dt-wane_start),1)</f>
        <v>1</v>
      </c>
      <c r="E60" s="25" t="n">
        <f aca="false">MIN(p_nonvasc_death*MIN(EXP(gomp_int+gomp_slope*INT(B60)),1)/qx_ref,0.999)</f>
        <v>0.128604742069064</v>
      </c>
      <c r="F60" s="55" t="n">
        <f aca="false">rr_stroke_per_decade^((B60-ref_age)/10)</f>
        <v>1.72871420132783</v>
      </c>
      <c r="G60" s="57" t="n">
        <f aca="false">DH59</f>
        <v>0.159680618787231</v>
      </c>
      <c r="H60" s="57" t="n">
        <f aca="false">DI59</f>
        <v>0.0292575020340123</v>
      </c>
      <c r="I60" s="57" t="n">
        <f aca="false">DJ59</f>
        <v>0.0130778637086198</v>
      </c>
      <c r="J60" s="57" t="n">
        <f aca="false">DK59</f>
        <v>0.0766763442970256</v>
      </c>
      <c r="K60" s="57" t="n">
        <f aca="false">DL59</f>
        <v>0.721307671173112</v>
      </c>
      <c r="L60" s="57" t="n">
        <f aca="false">1-EXP(LN(1-E60)*dt)</f>
        <v>0.033829444439164</v>
      </c>
      <c r="M60" s="57" t="n">
        <f aca="false">G60*(1-L60)</f>
        <v>0.154278712165957</v>
      </c>
      <c r="N60" s="57" t="n">
        <f aca="false">IF(Warfarin!$B$2=1,EXP(LN(or_apx_stroke)*D60)*(1-EXP(-r_stroke*F60*dt))/(1-(1-EXP(-r_stroke*F60*dt))+EXP(LN(or_apx_stroke)*D60)*(1-EXP(-r_stroke*F60*dt))),(1-EXP(-r_stroke*F60*dt)))</f>
        <v>0.00694653341813845</v>
      </c>
      <c r="O60" s="57" t="n">
        <f aca="false">IF(Warfarin!$B$2=1,EXP(LN(or_apx_ich)*D60)*(1-EXP(-r_ich*dt))/(1-(1-EXP(-r_ich*dt))+EXP(LN(or_apx_ich)*D60)*(1-EXP(-r_ich*dt))),(1-EXP(-r_ich*dt)))</f>
        <v>0.0020060281549299</v>
      </c>
      <c r="P60" s="57" t="n">
        <f aca="false">IF(Warfarin!$B$2=1,EXP(LN(or_apx_mb)*D60)*(1-EXP(-r_mb*dt))/(1-(1-EXP(-r_mb*dt))+EXP(LN(or_apx_mb)*D60)*(1-EXP(-r_mb*dt))),(1-EXP(-r_mb*dt)))</f>
        <v>0.00835410477572107</v>
      </c>
      <c r="Q60" s="57" t="n">
        <f aca="false">IF(Warfarin!$B$2=1,EXP(LN(or_apx_mi)*D60)*(1-EXP(-r_mi*dt))/(1-(1-EXP(-r_mi*dt))+EXP(LN(or_apx_mi)*D60)*(1-EXP(-r_mi*dt))),(1-EXP(-r_mi*dt)))</f>
        <v>0.00150338686144691</v>
      </c>
      <c r="R60" s="57" t="n">
        <f aca="false">(1-EXP(-r_tia*dt))</f>
        <v>0.0020060281549299</v>
      </c>
      <c r="S60" s="57" t="n">
        <f aca="false">(1-EXP(-r_minor*dt))</f>
        <v>0.0437937690785545</v>
      </c>
      <c r="T60" s="57" t="n">
        <f aca="false">M60*N60</f>
        <v>0.00107170222976818</v>
      </c>
      <c r="U60" s="57" t="n">
        <f aca="false">M60*O60</f>
        <v>0.000309487440311236</v>
      </c>
      <c r="V60" s="57" t="n">
        <f aca="false">M60*P60</f>
        <v>0.00128886052609772</v>
      </c>
      <c r="W60" s="57" t="n">
        <f aca="false">M60*Q60</f>
        <v>0.00023194058887125</v>
      </c>
      <c r="X60" s="57" t="n">
        <f aca="false">M60*R60</f>
        <v>0.000309487440311236</v>
      </c>
      <c r="Y60" s="57" t="n">
        <f aca="false">M60*S60</f>
        <v>0.0067564462943327</v>
      </c>
      <c r="Z60" s="57" t="n">
        <f aca="false">T60*f_stroke_fatal</f>
        <v>0.00025399342845506</v>
      </c>
      <c r="AA60" s="57" t="n">
        <f aca="false">T60*(1-f_stroke_fatal)*f_stroke_major</f>
        <v>0.000272297030837271</v>
      </c>
      <c r="AB60" s="57" t="n">
        <f aca="false">T60*(1-f_stroke_fatal)*(1-f_stroke_major)</f>
        <v>0.000545411770475854</v>
      </c>
      <c r="AC60" s="57" t="n">
        <f aca="false">U60*(1-f_bleed_fatal)</f>
        <v>0.000283490495325092</v>
      </c>
      <c r="AD60" s="57" t="n">
        <f aca="false">V60*(1-f_bleed_fatal)</f>
        <v>0.00118059624190551</v>
      </c>
      <c r="AE60" s="57" t="n">
        <f aca="false">W60*f_mi_fatal</f>
        <v>2.80648112534212E-005</v>
      </c>
      <c r="AF60" s="57" t="n">
        <f aca="false">W60-AE60</f>
        <v>0.000203875777617828</v>
      </c>
      <c r="AG60" s="57" t="n">
        <f aca="false">M60-T60-U60-V60-AE60</f>
        <v>0.151580597158527</v>
      </c>
      <c r="AH60" s="19" t="n">
        <f aca="false">Z60*c_stroke_fatal+AA60*c_stroke_major+AB60*c_stroke_minor+U60*c_ich+V60*c_major_bleed+AE60*c_mi_fatal+AF60*c_mi_nonfatal+X60*c_tia+Y60*c_minor_bleed</f>
        <v>60.6102365227778</v>
      </c>
      <c r="AI60" s="57" t="n">
        <f aca="false">dt*(AF60*dec_mi+AD60*dec_major_bleed+Y60*dec_minor_bleed+X60*dec_tia)</f>
        <v>6.34525836589795E-005</v>
      </c>
      <c r="AJ60" s="57" t="n">
        <f aca="false">G60*L60+Z60+U60-AC60+V60-AD60+AE60</f>
        <v>0.0058182260901608</v>
      </c>
      <c r="AK60" s="57" t="n">
        <f aca="false">1-EXP(LN(1-E60)*hr_death_prior_stroke*dt)</f>
        <v>0.0761026200294805</v>
      </c>
      <c r="AL60" s="57" t="n">
        <f aca="false">H60*(1-AK60)</f>
        <v>0.0270309294737061</v>
      </c>
      <c r="AM60" s="57" t="n">
        <f aca="false">(1-EXP(-r_stroke*F60*rr_stroke_prior*rr_asa_stroke*dt))</f>
        <v>0.0245377664317015</v>
      </c>
      <c r="AN60" s="57" t="n">
        <f aca="false">(1-EXP(-r_ich*rr_asa_ich*dt))</f>
        <v>0.00102357767802375</v>
      </c>
      <c r="AO60" s="57" t="n">
        <f aca="false">(1-EXP(-r_mb*rr_asa_mb*dt))</f>
        <v>0.00951809672747972</v>
      </c>
      <c r="AP60" s="57" t="n">
        <f aca="false">(1-EXP(-r_mi*rr_asa_mi*dt))</f>
        <v>0.00213413516393479</v>
      </c>
      <c r="AQ60" s="57" t="n">
        <f aca="false">(1-EXP(-r_tia*rr_asa_tia*dt))</f>
        <v>0.00312764565589152</v>
      </c>
      <c r="AR60" s="57" t="n">
        <f aca="false">(1-EXP(-r_minor*rr_asa_minor*dt))</f>
        <v>0.0278181950466747</v>
      </c>
      <c r="AS60" s="57" t="n">
        <f aca="false">AL60*AM60</f>
        <v>0.000663278633857596</v>
      </c>
      <c r="AT60" s="57" t="n">
        <f aca="false">AL60*AN60</f>
        <v>2.76682560255197E-005</v>
      </c>
      <c r="AU60" s="57" t="n">
        <f aca="false">AL60*AO60</f>
        <v>0.000257283001364417</v>
      </c>
      <c r="AV60" s="57" t="n">
        <f aca="false">AL60*AP60</f>
        <v>5.76876571036776E-005</v>
      </c>
      <c r="AW60" s="57" t="n">
        <f aca="false">AL60*AQ60</f>
        <v>8.4543169143147E-005</v>
      </c>
      <c r="AX60" s="57" t="n">
        <f aca="false">AL60*AR60</f>
        <v>0.000751951668392465</v>
      </c>
      <c r="AY60" s="57" t="n">
        <f aca="false">AS60*f_stroke_fatal_recur</f>
        <v>0.000246799346872073</v>
      </c>
      <c r="AZ60" s="57" t="n">
        <f aca="false">AS60*(1-f_stroke_fatal_recur)*f_stroke_major</f>
        <v>0.000138687602566179</v>
      </c>
      <c r="BA60" s="57" t="n">
        <f aca="false">AS60*(1-f_stroke_fatal_recur)*(1-f_stroke_major)</f>
        <v>0.000277791684419344</v>
      </c>
      <c r="BB60" s="57" t="n">
        <f aca="false">AT60*(1-f_bleed_fatal)</f>
        <v>2.53441225193761E-005</v>
      </c>
      <c r="BC60" s="57" t="n">
        <f aca="false">AU60*(1-f_bleed_fatal)</f>
        <v>0.000235671229249806</v>
      </c>
      <c r="BD60" s="57" t="n">
        <f aca="false">AV60*f_mi_fatal</f>
        <v>6.98020650954499E-006</v>
      </c>
      <c r="BE60" s="57" t="n">
        <f aca="false">AV60-BD60</f>
        <v>5.07074505941326E-005</v>
      </c>
      <c r="BF60" s="57" t="n">
        <f aca="false">AL60-AS60-AT60-AU60-BD60</f>
        <v>0.026075719375949</v>
      </c>
      <c r="BG60" s="19" t="n">
        <f aca="false">AY60*c_stroke_fatal+AZ60*c_stroke_major+BA60*c_stroke_minor+AT60*c_ich+AU60*c_major_bleed+BD60*c_mi_fatal+BE60*c_mi_nonfatal+AW60*c_tia+AX60*c_minor_bleed</f>
        <v>26.509425072857</v>
      </c>
      <c r="BH60" s="57" t="n">
        <f aca="false">dt*(BE60*dec_mi+BC60*dec_major_bleed+AX60*dec_minor_bleed+AW60*dec_tia)</f>
        <v>1.16258756315237E-005</v>
      </c>
      <c r="BI60" s="57" t="n">
        <f aca="false">H60*AK60+AY60+AT60-BB60+AU60-BC60+BD60</f>
        <v>0.00250428801930856</v>
      </c>
      <c r="BJ60" s="57" t="n">
        <f aca="false">1-EXP(LN(1-E60)*hr_death_prior_stroke*dt)</f>
        <v>0.0761026200294805</v>
      </c>
      <c r="BK60" s="57" t="n">
        <f aca="false">I60*(1-BJ60)</f>
        <v>0.0120826040160054</v>
      </c>
      <c r="BL60" s="57" t="n">
        <f aca="false">(1-EXP(-r_stroke*F60*rr_stroke_prior*rr_asa_stroke*dt))</f>
        <v>0.0245377664317015</v>
      </c>
      <c r="BM60" s="57" t="n">
        <f aca="false">(1-EXP(-r_ich*rr_asa_ich*dt))</f>
        <v>0.00102357767802375</v>
      </c>
      <c r="BN60" s="57" t="n">
        <f aca="false">(1-EXP(-r_mb*rr_asa_mb*dt))</f>
        <v>0.00951809672747972</v>
      </c>
      <c r="BO60" s="57" t="n">
        <f aca="false">(1-EXP(-r_mi*rr_asa_mi*dt))</f>
        <v>0.00213413516393479</v>
      </c>
      <c r="BP60" s="57" t="n">
        <f aca="false">(1-EXP(-r_tia*rr_asa_tia*dt))</f>
        <v>0.00312764565589152</v>
      </c>
      <c r="BQ60" s="57" t="n">
        <f aca="false">(1-EXP(-r_minor*rr_asa_minor*dt))</f>
        <v>0.0278181950466747</v>
      </c>
      <c r="BR60" s="57" t="n">
        <f aca="false">BK60*BL60</f>
        <v>0.000296480115231479</v>
      </c>
      <c r="BS60" s="57" t="n">
        <f aca="false">BK60*BM60</f>
        <v>1.23674837631832E-005</v>
      </c>
      <c r="BT60" s="57" t="n">
        <f aca="false">BK60*BN60</f>
        <v>0.000115003393744174</v>
      </c>
      <c r="BU60" s="57" t="n">
        <f aca="false">BK60*BO60</f>
        <v>2.57859101024569E-005</v>
      </c>
      <c r="BV60" s="57" t="n">
        <f aca="false">BK60*BP60</f>
        <v>3.77901039625168E-005</v>
      </c>
      <c r="BW60" s="57" t="n">
        <f aca="false">BK60*BQ60</f>
        <v>0.000336116235188974</v>
      </c>
      <c r="BX60" s="57" t="n">
        <f aca="false">BR60*f_stroke_fatal_recur</f>
        <v>0.000110317286076481</v>
      </c>
      <c r="BY60" s="57" t="n">
        <f aca="false">BR60*(1-f_stroke_fatal_recur)*f_stroke_major</f>
        <v>6.19922221086143E-005</v>
      </c>
      <c r="BZ60" s="57" t="n">
        <f aca="false">BR60*(1-f_stroke_fatal_recur)*(1-f_stroke_major)</f>
        <v>0.000124170607046384</v>
      </c>
      <c r="CA60" s="57" t="n">
        <f aca="false">BS60*(1-f_bleed_fatal)</f>
        <v>1.13286151270758E-005</v>
      </c>
      <c r="CB60" s="57" t="n">
        <f aca="false">BT60*(1-f_bleed_fatal)</f>
        <v>0.000105343108669664</v>
      </c>
      <c r="CC60" s="57" t="n">
        <f aca="false">BU60*f_mi_fatal</f>
        <v>3.12009512239728E-006</v>
      </c>
      <c r="CD60" s="57" t="n">
        <f aca="false">BU60-CC60</f>
        <v>2.26658149800596E-005</v>
      </c>
      <c r="CE60" s="57" t="n">
        <f aca="false">BK60-BR60-BS60-BT60-CC60</f>
        <v>0.0116556329281442</v>
      </c>
      <c r="CF60" s="19" t="n">
        <f aca="false">BX60*c_stroke_fatal+BY60*c_stroke_major+BZ60*c_stroke_minor+BS60*c_ich+BT60*c_major_bleed+CC60*c_mi_fatal+CD60*c_mi_nonfatal+BV60*c_tia+BW60*c_minor_bleed</f>
        <v>11.8494958214022</v>
      </c>
      <c r="CG60" s="57" t="n">
        <f aca="false">dt*(CD60*dec_mi+CB60*dec_major_bleed+BW60*dec_minor_bleed+BV60*dec_tia)</f>
        <v>5.1966711589281E-006</v>
      </c>
      <c r="CH60" s="57" t="n">
        <f aca="false">I60*BJ60+BX60+BS60-CA60+BT60-CB60+CC60</f>
        <v>0.00111939622752393</v>
      </c>
      <c r="CI60" s="57" t="n">
        <f aca="false">1-EXP(LN(1-E60)*dt)</f>
        <v>0.033829444439164</v>
      </c>
      <c r="CJ60" s="57" t="n">
        <f aca="false">J60*(1-CI60)</f>
        <v>0.0740824261678312</v>
      </c>
      <c r="CK60" s="57" t="n">
        <f aca="false">(1-EXP(-r_stroke*F60*rr_asa_stroke*dt))</f>
        <v>0.0112291294405696</v>
      </c>
      <c r="CL60" s="57" t="n">
        <f aca="false">(1-EXP(-r_ich*rr_asa_ich*dt))</f>
        <v>0.00102357767802375</v>
      </c>
      <c r="CM60" s="57" t="n">
        <f aca="false">(1-EXP(-r_mb*rr_asa_mb*dt))</f>
        <v>0.00951809672747972</v>
      </c>
      <c r="CN60" s="57" t="n">
        <f aca="false">(1-EXP(-r_mi*rr_asa_mi*dt))</f>
        <v>0.00213413516393479</v>
      </c>
      <c r="CO60" s="57" t="n">
        <f aca="false">(1-EXP(-r_tia*rr_asa_tia*dt))</f>
        <v>0.00312764565589152</v>
      </c>
      <c r="CP60" s="57" t="n">
        <f aca="false">(1-EXP(-r_minor*rr_asa_minor*dt))</f>
        <v>0.0278181950466747</v>
      </c>
      <c r="CQ60" s="57" t="n">
        <f aca="false">CJ60*CK60</f>
        <v>0.00083188115271002</v>
      </c>
      <c r="CR60" s="57" t="n">
        <f aca="false">CJ60*CL60</f>
        <v>7.58291177592342E-005</v>
      </c>
      <c r="CS60" s="57" t="n">
        <f aca="false">CJ60*CM60</f>
        <v>0.000705123698071792</v>
      </c>
      <c r="CT60" s="57" t="n">
        <f aca="false">CJ60*CN60</f>
        <v>0.000158101910714371</v>
      </c>
      <c r="CU60" s="57" t="n">
        <f aca="false">CJ60*CO60</f>
        <v>0.000231703578381721</v>
      </c>
      <c r="CV60" s="57" t="n">
        <f aca="false">CJ60*CP60</f>
        <v>0.00206083938066761</v>
      </c>
      <c r="CW60" s="57" t="n">
        <f aca="false">CQ60*f_stroke_fatal</f>
        <v>0.000197155833192275</v>
      </c>
      <c r="CX60" s="57" t="n">
        <f aca="false">CQ60*(1-f_stroke_fatal)*f_stroke_major</f>
        <v>0.000211363531399409</v>
      </c>
      <c r="CY60" s="57" t="n">
        <f aca="false">CQ60*(1-f_stroke_fatal)*(1-f_stroke_major)</f>
        <v>0.000423361788118336</v>
      </c>
      <c r="CZ60" s="57" t="n">
        <f aca="false">CR60*(1-f_bleed_fatal)</f>
        <v>6.94594718674586E-005</v>
      </c>
      <c r="DA60" s="57" t="n">
        <f aca="false">CS60*(1-f_bleed_fatal)</f>
        <v>0.000645893307433761</v>
      </c>
      <c r="DB60" s="57" t="n">
        <f aca="false">CT60*f_mi_fatal</f>
        <v>1.91303311964389E-005</v>
      </c>
      <c r="DC60" s="57" t="n">
        <f aca="false">CT60-DB60</f>
        <v>0.000138971579517933</v>
      </c>
      <c r="DD60" s="57" t="n">
        <f aca="false">CJ60-CQ60-CR60-CS60-DB60</f>
        <v>0.0724504618680937</v>
      </c>
      <c r="DE60" s="19" t="n">
        <f aca="false">CW60*c_stroke_fatal+CX60*c_stroke_major+CY60*c_stroke_minor+CR60*c_ich+CS60*c_major_bleed+DB60*c_mi_fatal+DC60*c_mi_nonfatal+CU60*c_tia+CV60*c_minor_bleed</f>
        <v>40.7118480240626</v>
      </c>
      <c r="DF60" s="57" t="n">
        <f aca="false">dt*(DC60*dec_mi+DA60*dec_major_bleed+CV60*dec_minor_bleed+CU60*dec_tia)</f>
        <v>3.1862503061411E-005</v>
      </c>
      <c r="DG60" s="57" t="n">
        <f aca="false">J60*CI60+CW60+CR60-CZ60+CS60-DA60+DB60</f>
        <v>0.00287580433011296</v>
      </c>
      <c r="DH60" s="57" t="n">
        <f aca="false">AG60</f>
        <v>0.151580597158527</v>
      </c>
      <c r="DI60" s="57" t="n">
        <f aca="false">AB60+AC60+BF60+BA60+BB60+BC60+CY60+CZ60</f>
        <v>0.0279362499379243</v>
      </c>
      <c r="DJ60" s="57" t="n">
        <f aca="false">AA60+AZ60+BY60+CX60+CE60+BZ60+CA60+CB60</f>
        <v>0.0125808156458988</v>
      </c>
      <c r="DK60" s="57" t="n">
        <f aca="false">AD60+DD60+DA60</f>
        <v>0.074276951417433</v>
      </c>
      <c r="DL60" s="57" t="n">
        <f aca="false">K60+AJ60+BI60+CH60+DG60</f>
        <v>0.733625385840218</v>
      </c>
      <c r="DM60" s="58" t="n">
        <f aca="false">SUM(DH60:DL60)</f>
        <v>1</v>
      </c>
      <c r="DN60" s="19" t="n">
        <f aca="false">dt*(G60*Warfarin!$H$2+(H60+I60+J60)*c_aspirin)</f>
        <v>16.5000287167841</v>
      </c>
      <c r="DO60" s="19" t="n">
        <f aca="false">dt*(H60*c_lt_minor_stroke+I60*c_lt_major_stroke)</f>
        <v>164.473559089955</v>
      </c>
      <c r="DP60" s="19" t="n">
        <f aca="false">AH60+BG60+CF60+DE60</f>
        <v>139.6810054411</v>
      </c>
      <c r="DQ60" s="19" t="n">
        <f aca="false">DN60+DO60+DP60</f>
        <v>320.654593247838</v>
      </c>
      <c r="DR60" s="57" t="n">
        <f aca="false">dt*(G60*(u_af-dec_per_year_over_70*MAX(B60-ref_age,0))+H60*(u_minor_stroke-dec_per_year_over_70*MAX(B60-ref_age,0))+I60*(u_major_stroke-dec_per_year_over_70*MAX(B60-ref_age,0))+J60*(u_af-dec_per_year_over_70*MAX(B60-ref_age,0)))-AI60-BH60-CG60-DF60</f>
        <v>0.0540505832729609</v>
      </c>
      <c r="DS60" s="57" t="n">
        <f aca="false">dt*(G60+H60+I60+J60)</f>
        <v>0.0696730822067223</v>
      </c>
      <c r="DT60" s="19" t="n">
        <f aca="false">DQ60*C60</f>
        <v>262.26835666136</v>
      </c>
      <c r="DU60" s="19" t="n">
        <f aca="false">DN60*C60</f>
        <v>13.4956289650636</v>
      </c>
      <c r="DV60" s="19" t="n">
        <f aca="false">DP60*C60</f>
        <v>114.247257096139</v>
      </c>
      <c r="DW60" s="19" t="n">
        <f aca="false">DO60*C60</f>
        <v>134.525470600157</v>
      </c>
      <c r="DX60" s="57" t="n">
        <f aca="false">DR60*C60</f>
        <v>0.0442088089492322</v>
      </c>
      <c r="DY60" s="57" t="n">
        <f aca="false">DS60*C60</f>
        <v>0.0569866927175605</v>
      </c>
      <c r="DZ60" s="57" t="n">
        <f aca="false">T60+AS60+BR60+CQ60</f>
        <v>0.00286334213156728</v>
      </c>
      <c r="EA60" s="57" t="n">
        <f aca="false">U60+AT60+BS60+CR60</f>
        <v>0.000425352297859173</v>
      </c>
      <c r="EB60" s="57" t="n">
        <f aca="false">V60+AU60+BT60+CS60</f>
        <v>0.0023662706192781</v>
      </c>
      <c r="EC60" s="57" t="n">
        <f aca="false">G60*dt*C60</f>
        <v>0.0326513126288099</v>
      </c>
    </row>
    <row r="61" customFormat="false" ht="15" hidden="false" customHeight="false" outlineLevel="0" collapsed="false">
      <c r="A61" s="8" t="n">
        <v>55</v>
      </c>
      <c r="B61" s="54" t="n">
        <f aca="false">start_age+A61*dt</f>
        <v>83.75</v>
      </c>
      <c r="C61" s="16" t="n">
        <f aca="false">(1+disc_rate)^-(A61*dt)</f>
        <v>0.814876735643521</v>
      </c>
      <c r="D61" s="55" t="n">
        <f aca="false">IF(A61*dt&gt;=wane_start,(1-wane_decay)^(A61*dt-wane_start),1)</f>
        <v>1</v>
      </c>
      <c r="E61" s="25" t="n">
        <f aca="false">MIN(p_nonvasc_death*MIN(EXP(gomp_int+gomp_slope*INT(B61)),1)/qx_ref,0.999)</f>
        <v>0.128604742069064</v>
      </c>
      <c r="F61" s="55" t="n">
        <f aca="false">rr_stroke_per_decade^((B61-ref_age)/10)</f>
        <v>1.74632664819135</v>
      </c>
      <c r="G61" s="57" t="n">
        <f aca="false">DH60</f>
        <v>0.151580597158527</v>
      </c>
      <c r="H61" s="57" t="n">
        <f aca="false">DI60</f>
        <v>0.0279362499379243</v>
      </c>
      <c r="I61" s="57" t="n">
        <f aca="false">DJ60</f>
        <v>0.0125808156458988</v>
      </c>
      <c r="J61" s="57" t="n">
        <f aca="false">DK60</f>
        <v>0.074276951417433</v>
      </c>
      <c r="K61" s="57" t="n">
        <f aca="false">DL60</f>
        <v>0.733625385840218</v>
      </c>
      <c r="L61" s="57" t="n">
        <f aca="false">1-EXP(LN(1-E61)*dt)</f>
        <v>0.033829444439164</v>
      </c>
      <c r="M61" s="57" t="n">
        <f aca="false">G61*(1-L61)</f>
        <v>0.146452709768897</v>
      </c>
      <c r="N61" s="57" t="n">
        <f aca="false">IF(Warfarin!$B$2=1,EXP(LN(or_apx_stroke)*D61)*(1-EXP(-r_stroke*F61*dt))/(1-(1-EXP(-r_stroke*F61*dt))+EXP(LN(or_apx_stroke)*D61)*(1-EXP(-r_stroke*F61*dt))),(1-EXP(-r_stroke*F61*dt)))</f>
        <v>0.00701705704525346</v>
      </c>
      <c r="O61" s="57" t="n">
        <f aca="false">IF(Warfarin!$B$2=1,EXP(LN(or_apx_ich)*D61)*(1-EXP(-r_ich*dt))/(1-(1-EXP(-r_ich*dt))+EXP(LN(or_apx_ich)*D61)*(1-EXP(-r_ich*dt))),(1-EXP(-r_ich*dt)))</f>
        <v>0.0020060281549299</v>
      </c>
      <c r="P61" s="57" t="n">
        <f aca="false">IF(Warfarin!$B$2=1,EXP(LN(or_apx_mb)*D61)*(1-EXP(-r_mb*dt))/(1-(1-EXP(-r_mb*dt))+EXP(LN(or_apx_mb)*D61)*(1-EXP(-r_mb*dt))),(1-EXP(-r_mb*dt)))</f>
        <v>0.00835410477572107</v>
      </c>
      <c r="Q61" s="57" t="n">
        <f aca="false">IF(Warfarin!$B$2=1,EXP(LN(or_apx_mi)*D61)*(1-EXP(-r_mi*dt))/(1-(1-EXP(-r_mi*dt))+EXP(LN(or_apx_mi)*D61)*(1-EXP(-r_mi*dt))),(1-EXP(-r_mi*dt)))</f>
        <v>0.00150338686144691</v>
      </c>
      <c r="R61" s="57" t="n">
        <f aca="false">(1-EXP(-r_tia*dt))</f>
        <v>0.0020060281549299</v>
      </c>
      <c r="S61" s="57" t="n">
        <f aca="false">(1-EXP(-r_minor*dt))</f>
        <v>0.0437937690785545</v>
      </c>
      <c r="T61" s="57" t="n">
        <f aca="false">M61*N61</f>
        <v>0.0010276670188803</v>
      </c>
      <c r="U61" s="57" t="n">
        <f aca="false">M61*O61</f>
        <v>0.000293788259162184</v>
      </c>
      <c r="V61" s="57" t="n">
        <f aca="false">M61*P61</f>
        <v>0.00122348128209763</v>
      </c>
      <c r="W61" s="57" t="n">
        <f aca="false">M61*Q61</f>
        <v>0.000220175079689857</v>
      </c>
      <c r="X61" s="57" t="n">
        <f aca="false">M61*R61</f>
        <v>0.000293788259162184</v>
      </c>
      <c r="Y61" s="57" t="n">
        <f aca="false">M61*S61</f>
        <v>0.00641371615254763</v>
      </c>
      <c r="Z61" s="57" t="n">
        <f aca="false">T61*f_stroke_fatal</f>
        <v>0.000243557083474631</v>
      </c>
      <c r="AA61" s="57" t="n">
        <f aca="false">T61*(1-f_stroke_fatal)*f_stroke_major</f>
        <v>0.000261108608490088</v>
      </c>
      <c r="AB61" s="57" t="n">
        <f aca="false">T61*(1-f_stroke_fatal)*(1-f_stroke_major)</f>
        <v>0.000523001326915581</v>
      </c>
      <c r="AC61" s="57" t="n">
        <f aca="false">U61*(1-f_bleed_fatal)</f>
        <v>0.00026911004539256</v>
      </c>
      <c r="AD61" s="57" t="n">
        <f aca="false">V61*(1-f_bleed_fatal)</f>
        <v>0.00112070885440143</v>
      </c>
      <c r="AE61" s="57" t="n">
        <f aca="false">W61*f_mi_fatal</f>
        <v>2.66411846424727E-005</v>
      </c>
      <c r="AF61" s="57" t="n">
        <f aca="false">W61-AE61</f>
        <v>0.000193533895047384</v>
      </c>
      <c r="AG61" s="57" t="n">
        <f aca="false">M61-T61-U61-V61-AE61</f>
        <v>0.143881132024114</v>
      </c>
      <c r="AH61" s="19" t="n">
        <f aca="false">Z61*c_stroke_fatal+AA61*c_stroke_major+AB61*c_stroke_minor+U61*c_ich+V61*c_major_bleed+AE61*c_mi_fatal+AF61*c_mi_nonfatal+X61*c_tia+Y61*c_minor_bleed</f>
        <v>57.917306953331</v>
      </c>
      <c r="AI61" s="57" t="n">
        <f aca="false">dt*(AF61*dec_mi+AD61*dec_major_bleed+Y61*dec_minor_bleed+X61*dec_tia)</f>
        <v>6.02338630406698E-005</v>
      </c>
      <c r="AJ61" s="57" t="n">
        <f aca="false">G61*L61+Z61+U61-AC61+V61-AD61+AE61</f>
        <v>0.00552553629921261</v>
      </c>
      <c r="AK61" s="57" t="n">
        <f aca="false">1-EXP(LN(1-E61)*hr_death_prior_stroke*dt)</f>
        <v>0.0761026200294805</v>
      </c>
      <c r="AL61" s="57" t="n">
        <f aca="false">H61*(1-AK61)</f>
        <v>0.0258102281238499</v>
      </c>
      <c r="AM61" s="57" t="n">
        <f aca="false">(1-EXP(-r_stroke*F61*rr_stroke_prior*rr_asa_stroke*dt))</f>
        <v>0.0247846377428709</v>
      </c>
      <c r="AN61" s="57" t="n">
        <f aca="false">(1-EXP(-r_ich*rr_asa_ich*dt))</f>
        <v>0.00102357767802375</v>
      </c>
      <c r="AO61" s="57" t="n">
        <f aca="false">(1-EXP(-r_mb*rr_asa_mb*dt))</f>
        <v>0.00951809672747972</v>
      </c>
      <c r="AP61" s="57" t="n">
        <f aca="false">(1-EXP(-r_mi*rr_asa_mi*dt))</f>
        <v>0.00213413516393479</v>
      </c>
      <c r="AQ61" s="57" t="n">
        <f aca="false">(1-EXP(-r_tia*rr_asa_tia*dt))</f>
        <v>0.00312764565589152</v>
      </c>
      <c r="AR61" s="57" t="n">
        <f aca="false">(1-EXP(-r_minor*rr_asa_minor*dt))</f>
        <v>0.0278181950466747</v>
      </c>
      <c r="AS61" s="57" t="n">
        <f aca="false">AL61*AM61</f>
        <v>0.000639697154110476</v>
      </c>
      <c r="AT61" s="57" t="n">
        <f aca="false">AL61*AN61</f>
        <v>2.64187733722734E-005</v>
      </c>
      <c r="AU61" s="57" t="n">
        <f aca="false">AL61*AO61</f>
        <v>0.00024566424784112</v>
      </c>
      <c r="AV61" s="57" t="n">
        <f aca="false">AL61*AP61</f>
        <v>5.50825154282867E-005</v>
      </c>
      <c r="AW61" s="57" t="n">
        <f aca="false">AL61*AQ61</f>
        <v>8.07252478691281E-005</v>
      </c>
      <c r="AX61" s="57" t="n">
        <f aca="false">AL61*AR61</f>
        <v>0.000717993960148424</v>
      </c>
      <c r="AY61" s="57" t="n">
        <f aca="false">AS61*f_stroke_fatal_recur</f>
        <v>0.000238024914072967</v>
      </c>
      <c r="AZ61" s="57" t="n">
        <f aca="false">AS61*(1-f_stroke_fatal_recur)*f_stroke_major</f>
        <v>0.000133756855932491</v>
      </c>
      <c r="BA61" s="57" t="n">
        <f aca="false">AS61*(1-f_stroke_fatal_recur)*(1-f_stroke_major)</f>
        <v>0.000267915384105019</v>
      </c>
      <c r="BB61" s="57" t="n">
        <f aca="false">AT61*(1-f_bleed_fatal)</f>
        <v>2.41995964090025E-005</v>
      </c>
      <c r="BC61" s="57" t="n">
        <f aca="false">AU61*(1-f_bleed_fatal)</f>
        <v>0.000225028451022466</v>
      </c>
      <c r="BD61" s="57" t="n">
        <f aca="false">AV61*f_mi_fatal</f>
        <v>6.66498436682269E-006</v>
      </c>
      <c r="BE61" s="57" t="n">
        <f aca="false">AV61-BD61</f>
        <v>4.8417531061464E-005</v>
      </c>
      <c r="BF61" s="57" t="n">
        <f aca="false">AL61-AS61-AT61-AU61-BD61</f>
        <v>0.0248917829641592</v>
      </c>
      <c r="BG61" s="19" t="n">
        <f aca="false">AY61*c_stroke_fatal+AZ61*c_stroke_major+BA61*c_stroke_minor+AT61*c_ich+AU61*c_major_bleed+BD61*c_mi_fatal+BE61*c_mi_nonfatal+AW61*c_tia+AX61*c_minor_bleed</f>
        <v>25.5319709369522</v>
      </c>
      <c r="BH61" s="57" t="n">
        <f aca="false">dt*(BE61*dec_mi+BC61*dec_major_bleed+AX61*dec_minor_bleed+AW61*dec_tia)</f>
        <v>1.11008577222999E-005</v>
      </c>
      <c r="BI61" s="57" t="n">
        <f aca="false">H61*AK61+AY61+AT61-BB61+AU61-BC61+BD61</f>
        <v>0.00239356668629617</v>
      </c>
      <c r="BJ61" s="57" t="n">
        <f aca="false">1-EXP(LN(1-E61)*hr_death_prior_stroke*dt)</f>
        <v>0.0761026200294805</v>
      </c>
      <c r="BK61" s="57" t="n">
        <f aca="false">I61*(1-BJ61)</f>
        <v>0.011623382613138</v>
      </c>
      <c r="BL61" s="57" t="n">
        <f aca="false">(1-EXP(-r_stroke*F61*rr_stroke_prior*rr_asa_stroke*dt))</f>
        <v>0.0247846377428709</v>
      </c>
      <c r="BM61" s="57" t="n">
        <f aca="false">(1-EXP(-r_ich*rr_asa_ich*dt))</f>
        <v>0.00102357767802375</v>
      </c>
      <c r="BN61" s="57" t="n">
        <f aca="false">(1-EXP(-r_mb*rr_asa_mb*dt))</f>
        <v>0.00951809672747972</v>
      </c>
      <c r="BO61" s="57" t="n">
        <f aca="false">(1-EXP(-r_mi*rr_asa_mi*dt))</f>
        <v>0.00213413516393479</v>
      </c>
      <c r="BP61" s="57" t="n">
        <f aca="false">(1-EXP(-r_tia*rr_asa_tia*dt))</f>
        <v>0.00312764565589152</v>
      </c>
      <c r="BQ61" s="57" t="n">
        <f aca="false">(1-EXP(-r_minor*rr_asa_minor*dt))</f>
        <v>0.0278181950466747</v>
      </c>
      <c r="BR61" s="57" t="n">
        <f aca="false">BK61*BL61</f>
        <v>0.000288081327413409</v>
      </c>
      <c r="BS61" s="57" t="n">
        <f aca="false">BK61*BM61</f>
        <v>1.18974349859374E-005</v>
      </c>
      <c r="BT61" s="57" t="n">
        <f aca="false">BK61*BN61</f>
        <v>0.000110632480012353</v>
      </c>
      <c r="BU61" s="57" t="n">
        <f aca="false">BK61*BO61</f>
        <v>2.48058695585661E-005</v>
      </c>
      <c r="BV61" s="57" t="n">
        <f aca="false">BK61*BP61</f>
        <v>3.63538221367461E-005</v>
      </c>
      <c r="BW61" s="57" t="n">
        <f aca="false">BK61*BQ61</f>
        <v>0.0003233415246344</v>
      </c>
      <c r="BX61" s="57" t="n">
        <f aca="false">BR61*f_stroke_fatal_recur</f>
        <v>0.000107192181117255</v>
      </c>
      <c r="BY61" s="57" t="n">
        <f aca="false">BR61*(1-f_stroke_fatal_recur)*f_stroke_major</f>
        <v>6.02360857166192E-005</v>
      </c>
      <c r="BZ61" s="57" t="n">
        <f aca="false">BR61*(1-f_stroke_fatal_recur)*(1-f_stroke_major)</f>
        <v>0.000120653060579535</v>
      </c>
      <c r="CA61" s="57" t="n">
        <f aca="false">BS61*(1-f_bleed_fatal)</f>
        <v>1.08980504471186E-005</v>
      </c>
      <c r="CB61" s="57" t="n">
        <f aca="false">BT61*(1-f_bleed_fatal)</f>
        <v>0.000101339351691316</v>
      </c>
      <c r="CC61" s="57" t="n">
        <f aca="false">BU61*f_mi_fatal</f>
        <v>3.00151021658649E-006</v>
      </c>
      <c r="CD61" s="57" t="n">
        <f aca="false">BU61-CC61</f>
        <v>2.18043593419796E-005</v>
      </c>
      <c r="CE61" s="57" t="n">
        <f aca="false">BK61-BR61-BS61-BT61-CC61</f>
        <v>0.0112097698605097</v>
      </c>
      <c r="CF61" s="19" t="n">
        <f aca="false">BX61*c_stroke_fatal+BY61*c_stroke_major+BZ61*c_stroke_minor+BS61*c_ich+BT61*c_major_bleed+CC61*c_mi_fatal+CD61*c_mi_nonfatal+BV61*c_tia+BW61*c_minor_bleed</f>
        <v>11.4980722232938</v>
      </c>
      <c r="CG61" s="57" t="n">
        <f aca="false">dt*(CD61*dec_mi+CB61*dec_major_bleed+BW61*dec_minor_bleed+BV61*dec_tia)</f>
        <v>4.99916219342014E-006</v>
      </c>
      <c r="CH61" s="57" t="n">
        <f aca="false">I61*BJ61+BX61+BS61-CA61+BT61-CB61+CC61</f>
        <v>0.00107791923695448</v>
      </c>
      <c r="CI61" s="57" t="n">
        <f aca="false">1-EXP(LN(1-E61)*dt)</f>
        <v>0.033829444439164</v>
      </c>
      <c r="CJ61" s="57" t="n">
        <f aca="false">J61*(1-CI61)</f>
        <v>0.0717642034163464</v>
      </c>
      <c r="CK61" s="57" t="n">
        <f aca="false">(1-EXP(-r_stroke*F61*rr_asa_stroke*dt))</f>
        <v>0.0113428825103339</v>
      </c>
      <c r="CL61" s="57" t="n">
        <f aca="false">(1-EXP(-r_ich*rr_asa_ich*dt))</f>
        <v>0.00102357767802375</v>
      </c>
      <c r="CM61" s="57" t="n">
        <f aca="false">(1-EXP(-r_mb*rr_asa_mb*dt))</f>
        <v>0.00951809672747972</v>
      </c>
      <c r="CN61" s="57" t="n">
        <f aca="false">(1-EXP(-r_mi*rr_asa_mi*dt))</f>
        <v>0.00213413516393479</v>
      </c>
      <c r="CO61" s="57" t="n">
        <f aca="false">(1-EXP(-r_tia*rr_asa_tia*dt))</f>
        <v>0.00312764565589152</v>
      </c>
      <c r="CP61" s="57" t="n">
        <f aca="false">(1-EXP(-r_minor*rr_asa_minor*dt))</f>
        <v>0.0278181950466747</v>
      </c>
      <c r="CQ61" s="57" t="n">
        <f aca="false">CJ61*CK61</f>
        <v>0.000814012927799319</v>
      </c>
      <c r="CR61" s="57" t="n">
        <f aca="false">CJ61*CL61</f>
        <v>7.34562366981277E-005</v>
      </c>
      <c r="CS61" s="57" t="n">
        <f aca="false">CJ61*CM61</f>
        <v>0.000683058629687316</v>
      </c>
      <c r="CT61" s="57" t="n">
        <f aca="false">CJ61*CN61</f>
        <v>0.000153154510022594</v>
      </c>
      <c r="CU61" s="57" t="n">
        <f aca="false">CJ61*CO61</f>
        <v>0.000224452999063651</v>
      </c>
      <c r="CV61" s="57" t="n">
        <f aca="false">CJ61*CP61</f>
        <v>0.00199635060800517</v>
      </c>
      <c r="CW61" s="57" t="n">
        <f aca="false">CQ61*f_stroke_fatal</f>
        <v>0.000192921063888439</v>
      </c>
      <c r="CX61" s="57" t="n">
        <f aca="false">CQ61*(1-f_stroke_fatal)*f_stroke_major</f>
        <v>0.000206823590682323</v>
      </c>
      <c r="CY61" s="57" t="n">
        <f aca="false">CQ61*(1-f_stroke_fatal)*(1-f_stroke_major)</f>
        <v>0.000414268273228557</v>
      </c>
      <c r="CZ61" s="57" t="n">
        <f aca="false">CR61*(1-f_bleed_fatal)</f>
        <v>6.7285912815485E-005</v>
      </c>
      <c r="DA61" s="57" t="n">
        <f aca="false">CS61*(1-f_bleed_fatal)</f>
        <v>0.000625681704793581</v>
      </c>
      <c r="DB61" s="57" t="n">
        <f aca="false">CT61*f_mi_fatal</f>
        <v>1.85316957127339E-005</v>
      </c>
      <c r="DC61" s="57" t="n">
        <f aca="false">CT61-DB61</f>
        <v>0.00013462281430986</v>
      </c>
      <c r="DD61" s="57" t="n">
        <f aca="false">CJ61-CQ61-CR61-CS61-DB61</f>
        <v>0.0701751439264489</v>
      </c>
      <c r="DE61" s="19" t="n">
        <f aca="false">CW61*c_stroke_fatal+CX61*c_stroke_major+CY61*c_stroke_minor+CR61*c_ich+CS61*c_major_bleed+DB61*c_mi_fatal+DC61*c_mi_nonfatal+CU61*c_tia+CV61*c_minor_bleed</f>
        <v>39.7394916140726</v>
      </c>
      <c r="DF61" s="57" t="n">
        <f aca="false">dt*(DC61*dec_mi+DA61*dec_major_bleed+CV61*dec_minor_bleed+CU61*dec_tia)</f>
        <v>3.08654463593413E-005</v>
      </c>
      <c r="DG61" s="57" t="n">
        <f aca="false">J61*CI61+CW61+CR61-CZ61+CS61-DA61+DB61</f>
        <v>0.00278774800946408</v>
      </c>
      <c r="DH61" s="57" t="n">
        <f aca="false">AG61</f>
        <v>0.143881132024114</v>
      </c>
      <c r="DI61" s="57" t="n">
        <f aca="false">AB61+AC61+BF61+BA61+BB61+BC61+CY61+CZ61</f>
        <v>0.0266825919540478</v>
      </c>
      <c r="DJ61" s="57" t="n">
        <f aca="false">AA61+AZ61+BY61+CX61+CE61+BZ61+CA61+CB61</f>
        <v>0.0121045854640492</v>
      </c>
      <c r="DK61" s="57" t="n">
        <f aca="false">AD61+DD61+DA61</f>
        <v>0.071921534485644</v>
      </c>
      <c r="DL61" s="57" t="n">
        <f aca="false">K61+AJ61+BI61+CH61+DG61</f>
        <v>0.745410156072145</v>
      </c>
      <c r="DM61" s="58" t="n">
        <f aca="false">SUM(DH61:DL61)</f>
        <v>1</v>
      </c>
      <c r="DN61" s="19" t="n">
        <f aca="false">dt*(G61*Warfarin!$H$2+(H61+I61+J61)*c_aspirin)</f>
        <v>15.6807985696067</v>
      </c>
      <c r="DO61" s="19" t="n">
        <f aca="false">dt*(H61*c_lt_minor_stroke+I61*c_lt_major_stroke)</f>
        <v>157.656720064006</v>
      </c>
      <c r="DP61" s="19" t="n">
        <f aca="false">AH61+BG61+CF61+DE61</f>
        <v>134.68684172765</v>
      </c>
      <c r="DQ61" s="19" t="n">
        <f aca="false">DN61+DO61+DP61</f>
        <v>308.024360361262</v>
      </c>
      <c r="DR61" s="57" t="n">
        <f aca="false">dt*(G61*(u_af-dec_per_year_over_70*MAX(B61-ref_age,0))+H61*(u_minor_stroke-dec_per_year_over_70*MAX(B61-ref_age,0))+I61*(u_major_stroke-dec_per_year_over_70*MAX(B61-ref_age,0))+J61*(u_af-dec_per_year_over_70*MAX(B61-ref_age,0)))-AI61-BH61-CG61-DF61</f>
        <v>0.0516475537481429</v>
      </c>
      <c r="DS61" s="57" t="n">
        <f aca="false">dt*(G61+H61+I61+J61)</f>
        <v>0.0665936535399457</v>
      </c>
      <c r="DT61" s="19" t="n">
        <f aca="false">DQ61*C61</f>
        <v>251.001885269869</v>
      </c>
      <c r="DU61" s="19" t="n">
        <f aca="false">DN61*C61</f>
        <v>12.7779179506847</v>
      </c>
      <c r="DV61" s="19" t="n">
        <f aca="false">DP61*C61</f>
        <v>109.753173921163</v>
      </c>
      <c r="DW61" s="19" t="n">
        <f aca="false">DO61*C61</f>
        <v>128.470793398022</v>
      </c>
      <c r="DX61" s="57" t="n">
        <f aca="false">DR61*C61</f>
        <v>0.04208639000226</v>
      </c>
      <c r="DY61" s="57" t="n">
        <f aca="false">DS61*C61</f>
        <v>0.0542656190112066</v>
      </c>
      <c r="DZ61" s="57" t="n">
        <f aca="false">T61+AS61+BR61+CQ61</f>
        <v>0.0027694584282035</v>
      </c>
      <c r="EA61" s="57" t="n">
        <f aca="false">U61+AT61+BS61+CR61</f>
        <v>0.000405560704218522</v>
      </c>
      <c r="EB61" s="57" t="n">
        <f aca="false">V61+AU61+BT61+CS61</f>
        <v>0.00226283663963842</v>
      </c>
      <c r="EC61" s="57" t="n">
        <f aca="false">G61*dt*C61</f>
        <v>0.030879875549859</v>
      </c>
    </row>
    <row r="62" customFormat="false" ht="15" hidden="false" customHeight="false" outlineLevel="0" collapsed="false">
      <c r="A62" s="8" t="n">
        <v>56</v>
      </c>
      <c r="B62" s="54" t="n">
        <f aca="false">start_age+A62*dt</f>
        <v>84</v>
      </c>
      <c r="C62" s="16" t="n">
        <f aca="false">(1+disc_rate)^-(A62*dt)</f>
        <v>0.811849277483459</v>
      </c>
      <c r="D62" s="55" t="n">
        <f aca="false">IF(A62*dt&gt;=wane_start,(1-wane_decay)^(A62*dt-wane_start),1)</f>
        <v>1</v>
      </c>
      <c r="E62" s="25" t="n">
        <f aca="false">MIN(p_nonvasc_death*MIN(EXP(gomp_int+gomp_slope*INT(B62)),1)/qx_ref,0.999)</f>
        <v>0.142790316175049</v>
      </c>
      <c r="F62" s="55" t="n">
        <f aca="false">rr_stroke_per_decade^((B62-ref_age)/10)</f>
        <v>1.76411853378701</v>
      </c>
      <c r="G62" s="57" t="n">
        <f aca="false">DH61</f>
        <v>0.143881132024114</v>
      </c>
      <c r="H62" s="57" t="n">
        <f aca="false">DI61</f>
        <v>0.0266825919540478</v>
      </c>
      <c r="I62" s="57" t="n">
        <f aca="false">DJ61</f>
        <v>0.0121045854640492</v>
      </c>
      <c r="J62" s="57" t="n">
        <f aca="false">DK61</f>
        <v>0.071921534485644</v>
      </c>
      <c r="K62" s="57" t="n">
        <f aca="false">DL61</f>
        <v>0.745410156072145</v>
      </c>
      <c r="L62" s="57" t="n">
        <f aca="false">1-EXP(LN(1-E62)*dt)</f>
        <v>0.03778578808961</v>
      </c>
      <c r="M62" s="57" t="n">
        <f aca="false">G62*(1-L62)</f>
        <v>0.138444470059358</v>
      </c>
      <c r="N62" s="57" t="n">
        <f aca="false">IF(Warfarin!$B$2=1,EXP(LN(or_apx_stroke)*D62)*(1-EXP(-r_stroke*F62*dt))/(1-(1-EXP(-r_stroke*F62*dt))+EXP(LN(or_apx_stroke)*D62)*(1-EXP(-r_stroke*F62*dt))),(1-EXP(-r_stroke*F62*dt)))</f>
        <v>0.00708829409441769</v>
      </c>
      <c r="O62" s="57" t="n">
        <f aca="false">IF(Warfarin!$B$2=1,EXP(LN(or_apx_ich)*D62)*(1-EXP(-r_ich*dt))/(1-(1-EXP(-r_ich*dt))+EXP(LN(or_apx_ich)*D62)*(1-EXP(-r_ich*dt))),(1-EXP(-r_ich*dt)))</f>
        <v>0.0020060281549299</v>
      </c>
      <c r="P62" s="57" t="n">
        <f aca="false">IF(Warfarin!$B$2=1,EXP(LN(or_apx_mb)*D62)*(1-EXP(-r_mb*dt))/(1-(1-EXP(-r_mb*dt))+EXP(LN(or_apx_mb)*D62)*(1-EXP(-r_mb*dt))),(1-EXP(-r_mb*dt)))</f>
        <v>0.00835410477572107</v>
      </c>
      <c r="Q62" s="57" t="n">
        <f aca="false">IF(Warfarin!$B$2=1,EXP(LN(or_apx_mi)*D62)*(1-EXP(-r_mi*dt))/(1-(1-EXP(-r_mi*dt))+EXP(LN(or_apx_mi)*D62)*(1-EXP(-r_mi*dt))),(1-EXP(-r_mi*dt)))</f>
        <v>0.00150338686144691</v>
      </c>
      <c r="R62" s="57" t="n">
        <f aca="false">(1-EXP(-r_tia*dt))</f>
        <v>0.0020060281549299</v>
      </c>
      <c r="S62" s="57" t="n">
        <f aca="false">(1-EXP(-r_minor*dt))</f>
        <v>0.0437937690785545</v>
      </c>
      <c r="T62" s="57" t="n">
        <f aca="false">M62*N62</f>
        <v>0.000981335119526534</v>
      </c>
      <c r="U62" s="57" t="n">
        <f aca="false">M62*O62</f>
        <v>0.000277723504833421</v>
      </c>
      <c r="V62" s="57" t="n">
        <f aca="false">M62*P62</f>
        <v>0.00115657960849506</v>
      </c>
      <c r="W62" s="57" t="n">
        <f aca="false">M62*Q62</f>
        <v>0.000208135597327219</v>
      </c>
      <c r="X62" s="57" t="n">
        <f aca="false">M62*R62</f>
        <v>0.000277723504833421</v>
      </c>
      <c r="Y62" s="57" t="n">
        <f aca="false">M62*S62</f>
        <v>0.00606300515198238</v>
      </c>
      <c r="Z62" s="57" t="n">
        <f aca="false">T62*f_stroke_fatal</f>
        <v>0.000232576423327789</v>
      </c>
      <c r="AA62" s="57" t="n">
        <f aca="false">T62*(1-f_stroke_fatal)*f_stroke_major</f>
        <v>0.000249336645834182</v>
      </c>
      <c r="AB62" s="57" t="n">
        <f aca="false">T62*(1-f_stroke_fatal)*(1-f_stroke_major)</f>
        <v>0.000499422050364563</v>
      </c>
      <c r="AC62" s="57" t="n">
        <f aca="false">U62*(1-f_bleed_fatal)</f>
        <v>0.000254394730427414</v>
      </c>
      <c r="AD62" s="57" t="n">
        <f aca="false">V62*(1-f_bleed_fatal)</f>
        <v>0.00105942692138147</v>
      </c>
      <c r="AE62" s="57" t="n">
        <f aca="false">W62*f_mi_fatal</f>
        <v>2.51844072765935E-005</v>
      </c>
      <c r="AF62" s="57" t="n">
        <f aca="false">W62-AE62</f>
        <v>0.000182951190050625</v>
      </c>
      <c r="AG62" s="57" t="n">
        <f aca="false">M62-T62-U62-V62-AE62</f>
        <v>0.136003647419226</v>
      </c>
      <c r="AH62" s="19" t="n">
        <f aca="false">Z62*c_stroke_fatal+AA62*c_stroke_major+AB62*c_stroke_minor+U62*c_ich+V62*c_major_bleed+AE62*c_mi_fatal+AF62*c_mi_nonfatal+X62*c_tia+Y62*c_minor_bleed</f>
        <v>55.1146987348488</v>
      </c>
      <c r="AI62" s="57" t="n">
        <f aca="false">dt*(AF62*dec_mi+AD62*dec_major_bleed+Y62*dec_minor_bleed+X62*dec_tia)</f>
        <v>5.69401908742592E-005</v>
      </c>
      <c r="AJ62" s="57" t="n">
        <f aca="false">G62*L62+Z62+U62-AC62+V62-AD62+AE62</f>
        <v>0.00581490425688036</v>
      </c>
      <c r="AK62" s="57" t="n">
        <f aca="false">1-EXP(LN(1-E62)*hr_death_prior_stroke*dt)</f>
        <v>0.084780922206057</v>
      </c>
      <c r="AL62" s="57" t="n">
        <f aca="false">H62*(1-AK62)</f>
        <v>0.0244204172013357</v>
      </c>
      <c r="AM62" s="57" t="n">
        <f aca="false">(1-EXP(-r_stroke*F62*rr_stroke_prior*rr_asa_stroke*dt))</f>
        <v>0.0250339607862107</v>
      </c>
      <c r="AN62" s="57" t="n">
        <f aca="false">(1-EXP(-r_ich*rr_asa_ich*dt))</f>
        <v>0.00102357767802375</v>
      </c>
      <c r="AO62" s="57" t="n">
        <f aca="false">(1-EXP(-r_mb*rr_asa_mb*dt))</f>
        <v>0.00951809672747972</v>
      </c>
      <c r="AP62" s="57" t="n">
        <f aca="false">(1-EXP(-r_mi*rr_asa_mi*dt))</f>
        <v>0.00213413516393479</v>
      </c>
      <c r="AQ62" s="57" t="n">
        <f aca="false">(1-EXP(-r_tia*rr_asa_tia*dt))</f>
        <v>0.00312764565589152</v>
      </c>
      <c r="AR62" s="57" t="n">
        <f aca="false">(1-EXP(-r_minor*rr_asa_minor*dt))</f>
        <v>0.0278181950466747</v>
      </c>
      <c r="AS62" s="57" t="n">
        <f aca="false">AL62*AM62</f>
        <v>0.000611339766601144</v>
      </c>
      <c r="AT62" s="57" t="n">
        <f aca="false">AL62*AN62</f>
        <v>2.49961939353144E-005</v>
      </c>
      <c r="AU62" s="57" t="n">
        <f aca="false">AL62*AO62</f>
        <v>0.000232435893047723</v>
      </c>
      <c r="AV62" s="57" t="n">
        <f aca="false">AL62*AP62</f>
        <v>5.21164710673286E-005</v>
      </c>
      <c r="AW62" s="57" t="n">
        <f aca="false">AL62*AQ62</f>
        <v>7.63784117748163E-005</v>
      </c>
      <c r="AX62" s="57" t="n">
        <f aca="false">AL62*AR62</f>
        <v>0.000679331928827928</v>
      </c>
      <c r="AY62" s="57" t="n">
        <f aca="false">AS62*f_stroke_fatal_recur</f>
        <v>0.000227473413754619</v>
      </c>
      <c r="AZ62" s="57" t="n">
        <f aca="false">AS62*(1-f_stroke_fatal_recur)*f_stroke_major</f>
        <v>0.000127827495497893</v>
      </c>
      <c r="BA62" s="57" t="n">
        <f aca="false">AS62*(1-f_stroke_fatal_recur)*(1-f_stroke_major)</f>
        <v>0.000256038857348632</v>
      </c>
      <c r="BB62" s="57" t="n">
        <f aca="false">AT62*(1-f_bleed_fatal)</f>
        <v>2.2896513644748E-005</v>
      </c>
      <c r="BC62" s="57" t="n">
        <f aca="false">AU62*(1-f_bleed_fatal)</f>
        <v>0.000212911278031714</v>
      </c>
      <c r="BD62" s="57" t="n">
        <f aca="false">AV62*f_mi_fatal</f>
        <v>6.30609299914677E-006</v>
      </c>
      <c r="BE62" s="57" t="n">
        <f aca="false">AV62-BD62</f>
        <v>4.58103780681819E-005</v>
      </c>
      <c r="BF62" s="57" t="n">
        <f aca="false">AL62-AS62-AT62-AU62-BD62</f>
        <v>0.0235453392547524</v>
      </c>
      <c r="BG62" s="19" t="n">
        <f aca="false">AY62*c_stroke_fatal+AZ62*c_stroke_major+BA62*c_stroke_minor+AT62*c_ich+AU62*c_major_bleed+BD62*c_mi_fatal+BE62*c_mi_nonfatal+AW62*c_tia+AX62*c_minor_bleed</f>
        <v>24.3670740937514</v>
      </c>
      <c r="BH62" s="57" t="n">
        <f aca="false">dt*(BE62*dec_mi+BC62*dec_major_bleed+AX62*dec_minor_bleed+AW62*dec_tia)</f>
        <v>1.05031065812524E-005</v>
      </c>
      <c r="BI62" s="57" t="n">
        <f aca="false">H62*AK62+AY62+AT62-BB62+AU62-BC62+BD62</f>
        <v>0.00251757855477243</v>
      </c>
      <c r="BJ62" s="57" t="n">
        <f aca="false">1-EXP(LN(1-E62)*hr_death_prior_stroke*dt)</f>
        <v>0.084780922206057</v>
      </c>
      <c r="BK62" s="57" t="n">
        <f aca="false">I62*(1-BJ62)</f>
        <v>0.0110783475454851</v>
      </c>
      <c r="BL62" s="57" t="n">
        <f aca="false">(1-EXP(-r_stroke*F62*rr_stroke_prior*rr_asa_stroke*dt))</f>
        <v>0.0250339607862107</v>
      </c>
      <c r="BM62" s="57" t="n">
        <f aca="false">(1-EXP(-r_ich*rr_asa_ich*dt))</f>
        <v>0.00102357767802375</v>
      </c>
      <c r="BN62" s="57" t="n">
        <f aca="false">(1-EXP(-r_mb*rr_asa_mb*dt))</f>
        <v>0.00951809672747972</v>
      </c>
      <c r="BO62" s="57" t="n">
        <f aca="false">(1-EXP(-r_mi*rr_asa_mi*dt))</f>
        <v>0.00213413516393479</v>
      </c>
      <c r="BP62" s="57" t="n">
        <f aca="false">(1-EXP(-r_tia*rr_asa_tia*dt))</f>
        <v>0.00312764565589152</v>
      </c>
      <c r="BQ62" s="57" t="n">
        <f aca="false">(1-EXP(-r_minor*rr_asa_minor*dt))</f>
        <v>0.0278181950466747</v>
      </c>
      <c r="BR62" s="57" t="n">
        <f aca="false">BK62*BL62</f>
        <v>0.000277334918029687</v>
      </c>
      <c r="BS62" s="57" t="n">
        <f aca="false">BK62*BM62</f>
        <v>1.13395492569477E-005</v>
      </c>
      <c r="BT62" s="57" t="n">
        <f aca="false">BK62*BN62</f>
        <v>0.000105444783518564</v>
      </c>
      <c r="BU62" s="57" t="n">
        <f aca="false">BK62*BO62</f>
        <v>2.36426910551104E-005</v>
      </c>
      <c r="BV62" s="57" t="n">
        <f aca="false">BK62*BP62</f>
        <v>3.46491455750929E-005</v>
      </c>
      <c r="BW62" s="57" t="n">
        <f aca="false">BK62*BQ62</f>
        <v>0.000308179632815154</v>
      </c>
      <c r="BX62" s="57" t="n">
        <f aca="false">BR62*f_stroke_fatal_recur</f>
        <v>0.000103193549649666</v>
      </c>
      <c r="BY62" s="57" t="n">
        <f aca="false">BR62*(1-f_stroke_fatal_recur)*f_stroke_major</f>
        <v>5.79890756705468E-005</v>
      </c>
      <c r="BZ62" s="57" t="n">
        <f aca="false">BR62*(1-f_stroke_fatal_recur)*(1-f_stroke_major)</f>
        <v>0.000116152292709474</v>
      </c>
      <c r="CA62" s="57" t="n">
        <f aca="false">BS62*(1-f_bleed_fatal)</f>
        <v>1.03870271193641E-005</v>
      </c>
      <c r="CB62" s="57" t="n">
        <f aca="false">BT62*(1-f_bleed_fatal)</f>
        <v>9.6587421703005E-005</v>
      </c>
      <c r="CC62" s="57" t="n">
        <f aca="false">BU62*f_mi_fatal</f>
        <v>2.86076561766836E-006</v>
      </c>
      <c r="CD62" s="57" t="n">
        <f aca="false">BU62-CC62</f>
        <v>2.0781925437442E-005</v>
      </c>
      <c r="CE62" s="57" t="n">
        <f aca="false">BK62-BR62-BS62-BT62-CC62</f>
        <v>0.0106813675290622</v>
      </c>
      <c r="CF62" s="19" t="n">
        <f aca="false">BX62*c_stroke_fatal+BY62*c_stroke_major+BZ62*c_stroke_minor+BS62*c_ich+BT62*c_major_bleed+CC62*c_mi_fatal+CD62*c_mi_nonfatal+BV62*c_tia+BW62*c_minor_bleed</f>
        <v>11.0541483895041</v>
      </c>
      <c r="CG62" s="57" t="n">
        <f aca="false">dt*(CD62*dec_mi+CB62*dec_major_bleed+BW62*dec_minor_bleed+BV62*dec_tia)</f>
        <v>4.76474517429707E-006</v>
      </c>
      <c r="CH62" s="57" t="n">
        <f aca="false">I62*BJ62+BX62+BS62-CA62+BT62-CB62+CC62</f>
        <v>0.0011421021177846</v>
      </c>
      <c r="CI62" s="57" t="n">
        <f aca="false">1-EXP(LN(1-E62)*dt)</f>
        <v>0.03778578808961</v>
      </c>
      <c r="CJ62" s="57" t="n">
        <f aca="false">J62*(1-CI62)</f>
        <v>0.0692039226244899</v>
      </c>
      <c r="CK62" s="57" t="n">
        <f aca="false">(1-EXP(-r_stroke*F62*rr_asa_stroke*dt))</f>
        <v>0.0114577812291647</v>
      </c>
      <c r="CL62" s="57" t="n">
        <f aca="false">(1-EXP(-r_ich*rr_asa_ich*dt))</f>
        <v>0.00102357767802375</v>
      </c>
      <c r="CM62" s="57" t="n">
        <f aca="false">(1-EXP(-r_mb*rr_asa_mb*dt))</f>
        <v>0.00951809672747972</v>
      </c>
      <c r="CN62" s="57" t="n">
        <f aca="false">(1-EXP(-r_mi*rr_asa_mi*dt))</f>
        <v>0.00213413516393479</v>
      </c>
      <c r="CO62" s="57" t="n">
        <f aca="false">(1-EXP(-r_tia*rr_asa_tia*dt))</f>
        <v>0.00312764565589152</v>
      </c>
      <c r="CP62" s="57" t="n">
        <f aca="false">(1-EXP(-r_minor*rr_asa_minor*dt))</f>
        <v>0.0278181950466747</v>
      </c>
      <c r="CQ62" s="57" t="n">
        <f aca="false">CJ62*CK62</f>
        <v>0.000792923405631449</v>
      </c>
      <c r="CR62" s="57" t="n">
        <f aca="false">CJ62*CL62</f>
        <v>7.08355904301103E-005</v>
      </c>
      <c r="CS62" s="57" t="n">
        <f aca="false">CJ62*CM62</f>
        <v>0.000658689629460917</v>
      </c>
      <c r="CT62" s="57" t="n">
        <f aca="false">CJ62*CN62</f>
        <v>0.000147690524755146</v>
      </c>
      <c r="CU62" s="57" t="n">
        <f aca="false">CJ62*CO62</f>
        <v>0.000216445347967139</v>
      </c>
      <c r="CV62" s="57" t="n">
        <f aca="false">CJ62*CP62</f>
        <v>0.00192512821756304</v>
      </c>
      <c r="CW62" s="57" t="n">
        <f aca="false">CQ62*f_stroke_fatal</f>
        <v>0.000187922847134653</v>
      </c>
      <c r="CX62" s="57" t="n">
        <f aca="false">CQ62*(1-f_stroke_fatal)*f_stroke_major</f>
        <v>0.000201465185979433</v>
      </c>
      <c r="CY62" s="57" t="n">
        <f aca="false">CQ62*(1-f_stroke_fatal)*(1-f_stroke_major)</f>
        <v>0.000403535372517363</v>
      </c>
      <c r="CZ62" s="57" t="n">
        <f aca="false">CR62*(1-f_bleed_fatal)</f>
        <v>6.4885400833981E-005</v>
      </c>
      <c r="DA62" s="57" t="n">
        <f aca="false">CS62*(1-f_bleed_fatal)</f>
        <v>0.0006033597005862</v>
      </c>
      <c r="DB62" s="57" t="n">
        <f aca="false">CT62*f_mi_fatal</f>
        <v>1.78705534953727E-005</v>
      </c>
      <c r="DC62" s="57" t="n">
        <f aca="false">CT62-DB62</f>
        <v>0.000129819971259774</v>
      </c>
      <c r="DD62" s="57" t="n">
        <f aca="false">CJ62-CQ62-CR62-CS62-DB62</f>
        <v>0.067663603445472</v>
      </c>
      <c r="DE62" s="19" t="n">
        <f aca="false">CW62*c_stroke_fatal+CX62*c_stroke_major+CY62*c_stroke_minor+CR62*c_ich+CS62*c_major_bleed+DB62*c_mi_fatal+DC62*c_mi_nonfatal+CU62*c_tia+CV62*c_minor_bleed</f>
        <v>38.6155207886884</v>
      </c>
      <c r="DF62" s="57" t="n">
        <f aca="false">dt*(DC62*dec_mi+DA62*dec_major_bleed+CV62*dec_minor_bleed+CU62*dec_tia)</f>
        <v>2.97642816325842E-005</v>
      </c>
      <c r="DG62" s="57" t="n">
        <f aca="false">J62*CI62+CW62+CR62-CZ62+CS62-DA62+DB62</f>
        <v>0.00298468538025499</v>
      </c>
      <c r="DH62" s="57" t="n">
        <f aca="false">AG62</f>
        <v>0.136003647419226</v>
      </c>
      <c r="DI62" s="57" t="n">
        <f aca="false">AB62+AC62+BF62+BA62+BB62+BC62+CY62+CZ62</f>
        <v>0.0252594234579208</v>
      </c>
      <c r="DJ62" s="57" t="n">
        <f aca="false">AA62+AZ62+BY62+CX62+CE62+BZ62+CA62+CB62</f>
        <v>0.0115411126735761</v>
      </c>
      <c r="DK62" s="57" t="n">
        <f aca="false">AD62+DD62+DA62</f>
        <v>0.0693263900674397</v>
      </c>
      <c r="DL62" s="57" t="n">
        <f aca="false">K62+AJ62+BI62+CH62+DG62</f>
        <v>0.757869426381838</v>
      </c>
      <c r="DM62" s="58" t="n">
        <f aca="false">SUM(DH62:DL62)</f>
        <v>1</v>
      </c>
      <c r="DN62" s="19" t="n">
        <f aca="false">dt*(G62*Warfarin!$H$2+(H62+I62+J62)*c_aspirin)</f>
        <v>14.9013368672564</v>
      </c>
      <c r="DO62" s="19" t="n">
        <f aca="false">dt*(H62*c_lt_minor_stroke+I62*c_lt_major_stroke)</f>
        <v>151.15852328542</v>
      </c>
      <c r="DP62" s="19" t="n">
        <f aca="false">AH62+BG62+CF62+DE62</f>
        <v>129.151442006793</v>
      </c>
      <c r="DQ62" s="19" t="n">
        <f aca="false">DN62+DO62+DP62</f>
        <v>295.21130215947</v>
      </c>
      <c r="DR62" s="57" t="n">
        <f aca="false">dt*(G62*(u_af-dec_per_year_over_70*MAX(B62-ref_age,0))+H62*(u_minor_stroke-dec_per_year_over_70*MAX(B62-ref_age,0))+I62*(u_major_stroke-dec_per_year_over_70*MAX(B62-ref_age,0))+J62*(u_af-dec_per_year_over_70*MAX(B62-ref_age,0)))-AI62-BH62-CG62-DF62</f>
        <v>0.0493491412250966</v>
      </c>
      <c r="DS62" s="57" t="n">
        <f aca="false">dt*(G62+H62+I62+J62)</f>
        <v>0.0636474609819639</v>
      </c>
      <c r="DT62" s="19" t="n">
        <f aca="false">DQ62*C62</f>
        <v>239.667082363116</v>
      </c>
      <c r="DU62" s="19" t="n">
        <f aca="false">DN62*C62</f>
        <v>12.0976395692198</v>
      </c>
      <c r="DV62" s="19" t="n">
        <f aca="false">DP62*C62</f>
        <v>104.851504879161</v>
      </c>
      <c r="DW62" s="19" t="n">
        <f aca="false">DO62*C62</f>
        <v>122.717937914735</v>
      </c>
      <c r="DX62" s="57" t="n">
        <f aca="false">DR62*C62</f>
        <v>0.0400640646480238</v>
      </c>
      <c r="DY62" s="57" t="n">
        <f aca="false">DS62*C62</f>
        <v>0.051672145211864</v>
      </c>
      <c r="DZ62" s="57" t="n">
        <f aca="false">T62+AS62+BR62+CQ62</f>
        <v>0.00266293320978881</v>
      </c>
      <c r="EA62" s="57" t="n">
        <f aca="false">U62+AT62+BS62+CR62</f>
        <v>0.000384894838455793</v>
      </c>
      <c r="EB62" s="57" t="n">
        <f aca="false">V62+AU62+BT62+CS62</f>
        <v>0.00215314991452226</v>
      </c>
      <c r="EC62" s="57" t="n">
        <f aca="false">G62*dt*C62</f>
        <v>0.0292024482693199</v>
      </c>
    </row>
    <row r="63" customFormat="false" ht="15" hidden="false" customHeight="false" outlineLevel="0" collapsed="false">
      <c r="A63" s="8" t="n">
        <v>57</v>
      </c>
      <c r="B63" s="54" t="n">
        <f aca="false">start_age+A63*dt</f>
        <v>84.25</v>
      </c>
      <c r="C63" s="16" t="n">
        <f aca="false">(1+disc_rate)^-(A63*dt)</f>
        <v>0.808833067040395</v>
      </c>
      <c r="D63" s="55" t="n">
        <f aca="false">IF(A63*dt&gt;=wane_start,(1-wane_decay)^(A63*dt-wane_start),1)</f>
        <v>1</v>
      </c>
      <c r="E63" s="25" t="n">
        <f aca="false">MIN(p_nonvasc_death*MIN(EXP(gomp_int+gomp_slope*INT(B63)),1)/qx_ref,0.999)</f>
        <v>0.142790316175049</v>
      </c>
      <c r="F63" s="55" t="n">
        <f aca="false">rr_stroke_per_decade^((B63-ref_age)/10)</f>
        <v>1.78209168626844</v>
      </c>
      <c r="G63" s="57" t="n">
        <f aca="false">DH62</f>
        <v>0.136003647419226</v>
      </c>
      <c r="H63" s="57" t="n">
        <f aca="false">DI62</f>
        <v>0.0252594234579208</v>
      </c>
      <c r="I63" s="57" t="n">
        <f aca="false">DJ62</f>
        <v>0.0115411126735761</v>
      </c>
      <c r="J63" s="57" t="n">
        <f aca="false">DK62</f>
        <v>0.0693263900674397</v>
      </c>
      <c r="K63" s="57" t="n">
        <f aca="false">DL62</f>
        <v>0.757869426381838</v>
      </c>
      <c r="L63" s="57" t="n">
        <f aca="false">1-EXP(LN(1-E63)*dt)</f>
        <v>0.03778578808961</v>
      </c>
      <c r="M63" s="57" t="n">
        <f aca="false">G63*(1-L63)</f>
        <v>0.13086464241843</v>
      </c>
      <c r="N63" s="57" t="n">
        <f aca="false">IF(Warfarin!$B$2=1,EXP(LN(or_apx_stroke)*D63)*(1-EXP(-r_stroke*F63*dt))/(1-(1-EXP(-r_stroke*F63*dt))+EXP(LN(or_apx_stroke)*D63)*(1-EXP(-r_stroke*F63*dt))),(1-EXP(-r_stroke*F63*dt)))</f>
        <v>0.00716025173032886</v>
      </c>
      <c r="O63" s="57" t="n">
        <f aca="false">IF(Warfarin!$B$2=1,EXP(LN(or_apx_ich)*D63)*(1-EXP(-r_ich*dt))/(1-(1-EXP(-r_ich*dt))+EXP(LN(or_apx_ich)*D63)*(1-EXP(-r_ich*dt))),(1-EXP(-r_ich*dt)))</f>
        <v>0.0020060281549299</v>
      </c>
      <c r="P63" s="57" t="n">
        <f aca="false">IF(Warfarin!$B$2=1,EXP(LN(or_apx_mb)*D63)*(1-EXP(-r_mb*dt))/(1-(1-EXP(-r_mb*dt))+EXP(LN(or_apx_mb)*D63)*(1-EXP(-r_mb*dt))),(1-EXP(-r_mb*dt)))</f>
        <v>0.00835410477572107</v>
      </c>
      <c r="Q63" s="57" t="n">
        <f aca="false">IF(Warfarin!$B$2=1,EXP(LN(or_apx_mi)*D63)*(1-EXP(-r_mi*dt))/(1-(1-EXP(-r_mi*dt))+EXP(LN(or_apx_mi)*D63)*(1-EXP(-r_mi*dt))),(1-EXP(-r_mi*dt)))</f>
        <v>0.00150338686144691</v>
      </c>
      <c r="R63" s="57" t="n">
        <f aca="false">(1-EXP(-r_tia*dt))</f>
        <v>0.0020060281549299</v>
      </c>
      <c r="S63" s="57" t="n">
        <f aca="false">(1-EXP(-r_minor*dt))</f>
        <v>0.0437937690785545</v>
      </c>
      <c r="T63" s="57" t="n">
        <f aca="false">M63*N63</f>
        <v>0.000937023782315427</v>
      </c>
      <c r="U63" s="57" t="n">
        <f aca="false">M63*O63</f>
        <v>0.000262518157176203</v>
      </c>
      <c r="V63" s="57" t="n">
        <f aca="false">M63*P63</f>
        <v>0.00109325693420083</v>
      </c>
      <c r="W63" s="57" t="n">
        <f aca="false">M63*Q63</f>
        <v>0.000196740184039815</v>
      </c>
      <c r="X63" s="57" t="n">
        <f aca="false">M63*R63</f>
        <v>0.000262518157176203</v>
      </c>
      <c r="Y63" s="57" t="n">
        <f aca="false">M63*S63</f>
        <v>0.00573105593062031</v>
      </c>
      <c r="Z63" s="57" t="n">
        <f aca="false">T63*f_stroke_fatal</f>
        <v>0.000222074636408756</v>
      </c>
      <c r="AA63" s="57" t="n">
        <f aca="false">T63*(1-f_stroke_fatal)*f_stroke_major</f>
        <v>0.000238078065586922</v>
      </c>
      <c r="AB63" s="57" t="n">
        <f aca="false">T63*(1-f_stroke_fatal)*(1-f_stroke_major)</f>
        <v>0.00047687108031975</v>
      </c>
      <c r="AC63" s="57" t="n">
        <f aca="false">U63*(1-f_bleed_fatal)</f>
        <v>0.000240466631973402</v>
      </c>
      <c r="AD63" s="57" t="n">
        <f aca="false">V63*(1-f_bleed_fatal)</f>
        <v>0.00100142335172796</v>
      </c>
      <c r="AE63" s="57" t="n">
        <f aca="false">W63*f_mi_fatal</f>
        <v>2.38055622688176E-005</v>
      </c>
      <c r="AF63" s="57" t="n">
        <f aca="false">W63-AE63</f>
        <v>0.000172934621770997</v>
      </c>
      <c r="AG63" s="57" t="n">
        <f aca="false">M63-T63-U63-V63-AE63</f>
        <v>0.128548037982468</v>
      </c>
      <c r="AH63" s="19" t="n">
        <f aca="false">Z63*c_stroke_fatal+AA63*c_stroke_major+AB63*c_stroke_minor+U63*c_ich+V63*c_major_bleed+AE63*c_mi_fatal+AF63*c_mi_nonfatal+X63*c_tia+Y63*c_minor_bleed</f>
        <v>52.445096939162</v>
      </c>
      <c r="AI63" s="57" t="n">
        <f aca="false">dt*(AF63*dec_mi+AD63*dec_major_bleed+Y63*dec_minor_bleed+X63*dec_tia)</f>
        <v>5.382271834189E-005</v>
      </c>
      <c r="AJ63" s="57" t="n">
        <f aca="false">G63*L63+Z63+U63-AC63+V63-AD63+AE63</f>
        <v>0.00549877030715017</v>
      </c>
      <c r="AK63" s="57" t="n">
        <f aca="false">1-EXP(LN(1-E63)*hr_death_prior_stroke*dt)</f>
        <v>0.084780922206057</v>
      </c>
      <c r="AL63" s="57" t="n">
        <f aca="false">H63*(1-AK63)</f>
        <v>0.023117906242765</v>
      </c>
      <c r="AM63" s="57" t="n">
        <f aca="false">(1-EXP(-r_stroke*F63*rr_stroke_prior*rr_asa_stroke*dt))</f>
        <v>0.0252857592577641</v>
      </c>
      <c r="AN63" s="57" t="n">
        <f aca="false">(1-EXP(-r_ich*rr_asa_ich*dt))</f>
        <v>0.00102357767802375</v>
      </c>
      <c r="AO63" s="57" t="n">
        <f aca="false">(1-EXP(-r_mb*rr_asa_mb*dt))</f>
        <v>0.00951809672747972</v>
      </c>
      <c r="AP63" s="57" t="n">
        <f aca="false">(1-EXP(-r_mi*rr_asa_mi*dt))</f>
        <v>0.00213413516393479</v>
      </c>
      <c r="AQ63" s="57" t="n">
        <f aca="false">(1-EXP(-r_tia*rr_asa_tia*dt))</f>
        <v>0.00312764565589152</v>
      </c>
      <c r="AR63" s="57" t="n">
        <f aca="false">(1-EXP(-r_minor*rr_asa_minor*dt))</f>
        <v>0.0278181950466747</v>
      </c>
      <c r="AS63" s="57" t="n">
        <f aca="false">AL63*AM63</f>
        <v>0.000584553811798118</v>
      </c>
      <c r="AT63" s="57" t="n">
        <f aca="false">AL63*AN63</f>
        <v>2.36629727927401E-005</v>
      </c>
      <c r="AU63" s="57" t="n">
        <f aca="false">AL63*AO63</f>
        <v>0.000220038467755444</v>
      </c>
      <c r="AV63" s="57" t="n">
        <f aca="false">AL63*AP63</f>
        <v>4.93367366292324E-005</v>
      </c>
      <c r="AW63" s="57" t="n">
        <f aca="false">AL63*AQ63</f>
        <v>7.23046190334914E-005</v>
      </c>
      <c r="AX63" s="57" t="n">
        <f aca="false">AL63*AR63</f>
        <v>0.000643098424931976</v>
      </c>
      <c r="AY63" s="57" t="n">
        <f aca="false">AS63*f_stroke_fatal_recur</f>
        <v>0.000217506627831962</v>
      </c>
      <c r="AZ63" s="57" t="n">
        <f aca="false">AS63*(1-f_stroke_fatal_recur)*f_stroke_major</f>
        <v>0.00012222671226073</v>
      </c>
      <c r="BA63" s="57" t="n">
        <f aca="false">AS63*(1-f_stroke_fatal_recur)*(1-f_stroke_major)</f>
        <v>0.000244820471705426</v>
      </c>
      <c r="BB63" s="57" t="n">
        <f aca="false">AT63*(1-f_bleed_fatal)</f>
        <v>2.16752830781499E-005</v>
      </c>
      <c r="BC63" s="57" t="n">
        <f aca="false">AU63*(1-f_bleed_fatal)</f>
        <v>0.000201555236463987</v>
      </c>
      <c r="BD63" s="57" t="n">
        <f aca="false">AV63*f_mi_fatal</f>
        <v>5.96974513213712E-006</v>
      </c>
      <c r="BE63" s="57" t="n">
        <f aca="false">AV63-BD63</f>
        <v>4.33669914970953E-005</v>
      </c>
      <c r="BF63" s="57" t="n">
        <f aca="false">AL63-AS63-AT63-AU63-BD63</f>
        <v>0.0222836812452866</v>
      </c>
      <c r="BG63" s="19" t="n">
        <f aca="false">AY63*c_stroke_fatal+AZ63*c_stroke_major+BA63*c_stroke_minor+AT63*c_ich+AU63*c_major_bleed+BD63*c_mi_fatal+BE63*c_mi_nonfatal+AW63*c_tia+AX63*c_minor_bleed</f>
        <v>23.2681150581415</v>
      </c>
      <c r="BH63" s="57" t="n">
        <f aca="false">dt*(BE63*dec_mi+BC63*dec_major_bleed+AX63*dec_minor_bleed+AW63*dec_tia)</f>
        <v>9.94290274409725E-006</v>
      </c>
      <c r="BI63" s="57" t="n">
        <f aca="false">H63*AK63+AY63+AT63-BB63+AU63-BC63+BD63</f>
        <v>0.00238546450912598</v>
      </c>
      <c r="BJ63" s="57" t="n">
        <f aca="false">1-EXP(LN(1-E63)*hr_death_prior_stroke*dt)</f>
        <v>0.084780922206057</v>
      </c>
      <c r="BK63" s="57" t="n">
        <f aca="false">I63*(1-BJ63)</f>
        <v>0.0105626464978263</v>
      </c>
      <c r="BL63" s="57" t="n">
        <f aca="false">(1-EXP(-r_stroke*F63*rr_stroke_prior*rr_asa_stroke*dt))</f>
        <v>0.0252857592577641</v>
      </c>
      <c r="BM63" s="57" t="n">
        <f aca="false">(1-EXP(-r_ich*rr_asa_ich*dt))</f>
        <v>0.00102357767802375</v>
      </c>
      <c r="BN63" s="57" t="n">
        <f aca="false">(1-EXP(-r_mb*rr_asa_mb*dt))</f>
        <v>0.00951809672747972</v>
      </c>
      <c r="BO63" s="57" t="n">
        <f aca="false">(1-EXP(-r_mi*rr_asa_mi*dt))</f>
        <v>0.00213413516393479</v>
      </c>
      <c r="BP63" s="57" t="n">
        <f aca="false">(1-EXP(-r_tia*rr_asa_tia*dt))</f>
        <v>0.00312764565589152</v>
      </c>
      <c r="BQ63" s="57" t="n">
        <f aca="false">(1-EXP(-r_minor*rr_asa_minor*dt))</f>
        <v>0.0278181950466747</v>
      </c>
      <c r="BR63" s="57" t="n">
        <f aca="false">BK63*BL63</f>
        <v>0.000267084536468901</v>
      </c>
      <c r="BS63" s="57" t="n">
        <f aca="false">BK63*BM63</f>
        <v>1.08116891760307E-005</v>
      </c>
      <c r="BT63" s="57" t="n">
        <f aca="false">BK63*BN63</f>
        <v>0.000100536291064486</v>
      </c>
      <c r="BU63" s="57" t="n">
        <f aca="false">BK63*BO63</f>
        <v>2.25421153152238E-005</v>
      </c>
      <c r="BV63" s="57" t="n">
        <f aca="false">BK63*BP63</f>
        <v>3.30362154336442E-005</v>
      </c>
      <c r="BW63" s="57" t="n">
        <f aca="false">BK63*BQ63</f>
        <v>0.000293833760485608</v>
      </c>
      <c r="BX63" s="57" t="n">
        <f aca="false">BR63*f_stroke_fatal_recur</f>
        <v>9.93794851747135E-005</v>
      </c>
      <c r="BY63" s="57" t="n">
        <f aca="false">BR63*(1-f_stroke_fatal_recur)*f_stroke_major</f>
        <v>5.58457820809645E-005</v>
      </c>
      <c r="BZ63" s="57" t="n">
        <f aca="false">BR63*(1-f_stroke_fatal_recur)*(1-f_stroke_major)</f>
        <v>0.000111859269213223</v>
      </c>
      <c r="CA63" s="57" t="n">
        <f aca="false">BS63*(1-f_bleed_fatal)</f>
        <v>9.90350728524413E-006</v>
      </c>
      <c r="CB63" s="57" t="n">
        <f aca="false">BT63*(1-f_bleed_fatal)</f>
        <v>9.20912426150689E-005</v>
      </c>
      <c r="CC63" s="57" t="n">
        <f aca="false">BU63*f_mi_fatal</f>
        <v>2.72759595314208E-006</v>
      </c>
      <c r="CD63" s="57" t="n">
        <f aca="false">BU63-CC63</f>
        <v>1.98145193620817E-005</v>
      </c>
      <c r="CE63" s="57" t="n">
        <f aca="false">BK63-BR63-BS63-BT63-CC63</f>
        <v>0.0101814863851638</v>
      </c>
      <c r="CF63" s="19" t="n">
        <f aca="false">BX63*c_stroke_fatal+BY63*c_stroke_major+BZ63*c_stroke_minor+BS63*c_ich+BT63*c_major_bleed+CC63*c_mi_fatal+CD63*c_mi_nonfatal+BV63*c_tia+BW63*c_minor_bleed</f>
        <v>10.6312773937655</v>
      </c>
      <c r="CG63" s="57" t="n">
        <f aca="false">dt*(CD63*dec_mi+CB63*dec_major_bleed+BW63*dec_minor_bleed+BV63*dec_tia)</f>
        <v>4.5429445792062E-006</v>
      </c>
      <c r="CH63" s="57" t="n">
        <f aca="false">I63*BJ63+BX63+BS63-CA63+BT63-CB63+CC63</f>
        <v>0.00108992648721785</v>
      </c>
      <c r="CI63" s="57" t="n">
        <f aca="false">1-EXP(LN(1-E63)*dt)</f>
        <v>0.03778578808961</v>
      </c>
      <c r="CJ63" s="57" t="n">
        <f aca="false">J63*(1-CI63)</f>
        <v>0.0667068377833338</v>
      </c>
      <c r="CK63" s="57" t="n">
        <f aca="false">(1-EXP(-r_stroke*F63*rr_asa_stroke*dt))</f>
        <v>0.0115738369985862</v>
      </c>
      <c r="CL63" s="57" t="n">
        <f aca="false">(1-EXP(-r_ich*rr_asa_ich*dt))</f>
        <v>0.00102357767802375</v>
      </c>
      <c r="CM63" s="57" t="n">
        <f aca="false">(1-EXP(-r_mb*rr_asa_mb*dt))</f>
        <v>0.00951809672747972</v>
      </c>
      <c r="CN63" s="57" t="n">
        <f aca="false">(1-EXP(-r_mi*rr_asa_mi*dt))</f>
        <v>0.00213413516393479</v>
      </c>
      <c r="CO63" s="57" t="n">
        <f aca="false">(1-EXP(-r_tia*rr_asa_tia*dt))</f>
        <v>0.00312764565589152</v>
      </c>
      <c r="CP63" s="57" t="n">
        <f aca="false">(1-EXP(-r_minor*rr_asa_minor*dt))</f>
        <v>0.0278181950466747</v>
      </c>
      <c r="CQ63" s="57" t="n">
        <f aca="false">CJ63*CK63</f>
        <v>0.000772054067195434</v>
      </c>
      <c r="CR63" s="57" t="n">
        <f aca="false">CJ63*CL63</f>
        <v>6.82796301265715E-005</v>
      </c>
      <c r="CS63" s="57" t="n">
        <f aca="false">CJ63*CM63</f>
        <v>0.000634922134406069</v>
      </c>
      <c r="CT63" s="57" t="n">
        <f aca="false">CJ63*CN63</f>
        <v>0.000142361408188307</v>
      </c>
      <c r="CU63" s="57" t="n">
        <f aca="false">CJ63*CO63</f>
        <v>0.000208635351411304</v>
      </c>
      <c r="CV63" s="57" t="n">
        <f aca="false">CJ63*CP63</f>
        <v>0.00185566382440367</v>
      </c>
      <c r="CW63" s="57" t="n">
        <f aca="false">CQ63*f_stroke_fatal</f>
        <v>0.000182976813925318</v>
      </c>
      <c r="CX63" s="57" t="n">
        <f aca="false">CQ63*(1-f_stroke_fatal)*f_stroke_major</f>
        <v>0.000196162725338949</v>
      </c>
      <c r="CY63" s="57" t="n">
        <f aca="false">CQ63*(1-f_stroke_fatal)*(1-f_stroke_major)</f>
        <v>0.000392914527931167</v>
      </c>
      <c r="CZ63" s="57" t="n">
        <f aca="false">CR63*(1-f_bleed_fatal)</f>
        <v>6.25441411959395E-005</v>
      </c>
      <c r="DA63" s="57" t="n">
        <f aca="false">CS63*(1-f_bleed_fatal)</f>
        <v>0.00058158867511596</v>
      </c>
      <c r="DB63" s="57" t="n">
        <f aca="false">CT63*f_mi_fatal</f>
        <v>1.72257303907851E-005</v>
      </c>
      <c r="DC63" s="57" t="n">
        <f aca="false">CT63-DB63</f>
        <v>0.000125135677797521</v>
      </c>
      <c r="DD63" s="57" t="n">
        <f aca="false">CJ63-CQ63-CR63-CS63-DB63</f>
        <v>0.0652143562212149</v>
      </c>
      <c r="DE63" s="19" t="n">
        <f aca="false">CW63*c_stroke_fatal+CX63*c_stroke_major+CY63*c_stroke_minor+CR63*c_ich+CS63*c_major_bleed+DB63*c_mi_fatal+DC63*c_mi_nonfatal+CU63*c_tia+CV63*c_minor_bleed</f>
        <v>37.5081950870402</v>
      </c>
      <c r="DF63" s="57" t="n">
        <f aca="false">dt*(DC63*dec_mi+DA63*dec_major_bleed+CV63*dec_minor_bleed+CU63*dec_tia)</f>
        <v>2.86902971869926E-005</v>
      </c>
      <c r="DG63" s="57" t="n">
        <f aca="false">J63*CI63+CW63+CR63-CZ63+CS63-DA63+DB63</f>
        <v>0.00287882377664276</v>
      </c>
      <c r="DH63" s="57" t="n">
        <f aca="false">AG63</f>
        <v>0.128548037982468</v>
      </c>
      <c r="DI63" s="57" t="n">
        <f aca="false">AB63+AC63+BF63+BA63+BB63+BC63+CY63+CZ63</f>
        <v>0.0239245286179544</v>
      </c>
      <c r="DJ63" s="57" t="n">
        <f aca="false">AA63+AZ63+BY63+CX63+CE63+BZ63+CA63+CB63</f>
        <v>0.0110076536895449</v>
      </c>
      <c r="DK63" s="57" t="n">
        <f aca="false">AD63+DD63+DA63</f>
        <v>0.0667973682480588</v>
      </c>
      <c r="DL63" s="57" t="n">
        <f aca="false">K63+AJ63+BI63+CH63+DG63</f>
        <v>0.769722411461974</v>
      </c>
      <c r="DM63" s="58" t="n">
        <f aca="false">SUM(DH63:DL63)</f>
        <v>1</v>
      </c>
      <c r="DN63" s="19" t="n">
        <f aca="false">dt*(G63*Warfarin!$H$2+(H63+I63+J63)*c_aspirin)</f>
        <v>14.0999294608595</v>
      </c>
      <c r="DO63" s="19" t="n">
        <f aca="false">dt*(H63*c_lt_minor_stroke+I63*c_lt_major_stroke)</f>
        <v>143.632506983341</v>
      </c>
      <c r="DP63" s="19" t="n">
        <f aca="false">AH63+BG63+CF63+DE63</f>
        <v>123.852684478109</v>
      </c>
      <c r="DQ63" s="19" t="n">
        <f aca="false">DN63+DO63+DP63</f>
        <v>281.58512092231</v>
      </c>
      <c r="DR63" s="57" t="n">
        <f aca="false">dt*(G63*(u_af-dec_per_year_over_70*MAX(B63-ref_age,0))+H63*(u_minor_stroke-dec_per_year_over_70*MAX(B63-ref_age,0))+I63*(u_major_stroke-dec_per_year_over_70*MAX(B63-ref_age,0))+J63*(u_af-dec_per_year_over_70*MAX(B63-ref_age,0)))-AI63-BH63-CG63-DF63</f>
        <v>0.0469279679964965</v>
      </c>
      <c r="DS63" s="57" t="n">
        <f aca="false">dt*(G63+H63+I63+J63)</f>
        <v>0.0605326434045408</v>
      </c>
      <c r="DT63" s="19" t="n">
        <f aca="false">DQ63*C63</f>
        <v>227.755356988532</v>
      </c>
      <c r="DU63" s="19" t="n">
        <f aca="false">DN63*C63</f>
        <v>11.4044891908802</v>
      </c>
      <c r="DV63" s="19" t="n">
        <f aca="false">DP63*C63</f>
        <v>100.176146647615</v>
      </c>
      <c r="DW63" s="19" t="n">
        <f aca="false">DO63*C63</f>
        <v>116.174721150037</v>
      </c>
      <c r="DX63" s="57" t="n">
        <f aca="false">DR63*C63</f>
        <v>0.0379568922845797</v>
      </c>
      <c r="DY63" s="57" t="n">
        <f aca="false">DS63*C63</f>
        <v>0.0489608036209572</v>
      </c>
      <c r="DZ63" s="57" t="n">
        <f aca="false">T63+AS63+BR63+CQ63</f>
        <v>0.00256071619777788</v>
      </c>
      <c r="EA63" s="57" t="n">
        <f aca="false">U63+AT63+BS63+CR63</f>
        <v>0.000365272449271545</v>
      </c>
      <c r="EB63" s="57" t="n">
        <f aca="false">V63+AU63+BT63+CS63</f>
        <v>0.00204875382742683</v>
      </c>
      <c r="EC63" s="57" t="n">
        <f aca="false">G63*dt*C63</f>
        <v>0.0275010618176933</v>
      </c>
    </row>
    <row r="64" customFormat="false" ht="15" hidden="false" customHeight="false" outlineLevel="0" collapsed="false">
      <c r="A64" s="8" t="n">
        <v>58</v>
      </c>
      <c r="B64" s="54" t="n">
        <f aca="false">start_age+A64*dt</f>
        <v>84.5</v>
      </c>
      <c r="C64" s="16" t="n">
        <f aca="false">(1+disc_rate)^-(A64*dt)</f>
        <v>0.805828062526422</v>
      </c>
      <c r="D64" s="55" t="n">
        <f aca="false">IF(A64*dt&gt;=wane_start,(1-wane_decay)^(A64*dt-wane_start),1)</f>
        <v>1</v>
      </c>
      <c r="E64" s="25" t="n">
        <f aca="false">MIN(p_nonvasc_death*MIN(EXP(gomp_int+gomp_slope*INT(B64)),1)/qx_ref,0.999)</f>
        <v>0.142790316175049</v>
      </c>
      <c r="F64" s="55" t="n">
        <f aca="false">rr_stroke_per_decade^((B64-ref_age)/10)</f>
        <v>1.80024795241482</v>
      </c>
      <c r="G64" s="57" t="n">
        <f aca="false">DH63</f>
        <v>0.128548037982468</v>
      </c>
      <c r="H64" s="57" t="n">
        <f aca="false">DI63</f>
        <v>0.0239245286179544</v>
      </c>
      <c r="I64" s="57" t="n">
        <f aca="false">DJ63</f>
        <v>0.0110076536895449</v>
      </c>
      <c r="J64" s="57" t="n">
        <f aca="false">DK63</f>
        <v>0.0667973682480588</v>
      </c>
      <c r="K64" s="57" t="n">
        <f aca="false">DL63</f>
        <v>0.769722411461974</v>
      </c>
      <c r="L64" s="57" t="n">
        <f aca="false">1-EXP(LN(1-E64)*dt)</f>
        <v>0.03778578808961</v>
      </c>
      <c r="M64" s="57" t="n">
        <f aca="false">G64*(1-L64)</f>
        <v>0.123690749059928</v>
      </c>
      <c r="N64" s="57" t="n">
        <f aca="false">IF(Warfarin!$B$2=1,EXP(LN(or_apx_stroke)*D64)*(1-EXP(-r_stroke*F64*dt))/(1-(1-EXP(-r_stroke*F64*dt))+EXP(LN(or_apx_stroke)*D64)*(1-EXP(-r_stroke*F64*dt))),(1-EXP(-r_stroke*F64*dt)))</f>
        <v>0.00723293718856588</v>
      </c>
      <c r="O64" s="57" t="n">
        <f aca="false">IF(Warfarin!$B$2=1,EXP(LN(or_apx_ich)*D64)*(1-EXP(-r_ich*dt))/(1-(1-EXP(-r_ich*dt))+EXP(LN(or_apx_ich)*D64)*(1-EXP(-r_ich*dt))),(1-EXP(-r_ich*dt)))</f>
        <v>0.0020060281549299</v>
      </c>
      <c r="P64" s="57" t="n">
        <f aca="false">IF(Warfarin!$B$2=1,EXP(LN(or_apx_mb)*D64)*(1-EXP(-r_mb*dt))/(1-(1-EXP(-r_mb*dt))+EXP(LN(or_apx_mb)*D64)*(1-EXP(-r_mb*dt))),(1-EXP(-r_mb*dt)))</f>
        <v>0.00835410477572107</v>
      </c>
      <c r="Q64" s="57" t="n">
        <f aca="false">IF(Warfarin!$B$2=1,EXP(LN(or_apx_mi)*D64)*(1-EXP(-r_mi*dt))/(1-(1-EXP(-r_mi*dt))+EXP(LN(or_apx_mi)*D64)*(1-EXP(-r_mi*dt))),(1-EXP(-r_mi*dt)))</f>
        <v>0.00150338686144691</v>
      </c>
      <c r="R64" s="57" t="n">
        <f aca="false">(1-EXP(-r_tia*dt))</f>
        <v>0.0020060281549299</v>
      </c>
      <c r="S64" s="57" t="n">
        <f aca="false">(1-EXP(-r_minor*dt))</f>
        <v>0.0437937690785545</v>
      </c>
      <c r="T64" s="57" t="n">
        <f aca="false">M64*N64</f>
        <v>0.00089464741875712</v>
      </c>
      <c r="U64" s="57" t="n">
        <f aca="false">M64*O64</f>
        <v>0.000248127125118583</v>
      </c>
      <c r="V64" s="57" t="n">
        <f aca="false">M64*P64</f>
        <v>0.00103332547743406</v>
      </c>
      <c r="W64" s="57" t="n">
        <f aca="false">M64*Q64</f>
        <v>0.000185955047019222</v>
      </c>
      <c r="X64" s="57" t="n">
        <f aca="false">M64*R64</f>
        <v>0.000248127125118583</v>
      </c>
      <c r="Y64" s="57" t="n">
        <f aca="false">M64*S64</f>
        <v>0.0054168841014839</v>
      </c>
      <c r="Z64" s="57" t="n">
        <f aca="false">T64*f_stroke_fatal</f>
        <v>0.000212031438245437</v>
      </c>
      <c r="AA64" s="57" t="n">
        <f aca="false">T64*(1-f_stroke_fatal)*f_stroke_major</f>
        <v>0.00022731112151039</v>
      </c>
      <c r="AB64" s="57" t="n">
        <f aca="false">T64*(1-f_stroke_fatal)*(1-f_stroke_major)</f>
        <v>0.000455304859001292</v>
      </c>
      <c r="AC64" s="57" t="n">
        <f aca="false">U64*(1-f_bleed_fatal)</f>
        <v>0.000227284446608622</v>
      </c>
      <c r="AD64" s="57" t="n">
        <f aca="false">V64*(1-f_bleed_fatal)</f>
        <v>0.000946526137329596</v>
      </c>
      <c r="AE64" s="57" t="n">
        <f aca="false">W64*f_mi_fatal</f>
        <v>2.25005606893258E-005</v>
      </c>
      <c r="AF64" s="57" t="n">
        <f aca="false">W64-AE64</f>
        <v>0.000163454486329896</v>
      </c>
      <c r="AG64" s="57" t="n">
        <f aca="false">M64-T64-U64-V64-AE64</f>
        <v>0.121492148477928</v>
      </c>
      <c r="AH64" s="19" t="n">
        <f aca="false">Z64*c_stroke_fatal+AA64*c_stroke_major+AB64*c_stroke_minor+U64*c_ich+V64*c_major_bleed+AE64*c_mi_fatal+AF64*c_mi_nonfatal+X64*c_tia+Y64*c_minor_bleed</f>
        <v>49.9022777098872</v>
      </c>
      <c r="AI64" s="57" t="n">
        <f aca="false">dt*(AF64*dec_mi+AD64*dec_major_bleed+Y64*dec_minor_bleed+X64*dec_tia)</f>
        <v>5.08722006580161E-005</v>
      </c>
      <c r="AJ64" s="57" t="n">
        <f aca="false">G64*L64+Z64+U64-AC64+V64-AD64+AE64</f>
        <v>0.00519946294008986</v>
      </c>
      <c r="AK64" s="57" t="n">
        <f aca="false">1-EXP(LN(1-E64)*hr_death_prior_stroke*dt)</f>
        <v>0.084780922206057</v>
      </c>
      <c r="AL64" s="57" t="n">
        <f aca="false">H64*(1-AK64)</f>
        <v>0.021896185018379</v>
      </c>
      <c r="AM64" s="57" t="n">
        <f aca="false">(1-EXP(-r_stroke*F64*rr_stroke_prior*rr_asa_stroke*dt))</f>
        <v>0.0255400570692318</v>
      </c>
      <c r="AN64" s="57" t="n">
        <f aca="false">(1-EXP(-r_ich*rr_asa_ich*dt))</f>
        <v>0.00102357767802375</v>
      </c>
      <c r="AO64" s="57" t="n">
        <f aca="false">(1-EXP(-r_mb*rr_asa_mb*dt))</f>
        <v>0.00951809672747972</v>
      </c>
      <c r="AP64" s="57" t="n">
        <f aca="false">(1-EXP(-r_mi*rr_asa_mi*dt))</f>
        <v>0.00213413516393479</v>
      </c>
      <c r="AQ64" s="57" t="n">
        <f aca="false">(1-EXP(-r_tia*rr_asa_tia*dt))</f>
        <v>0.00312764565589152</v>
      </c>
      <c r="AR64" s="57" t="n">
        <f aca="false">(1-EXP(-r_minor*rr_asa_minor*dt))</f>
        <v>0.0278181950466747</v>
      </c>
      <c r="AS64" s="57" t="n">
        <f aca="false">AL64*AM64</f>
        <v>0.000559229814967858</v>
      </c>
      <c r="AT64" s="57" t="n">
        <f aca="false">AL64*AN64</f>
        <v>2.24124462186907E-005</v>
      </c>
      <c r="AU64" s="57" t="n">
        <f aca="false">AL64*AO64</f>
        <v>0.000208410006967724</v>
      </c>
      <c r="AV64" s="57" t="n">
        <f aca="false">AL64*AP64</f>
        <v>4.67294184037448E-005</v>
      </c>
      <c r="AW64" s="57" t="n">
        <f aca="false">AL64*AQ64</f>
        <v>6.84835079533301E-005</v>
      </c>
      <c r="AX64" s="57" t="n">
        <f aca="false">AL64*AR64</f>
        <v>0.000609112345619344</v>
      </c>
      <c r="AY64" s="57" t="n">
        <f aca="false">AS64*f_stroke_fatal_recur</f>
        <v>0.00020808382185139</v>
      </c>
      <c r="AZ64" s="57" t="n">
        <f aca="false">AS64*(1-f_stroke_fatal_recur)*f_stroke_major</f>
        <v>0.000116931615707784</v>
      </c>
      <c r="BA64" s="57" t="n">
        <f aca="false">AS64*(1-f_stroke_fatal_recur)*(1-f_stroke_major)</f>
        <v>0.000234214377408684</v>
      </c>
      <c r="BB64" s="57" t="n">
        <f aca="false">AT64*(1-f_bleed_fatal)</f>
        <v>2.05298007363207E-005</v>
      </c>
      <c r="BC64" s="57" t="n">
        <f aca="false">AU64*(1-f_bleed_fatal)</f>
        <v>0.000190903566382435</v>
      </c>
      <c r="BD64" s="57" t="n">
        <f aca="false">AV64*f_mi_fatal</f>
        <v>5.65425962685312E-006</v>
      </c>
      <c r="BE64" s="57" t="n">
        <f aca="false">AV64-BD64</f>
        <v>4.10751587768917E-005</v>
      </c>
      <c r="BF64" s="57" t="n">
        <f aca="false">AL64-AS64-AT64-AU64-BD64</f>
        <v>0.0211004784905979</v>
      </c>
      <c r="BG64" s="19" t="n">
        <f aca="false">AY64*c_stroke_fatal+AZ64*c_stroke_major+BA64*c_stroke_minor+AT64*c_ich+AU64*c_major_bleed+BD64*c_mi_fatal+BE64*c_mi_nonfatal+AW64*c_tia+AX64*c_minor_bleed</f>
        <v>22.2304425445505</v>
      </c>
      <c r="BH64" s="57" t="n">
        <f aca="false">dt*(BE64*dec_mi+BC64*dec_major_bleed+AX64*dec_minor_bleed+AW64*dec_tia)</f>
        <v>9.41744619163498E-006</v>
      </c>
      <c r="BI64" s="57" t="n">
        <f aca="false">H64*AK64+AY64+AT64-BB64+AU64-BC64+BD64</f>
        <v>0.00226147076712128</v>
      </c>
      <c r="BJ64" s="57" t="n">
        <f aca="false">1-EXP(LN(1-E64)*hr_death_prior_stroke*dt)</f>
        <v>0.084780922206057</v>
      </c>
      <c r="BK64" s="57" t="n">
        <f aca="false">I64*(1-BJ64)</f>
        <v>0.0100744146584203</v>
      </c>
      <c r="BL64" s="57" t="n">
        <f aca="false">(1-EXP(-r_stroke*F64*rr_stroke_prior*rr_asa_stroke*dt))</f>
        <v>0.0255400570692318</v>
      </c>
      <c r="BM64" s="57" t="n">
        <f aca="false">(1-EXP(-r_ich*rr_asa_ich*dt))</f>
        <v>0.00102357767802375</v>
      </c>
      <c r="BN64" s="57" t="n">
        <f aca="false">(1-EXP(-r_mb*rr_asa_mb*dt))</f>
        <v>0.00951809672747972</v>
      </c>
      <c r="BO64" s="57" t="n">
        <f aca="false">(1-EXP(-r_mi*rr_asa_mi*dt))</f>
        <v>0.00213413516393479</v>
      </c>
      <c r="BP64" s="57" t="n">
        <f aca="false">(1-EXP(-r_tia*rr_asa_tia*dt))</f>
        <v>0.00312764565589152</v>
      </c>
      <c r="BQ64" s="57" t="n">
        <f aca="false">(1-EXP(-r_minor*rr_asa_minor*dt))</f>
        <v>0.0278181950466747</v>
      </c>
      <c r="BR64" s="57" t="n">
        <f aca="false">BK64*BL64</f>
        <v>0.000257301125315161</v>
      </c>
      <c r="BS64" s="57" t="n">
        <f aca="false">BK64*BM64</f>
        <v>1.03119459635143E-005</v>
      </c>
      <c r="BT64" s="57" t="n">
        <f aca="false">BK64*BN64</f>
        <v>9.58892531915843E-005</v>
      </c>
      <c r="BU64" s="57" t="n">
        <f aca="false">BK64*BO64</f>
        <v>2.1500162578595E-005</v>
      </c>
      <c r="BV64" s="57" t="n">
        <f aca="false">BK64*BP64</f>
        <v>3.15091992420582E-005</v>
      </c>
      <c r="BW64" s="57" t="n">
        <f aca="false">BK64*BQ64</f>
        <v>0.000280252031949016</v>
      </c>
      <c r="BX64" s="57" t="n">
        <f aca="false">BR64*f_stroke_fatal_recur</f>
        <v>9.57391757185181E-005</v>
      </c>
      <c r="BY64" s="57" t="n">
        <f aca="false">BR64*(1-f_stroke_fatal_recur)*f_stroke_major</f>
        <v>5.3800129215682E-005</v>
      </c>
      <c r="BZ64" s="57" t="n">
        <f aca="false">BR64*(1-f_stroke_fatal_recur)*(1-f_stroke_major)</f>
        <v>0.000107761820380961</v>
      </c>
      <c r="CA64" s="57" t="n">
        <f aca="false">BS64*(1-f_bleed_fatal)</f>
        <v>9.44574250257908E-006</v>
      </c>
      <c r="CB64" s="57" t="n">
        <f aca="false">BT64*(1-f_bleed_fatal)</f>
        <v>8.78345559234912E-005</v>
      </c>
      <c r="CC64" s="57" t="n">
        <f aca="false">BU64*f_mi_fatal</f>
        <v>2.60151967200999E-006</v>
      </c>
      <c r="CD64" s="57" t="n">
        <f aca="false">BU64-CC64</f>
        <v>1.8898642906585E-005</v>
      </c>
      <c r="CE64" s="57" t="n">
        <f aca="false">BK64-BR64-BS64-BT64-CC64</f>
        <v>0.00970831081427807</v>
      </c>
      <c r="CF64" s="19" t="n">
        <f aca="false">BX64*c_stroke_fatal+BY64*c_stroke_major+BZ64*c_stroke_minor+BS64*c_ich+BT64*c_major_bleed+CC64*c_mi_fatal+CD64*c_mi_nonfatal+BV64*c_tia+BW64*c_minor_bleed</f>
        <v>10.2282062398544</v>
      </c>
      <c r="CG64" s="57" t="n">
        <f aca="false">dt*(CD64*dec_mi+CB64*dec_major_bleed+BW64*dec_minor_bleed+BV64*dec_tia)</f>
        <v>4.33295836138838E-006</v>
      </c>
      <c r="CH64" s="57" t="n">
        <f aca="false">I64*BJ64+BX64+BS64-CA64+BT64-CB64+CC64</f>
        <v>0.00104050062724408</v>
      </c>
      <c r="CI64" s="57" t="n">
        <f aca="false">1-EXP(LN(1-E64)*dt)</f>
        <v>0.03778578808961</v>
      </c>
      <c r="CJ64" s="57" t="n">
        <f aca="false">J64*(1-CI64)</f>
        <v>0.064273377046494</v>
      </c>
      <c r="CK64" s="57" t="n">
        <f aca="false">(1-EXP(-r_stroke*F64*rr_asa_stroke*dt))</f>
        <v>0.0116910613307907</v>
      </c>
      <c r="CL64" s="57" t="n">
        <f aca="false">(1-EXP(-r_ich*rr_asa_ich*dt))</f>
        <v>0.00102357767802375</v>
      </c>
      <c r="CM64" s="57" t="n">
        <f aca="false">(1-EXP(-r_mb*rr_asa_mb*dt))</f>
        <v>0.00951809672747972</v>
      </c>
      <c r="CN64" s="57" t="n">
        <f aca="false">(1-EXP(-r_mi*rr_asa_mi*dt))</f>
        <v>0.00213413516393479</v>
      </c>
      <c r="CO64" s="57" t="n">
        <f aca="false">(1-EXP(-r_tia*rr_asa_tia*dt))</f>
        <v>0.00312764565589152</v>
      </c>
      <c r="CP64" s="57" t="n">
        <f aca="false">(1-EXP(-r_minor*rr_asa_minor*dt))</f>
        <v>0.0278181950466747</v>
      </c>
      <c r="CQ64" s="57" t="n">
        <f aca="false">CJ64*CK64</f>
        <v>0.000751423992987595</v>
      </c>
      <c r="CR64" s="57" t="n">
        <f aca="false">CJ64*CL64</f>
        <v>6.57887940359951E-005</v>
      </c>
      <c r="CS64" s="57" t="n">
        <f aca="false">CJ64*CM64</f>
        <v>0.000611760219730305</v>
      </c>
      <c r="CT64" s="57" t="n">
        <f aca="false">CJ64*CN64</f>
        <v>0.000137168074059762</v>
      </c>
      <c r="CU64" s="57" t="n">
        <f aca="false">CJ64*CO64</f>
        <v>0.000201024348508945</v>
      </c>
      <c r="CV64" s="57" t="n">
        <f aca="false">CJ64*CP64</f>
        <v>0.00178796933898784</v>
      </c>
      <c r="CW64" s="57" t="n">
        <f aca="false">CQ64*f_stroke_fatal</f>
        <v>0.00017808748633806</v>
      </c>
      <c r="CX64" s="57" t="n">
        <f aca="false">CQ64*(1-f_stroke_fatal)*f_stroke_major</f>
        <v>0.000190921056714295</v>
      </c>
      <c r="CY64" s="57" t="n">
        <f aca="false">CQ64*(1-f_stroke_fatal)*(1-f_stroke_major)</f>
        <v>0.00038241544993524</v>
      </c>
      <c r="CZ64" s="57" t="n">
        <f aca="false">CR64*(1-f_bleed_fatal)</f>
        <v>6.02625353369715E-005</v>
      </c>
      <c r="DA64" s="57" t="n">
        <f aca="false">CS64*(1-f_bleed_fatal)</f>
        <v>0.000560372361272959</v>
      </c>
      <c r="DB64" s="57" t="n">
        <f aca="false">CT64*f_mi_fatal</f>
        <v>1.65973369612312E-005</v>
      </c>
      <c r="DC64" s="57" t="n">
        <f aca="false">CT64-DB64</f>
        <v>0.000120570737098531</v>
      </c>
      <c r="DD64" s="57" t="n">
        <f aca="false">CJ64-CQ64-CR64-CS64-DB64</f>
        <v>0.0628278067027789</v>
      </c>
      <c r="DE64" s="19" t="n">
        <f aca="false">CW64*c_stroke_fatal+CX64*c_stroke_major+CY64*c_stroke_minor+CR64*c_ich+CS64*c_major_bleed+DB64*c_mi_fatal+DC64*c_mi_nonfatal+CU64*c_tia+CV64*c_minor_bleed</f>
        <v>36.4182771426814</v>
      </c>
      <c r="DF64" s="57" t="n">
        <f aca="false">dt*(DC64*dec_mi+DA64*dec_major_bleed+CV64*dec_minor_bleed+CU64*dec_tia)</f>
        <v>2.7643677169423E-005</v>
      </c>
      <c r="DG64" s="57" t="n">
        <f aca="false">J64*CI64+CW64+CR64-CZ64+CS64-DA64+DB64</f>
        <v>0.00277559014202045</v>
      </c>
      <c r="DH64" s="57" t="n">
        <f aca="false">AG64</f>
        <v>0.121492148477928</v>
      </c>
      <c r="DI64" s="57" t="n">
        <f aca="false">AB64+AC64+BF64+BA64+BB64+BC64+CY64+CZ64</f>
        <v>0.0226713935260074</v>
      </c>
      <c r="DJ64" s="57" t="n">
        <f aca="false">AA64+AZ64+BY64+CX64+CE64+BZ64+CA64+CB64</f>
        <v>0.0105023168562332</v>
      </c>
      <c r="DK64" s="57" t="n">
        <f aca="false">AD64+DD64+DA64</f>
        <v>0.0643347052013815</v>
      </c>
      <c r="DL64" s="57" t="n">
        <f aca="false">K64+AJ64+BI64+CH64+DG64</f>
        <v>0.78099943593845</v>
      </c>
      <c r="DM64" s="58" t="n">
        <f aca="false">SUM(DH64:DL64)</f>
        <v>1</v>
      </c>
      <c r="DN64" s="19" t="n">
        <f aca="false">dt*(G64*Warfarin!$H$2+(H64+I64+J64)*c_aspirin)</f>
        <v>13.3408460474751</v>
      </c>
      <c r="DO64" s="19" t="n">
        <f aca="false">dt*(H64*c_lt_minor_stroke+I64*c_lt_major_stroke)</f>
        <v>136.541073598114</v>
      </c>
      <c r="DP64" s="19" t="n">
        <f aca="false">AH64+BG64+CF64+DE64</f>
        <v>118.779203636973</v>
      </c>
      <c r="DQ64" s="19" t="n">
        <f aca="false">DN64+DO64+DP64</f>
        <v>268.661123282563</v>
      </c>
      <c r="DR64" s="57" t="n">
        <f aca="false">dt*(G64*(u_af-dec_per_year_over_70*MAX(B64-ref_age,0))+H64*(u_minor_stroke-dec_per_year_over_70*MAX(B64-ref_age,0))+I64*(u_major_stroke-dec_per_year_over_70*MAX(B64-ref_age,0))+J64*(u_af-dec_per_year_over_70*MAX(B64-ref_age,0)))-AI64-BH64-CG64-DF64</f>
        <v>0.0446242346845028</v>
      </c>
      <c r="DS64" s="57" t="n">
        <f aca="false">dt*(G64+H64+I64+J64)</f>
        <v>0.0575693971345066</v>
      </c>
      <c r="DT64" s="19" t="n">
        <f aca="false">DQ64*C64</f>
        <v>216.49467245096</v>
      </c>
      <c r="DU64" s="19" t="n">
        <f aca="false">DN64*C64</f>
        <v>10.7504281229001</v>
      </c>
      <c r="DV64" s="19" t="n">
        <f aca="false">DP64*C64</f>
        <v>95.7156155352137</v>
      </c>
      <c r="DW64" s="19" t="n">
        <f aca="false">DO64*C64</f>
        <v>110.028628792846</v>
      </c>
      <c r="DX64" s="57" t="n">
        <f aca="false">DR64*C64</f>
        <v>0.0359594605775372</v>
      </c>
      <c r="DY64" s="57" t="n">
        <f aca="false">DS64*C64</f>
        <v>0.0463910357537136</v>
      </c>
      <c r="DZ64" s="57" t="n">
        <f aca="false">T64+AS64+BR64+CQ64</f>
        <v>0.00246260235202773</v>
      </c>
      <c r="EA64" s="57" t="n">
        <f aca="false">U64+AT64+BS64+CR64</f>
        <v>0.000346640311336783</v>
      </c>
      <c r="EB64" s="57" t="n">
        <f aca="false">V64+AU64+BT64+CS64</f>
        <v>0.00194938495732367</v>
      </c>
      <c r="EC64" s="57" t="n">
        <f aca="false">G64*dt*C64</f>
        <v>0.0258969040972463</v>
      </c>
    </row>
    <row r="65" customFormat="false" ht="15" hidden="false" customHeight="false" outlineLevel="0" collapsed="false">
      <c r="A65" s="8" t="n">
        <v>59</v>
      </c>
      <c r="B65" s="54" t="n">
        <f aca="false">start_age+A65*dt</f>
        <v>84.75</v>
      </c>
      <c r="C65" s="16" t="n">
        <f aca="false">(1+disc_rate)^-(A65*dt)</f>
        <v>0.802834222308888</v>
      </c>
      <c r="D65" s="55" t="n">
        <f aca="false">IF(A65*dt&gt;=wane_start,(1-wane_decay)^(A65*dt-wane_start),1)</f>
        <v>1</v>
      </c>
      <c r="E65" s="25" t="n">
        <f aca="false">MIN(p_nonvasc_death*MIN(EXP(gomp_int+gomp_slope*INT(B65)),1)/qx_ref,0.999)</f>
        <v>0.142790316175049</v>
      </c>
      <c r="F65" s="55" t="n">
        <f aca="false">rr_stroke_per_decade^((B65-ref_age)/10)</f>
        <v>1.81858919782063</v>
      </c>
      <c r="G65" s="57" t="n">
        <f aca="false">DH64</f>
        <v>0.121492148477928</v>
      </c>
      <c r="H65" s="57" t="n">
        <f aca="false">DI64</f>
        <v>0.0226713935260074</v>
      </c>
      <c r="I65" s="57" t="n">
        <f aca="false">DJ64</f>
        <v>0.0105023168562332</v>
      </c>
      <c r="J65" s="57" t="n">
        <f aca="false">DK64</f>
        <v>0.0643347052013815</v>
      </c>
      <c r="K65" s="57" t="n">
        <f aca="false">DL64</f>
        <v>0.78099943593845</v>
      </c>
      <c r="L65" s="57" t="n">
        <f aca="false">1-EXP(LN(1-E65)*dt)</f>
        <v>0.03778578808961</v>
      </c>
      <c r="M65" s="57" t="n">
        <f aca="false">G65*(1-L65)</f>
        <v>0.11690147190099</v>
      </c>
      <c r="N65" s="57" t="n">
        <f aca="false">IF(Warfarin!$B$2=1,EXP(LN(or_apx_stroke)*D65)*(1-EXP(-r_stroke*F65*dt))/(1-(1-EXP(-r_stroke*F65*dt))+EXP(LN(or_apx_stroke)*D65)*(1-EXP(-r_stroke*F65*dt))),(1-EXP(-r_stroke*F65*dt)))</f>
        <v>0.00730635777626831</v>
      </c>
      <c r="O65" s="57" t="n">
        <f aca="false">IF(Warfarin!$B$2=1,EXP(LN(or_apx_ich)*D65)*(1-EXP(-r_ich*dt))/(1-(1-EXP(-r_ich*dt))+EXP(LN(or_apx_ich)*D65)*(1-EXP(-r_ich*dt))),(1-EXP(-r_ich*dt)))</f>
        <v>0.0020060281549299</v>
      </c>
      <c r="P65" s="57" t="n">
        <f aca="false">IF(Warfarin!$B$2=1,EXP(LN(or_apx_mb)*D65)*(1-EXP(-r_mb*dt))/(1-(1-EXP(-r_mb*dt))+EXP(LN(or_apx_mb)*D65)*(1-EXP(-r_mb*dt))),(1-EXP(-r_mb*dt)))</f>
        <v>0.00835410477572107</v>
      </c>
      <c r="Q65" s="57" t="n">
        <f aca="false">IF(Warfarin!$B$2=1,EXP(LN(or_apx_mi)*D65)*(1-EXP(-r_mi*dt))/(1-(1-EXP(-r_mi*dt))+EXP(LN(or_apx_mi)*D65)*(1-EXP(-r_mi*dt))),(1-EXP(-r_mi*dt)))</f>
        <v>0.00150338686144691</v>
      </c>
      <c r="R65" s="57" t="n">
        <f aca="false">(1-EXP(-r_tia*dt))</f>
        <v>0.0020060281549299</v>
      </c>
      <c r="S65" s="57" t="n">
        <f aca="false">(1-EXP(-r_minor*dt))</f>
        <v>0.0437937690785545</v>
      </c>
      <c r="T65" s="57" t="n">
        <f aca="false">M65*N65</f>
        <v>0.00085412397828101</v>
      </c>
      <c r="U65" s="57" t="n">
        <f aca="false">M65*O65</f>
        <v>0.000234507643986132</v>
      </c>
      <c r="V65" s="57" t="n">
        <f aca="false">M65*P65</f>
        <v>0.000976607144696883</v>
      </c>
      <c r="W65" s="57" t="n">
        <f aca="false">M65*Q65</f>
        <v>0.000175748136939753</v>
      </c>
      <c r="X65" s="57" t="n">
        <f aca="false">M65*R65</f>
        <v>0.000234507643986132</v>
      </c>
      <c r="Y65" s="57" t="n">
        <f aca="false">M65*S65</f>
        <v>0.00511955606537508</v>
      </c>
      <c r="Z65" s="57" t="n">
        <f aca="false">T65*f_stroke_fatal</f>
        <v>0.000202427382852599</v>
      </c>
      <c r="AA65" s="57" t="n">
        <f aca="false">T65*(1-f_stroke_fatal)*f_stroke_major</f>
        <v>0.000217014966277661</v>
      </c>
      <c r="AB65" s="57" t="n">
        <f aca="false">T65*(1-f_stroke_fatal)*(1-f_stroke_major)</f>
        <v>0.00043468162915075</v>
      </c>
      <c r="AC65" s="57" t="n">
        <f aca="false">U65*(1-f_bleed_fatal)</f>
        <v>0.000214809001891297</v>
      </c>
      <c r="AD65" s="57" t="n">
        <f aca="false">V65*(1-f_bleed_fatal)</f>
        <v>0.000894572144542345</v>
      </c>
      <c r="AE65" s="57" t="n">
        <f aca="false">W65*f_mi_fatal</f>
        <v>2.12655245697102E-005</v>
      </c>
      <c r="AF65" s="57" t="n">
        <f aca="false">W65-AE65</f>
        <v>0.000154482612370043</v>
      </c>
      <c r="AG65" s="57" t="n">
        <f aca="false">M65-T65-U65-V65-AE65</f>
        <v>0.114814967609456</v>
      </c>
      <c r="AH65" s="19" t="n">
        <f aca="false">Z65*c_stroke_fatal+AA65*c_stroke_major+AB65*c_stroke_minor+U65*c_ich+V65*c_major_bleed+AE65*c_mi_fatal+AF65*c_mi_nonfatal+X65*c_tia+Y65*c_minor_bleed</f>
        <v>47.4803058646105</v>
      </c>
      <c r="AI65" s="57" t="n">
        <f aca="false">dt*(AF65*dec_mi+AD65*dec_major_bleed+Y65*dec_minor_bleed+X65*dec_tia)</f>
        <v>4.80798700061497E-005</v>
      </c>
      <c r="AJ65" s="57" t="n">
        <f aca="false">G65*L65+Z65+U65-AC65+V65-AD65+AE65</f>
        <v>0.00491610312661012</v>
      </c>
      <c r="AK65" s="57" t="n">
        <f aca="false">1-EXP(LN(1-E65)*hr_death_prior_stroke*dt)</f>
        <v>0.084780922206057</v>
      </c>
      <c r="AL65" s="57" t="n">
        <f aca="false">H65*(1-AK65)</f>
        <v>0.0207492918751761</v>
      </c>
      <c r="AM65" s="57" t="n">
        <f aca="false">(1-EXP(-r_stroke*F65*rr_stroke_prior*rr_asa_stroke*dt))</f>
        <v>0.0257968783496568</v>
      </c>
      <c r="AN65" s="57" t="n">
        <f aca="false">(1-EXP(-r_ich*rr_asa_ich*dt))</f>
        <v>0.00102357767802375</v>
      </c>
      <c r="AO65" s="57" t="n">
        <f aca="false">(1-EXP(-r_mb*rr_asa_mb*dt))</f>
        <v>0.00951809672747972</v>
      </c>
      <c r="AP65" s="57" t="n">
        <f aca="false">(1-EXP(-r_mi*rr_asa_mi*dt))</f>
        <v>0.00213413516393479</v>
      </c>
      <c r="AQ65" s="57" t="n">
        <f aca="false">(1-EXP(-r_tia*rr_asa_tia*dt))</f>
        <v>0.00312764565589152</v>
      </c>
      <c r="AR65" s="57" t="n">
        <f aca="false">(1-EXP(-r_minor*rr_asa_minor*dt))</f>
        <v>0.0278181950466747</v>
      </c>
      <c r="AS65" s="57" t="n">
        <f aca="false">AL65*AM65</f>
        <v>0.00053526695834544</v>
      </c>
      <c r="AT65" s="57" t="n">
        <f aca="false">AL65*AN65</f>
        <v>2.12385119982297E-005</v>
      </c>
      <c r="AU65" s="57" t="n">
        <f aca="false">AL65*AO65</f>
        <v>0.000197493767094635</v>
      </c>
      <c r="AV65" s="57" t="n">
        <f aca="false">AL65*AP65</f>
        <v>4.42817934175598E-005</v>
      </c>
      <c r="AW65" s="57" t="n">
        <f aca="false">AL65*AQ65</f>
        <v>6.48964325962197E-005</v>
      </c>
      <c r="AX65" s="57" t="n">
        <f aca="false">AL65*AR65</f>
        <v>0.000577207848464031</v>
      </c>
      <c r="AY65" s="57" t="n">
        <f aca="false">AS65*f_stroke_fatal_recur</f>
        <v>0.000199167482530755</v>
      </c>
      <c r="AZ65" s="57" t="n">
        <f aca="false">AS65*(1-f_stroke_fatal_recur)*f_stroke_major</f>
        <v>0.00011192112544629</v>
      </c>
      <c r="BA65" s="57" t="n">
        <f aca="false">AS65*(1-f_stroke_fatal_recur)*(1-f_stroke_major)</f>
        <v>0.000224178350368395</v>
      </c>
      <c r="BB65" s="57" t="n">
        <f aca="false">AT65*(1-f_bleed_fatal)</f>
        <v>1.94544769903784E-005</v>
      </c>
      <c r="BC65" s="57" t="n">
        <f aca="false">AU65*(1-f_bleed_fatal)</f>
        <v>0.000180904290658686</v>
      </c>
      <c r="BD65" s="57" t="n">
        <f aca="false">AV65*f_mi_fatal</f>
        <v>5.35809700352473E-006</v>
      </c>
      <c r="BE65" s="57" t="n">
        <f aca="false">AV65-BD65</f>
        <v>3.8923696414035E-005</v>
      </c>
      <c r="BF65" s="57" t="n">
        <f aca="false">AL65-AS65-AT65-AU65-BD65</f>
        <v>0.0199899345407343</v>
      </c>
      <c r="BG65" s="19" t="n">
        <f aca="false">AY65*c_stroke_fatal+AZ65*c_stroke_major+BA65*c_stroke_minor+AT65*c_ich+AU65*c_major_bleed+BD65*c_mi_fatal+BE65*c_mi_nonfatal+AW65*c_tia+AX65*c_minor_bleed</f>
        <v>21.2497776253745</v>
      </c>
      <c r="BH65" s="57" t="n">
        <f aca="false">dt*(BE65*dec_mi+BC65*dec_major_bleed+AX65*dec_minor_bleed+AW65*dec_tia)</f>
        <v>8.92417284494913E-006</v>
      </c>
      <c r="BI65" s="57" t="n">
        <f aca="false">H65*AK65+AY65+AT65-BB65+AU65-BC65+BD65</f>
        <v>0.00214500074180942</v>
      </c>
      <c r="BJ65" s="57" t="n">
        <f aca="false">1-EXP(LN(1-E65)*hr_death_prior_stroke*dt)</f>
        <v>0.084780922206057</v>
      </c>
      <c r="BK65" s="57" t="n">
        <f aca="false">I65*(1-BJ65)</f>
        <v>0.00961192074786157</v>
      </c>
      <c r="BL65" s="57" t="n">
        <f aca="false">(1-EXP(-r_stroke*F65*rr_stroke_prior*rr_asa_stroke*dt))</f>
        <v>0.0257968783496568</v>
      </c>
      <c r="BM65" s="57" t="n">
        <f aca="false">(1-EXP(-r_ich*rr_asa_ich*dt))</f>
        <v>0.00102357767802375</v>
      </c>
      <c r="BN65" s="57" t="n">
        <f aca="false">(1-EXP(-r_mb*rr_asa_mb*dt))</f>
        <v>0.00951809672747972</v>
      </c>
      <c r="BO65" s="57" t="n">
        <f aca="false">(1-EXP(-r_mi*rr_asa_mi*dt))</f>
        <v>0.00213413516393479</v>
      </c>
      <c r="BP65" s="57" t="n">
        <f aca="false">(1-EXP(-r_tia*rr_asa_tia*dt))</f>
        <v>0.00312764565589152</v>
      </c>
      <c r="BQ65" s="57" t="n">
        <f aca="false">(1-EXP(-r_minor*rr_asa_minor*dt))</f>
        <v>0.0278181950466747</v>
      </c>
      <c r="BR65" s="57" t="n">
        <f aca="false">BK65*BL65</f>
        <v>0.000247957550239128</v>
      </c>
      <c r="BS65" s="57" t="n">
        <f aca="false">BK65*BM65</f>
        <v>9.83854752044442E-006</v>
      </c>
      <c r="BT65" s="57" t="n">
        <f aca="false">BK65*BN65</f>
        <v>9.14871914150157E-005</v>
      </c>
      <c r="BU65" s="57" t="n">
        <f aca="false">BK65*BO65</f>
        <v>2.05131380609658E-005</v>
      </c>
      <c r="BV65" s="57" t="n">
        <f aca="false">BK65*BP65</f>
        <v>3.00626821718228E-005</v>
      </c>
      <c r="BW65" s="57" t="n">
        <f aca="false">BK65*BQ65</f>
        <v>0.000267386286137193</v>
      </c>
      <c r="BX65" s="57" t="n">
        <f aca="false">BR65*f_stroke_fatal_recur</f>
        <v>9.2262524868477E-005</v>
      </c>
      <c r="BY65" s="57" t="n">
        <f aca="false">BR65*(1-f_stroke_fatal_recur)*f_stroke_major</f>
        <v>5.18464434484266E-005</v>
      </c>
      <c r="BZ65" s="57" t="n">
        <f aca="false">BR65*(1-f_stroke_fatal_recur)*(1-f_stroke_major)</f>
        <v>0.000103848581922224</v>
      </c>
      <c r="CA65" s="57" t="n">
        <f aca="false">BS65*(1-f_bleed_fatal)</f>
        <v>9.01210952872709E-006</v>
      </c>
      <c r="CB65" s="57" t="n">
        <f aca="false">BT65*(1-f_bleed_fatal)</f>
        <v>8.38022673361544E-005</v>
      </c>
      <c r="CC65" s="57" t="n">
        <f aca="false">BU65*f_mi_fatal</f>
        <v>2.48208970537686E-006</v>
      </c>
      <c r="CD65" s="57" t="n">
        <f aca="false">BU65-CC65</f>
        <v>1.80310483555889E-005</v>
      </c>
      <c r="CE65" s="57" t="n">
        <f aca="false">BK65-BR65-BS65-BT65-CC65</f>
        <v>0.00926015536898161</v>
      </c>
      <c r="CF65" s="19" t="n">
        <f aca="false">BX65*c_stroke_fatal+BY65*c_stroke_major+BZ65*c_stroke_minor+BS65*c_ich+BT65*c_major_bleed+CC65*c_mi_fatal+CD65*c_mi_nonfatal+BV65*c_tia+BW65*c_minor_bleed</f>
        <v>9.84376621975916</v>
      </c>
      <c r="CG65" s="57" t="n">
        <f aca="false">dt*(CD65*dec_mi+CB65*dec_major_bleed+BW65*dec_minor_bleed+BV65*dec_tia)</f>
        <v>4.13404190571402E-006</v>
      </c>
      <c r="CH65" s="57" t="n">
        <f aca="false">I65*BJ65+BX65+BS65-CA65+BT65-CB65+CC65</f>
        <v>0.000993652085016105</v>
      </c>
      <c r="CI65" s="57" t="n">
        <f aca="false">1-EXP(LN(1-E65)*dt)</f>
        <v>0.03778578808961</v>
      </c>
      <c r="CJ65" s="57" t="n">
        <f aca="false">J65*(1-CI65)</f>
        <v>0.0619037676638345</v>
      </c>
      <c r="CK65" s="57" t="n">
        <f aca="false">(1-EXP(-r_stroke*F65*rr_asa_stroke*dt))</f>
        <v>0.0118094658496555</v>
      </c>
      <c r="CL65" s="57" t="n">
        <f aca="false">(1-EXP(-r_ich*rr_asa_ich*dt))</f>
        <v>0.00102357767802375</v>
      </c>
      <c r="CM65" s="57" t="n">
        <f aca="false">(1-EXP(-r_mb*rr_asa_mb*dt))</f>
        <v>0.00951809672747972</v>
      </c>
      <c r="CN65" s="57" t="n">
        <f aca="false">(1-EXP(-r_mi*rr_asa_mi*dt))</f>
        <v>0.00213413516393479</v>
      </c>
      <c r="CO65" s="57" t="n">
        <f aca="false">(1-EXP(-r_tia*rr_asa_tia*dt))</f>
        <v>0.00312764565589152</v>
      </c>
      <c r="CP65" s="57" t="n">
        <f aca="false">(1-EXP(-r_minor*rr_asa_minor*dt))</f>
        <v>0.0278181950466747</v>
      </c>
      <c r="CQ65" s="57" t="n">
        <f aca="false">CJ65*CK65</f>
        <v>0.000731050430191061</v>
      </c>
      <c r="CR65" s="57" t="n">
        <f aca="false">CJ65*CL65</f>
        <v>6.33633147662692E-005</v>
      </c>
      <c r="CS65" s="57" t="n">
        <f aca="false">CJ65*CM65</f>
        <v>0.000589206048419808</v>
      </c>
      <c r="CT65" s="57" t="n">
        <f aca="false">CJ65*CN65</f>
        <v>0.000132111007351439</v>
      </c>
      <c r="CU65" s="57" t="n">
        <f aca="false">CJ65*CO65</f>
        <v>0.00019361305001711</v>
      </c>
      <c r="CV65" s="57" t="n">
        <f aca="false">CJ65*CP65</f>
        <v>0.00172205108299658</v>
      </c>
      <c r="CW65" s="57" t="n">
        <f aca="false">CQ65*f_stroke_fatal</f>
        <v>0.000173258951955281</v>
      </c>
      <c r="CX65" s="57" t="n">
        <f aca="false">CQ65*(1-f_stroke_fatal)*f_stroke_major</f>
        <v>0.000185744562252515</v>
      </c>
      <c r="CY65" s="57" t="n">
        <f aca="false">CQ65*(1-f_stroke_fatal)*(1-f_stroke_major)</f>
        <v>0.000372046915983265</v>
      </c>
      <c r="CZ65" s="57" t="n">
        <f aca="false">CR65*(1-f_bleed_fatal)</f>
        <v>5.80407963259026E-005</v>
      </c>
      <c r="DA65" s="57" t="n">
        <f aca="false">CS65*(1-f_bleed_fatal)</f>
        <v>0.000539712740352544</v>
      </c>
      <c r="DB65" s="57" t="n">
        <f aca="false">CT65*f_mi_fatal</f>
        <v>1.59854318895241E-005</v>
      </c>
      <c r="DC65" s="57" t="n">
        <f aca="false">CT65-DB65</f>
        <v>0.000116125575461915</v>
      </c>
      <c r="DD65" s="57" t="n">
        <f aca="false">CJ65-CQ65-CR65-CS65-DB65</f>
        <v>0.0605041624385679</v>
      </c>
      <c r="DE65" s="19" t="n">
        <f aca="false">CW65*c_stroke_fatal+CX65*c_stroke_major+CY65*c_stroke_minor+CR65*c_ich+CS65*c_major_bleed+DB65*c_mi_fatal+DC65*c_mi_nonfatal+CU65*c_tia+CV65*c_minor_bleed</f>
        <v>35.3464347992373</v>
      </c>
      <c r="DF65" s="57" t="n">
        <f aca="false">dt*(DC65*dec_mi+DA65*dec_major_bleed+CV65*dec_minor_bleed+CU65*dec_tia)</f>
        <v>2.66245193189728E-005</v>
      </c>
      <c r="DG65" s="57" t="n">
        <f aca="false">J65*CI65+CW65+CR65-CZ65+CS65-DA65+DB65</f>
        <v>0.00267499774789936</v>
      </c>
      <c r="DH65" s="57" t="n">
        <f aca="false">AG65</f>
        <v>0.114814967609456</v>
      </c>
      <c r="DI65" s="57" t="n">
        <f aca="false">AB65+AC65+BF65+BA65+BB65+BC65+CY65+CZ65</f>
        <v>0.0214940500021029</v>
      </c>
      <c r="DJ65" s="57" t="n">
        <f aca="false">AA65+AZ65+BY65+CX65+CE65+BZ65+CA65+CB65</f>
        <v>0.0100233454251936</v>
      </c>
      <c r="DK65" s="57" t="n">
        <f aca="false">AD65+DD65+DA65</f>
        <v>0.0619384473234628</v>
      </c>
      <c r="DL65" s="57" t="n">
        <f aca="false">K65+AJ65+BI65+CH65+DG65</f>
        <v>0.791729189639785</v>
      </c>
      <c r="DM65" s="58" t="n">
        <f aca="false">SUM(DH65:DL65)</f>
        <v>1</v>
      </c>
      <c r="DN65" s="19" t="n">
        <f aca="false">dt*(G65*Warfarin!$H$2+(H65+I65+J65)*c_aspirin)</f>
        <v>12.6218787237508</v>
      </c>
      <c r="DO65" s="19" t="n">
        <f aca="false">dt*(H65*c_lt_minor_stroke+I65*c_lt_major_stroke)</f>
        <v>129.854263887391</v>
      </c>
      <c r="DP65" s="19" t="n">
        <f aca="false">AH65+BG65+CF65+DE65</f>
        <v>113.920284508981</v>
      </c>
      <c r="DQ65" s="19" t="n">
        <f aca="false">DN65+DO65+DP65</f>
        <v>256.396427120123</v>
      </c>
      <c r="DR65" s="57" t="n">
        <f aca="false">dt*(G65*(u_af-dec_per_year_over_70*MAX(B65-ref_age,0))+H65*(u_minor_stroke-dec_per_year_over_70*MAX(B65-ref_age,0))+I65*(u_major_stroke-dec_per_year_over_70*MAX(B65-ref_age,0))+J65*(u_af-dec_per_year_over_70*MAX(B65-ref_age,0)))-AI65-BH65-CG65-DF65</f>
        <v>0.0424321354705133</v>
      </c>
      <c r="DS65" s="57" t="n">
        <f aca="false">dt*(G65+H65+I65+J65)</f>
        <v>0.0547501410153876</v>
      </c>
      <c r="DT65" s="19" t="n">
        <f aca="false">DQ65*C65</f>
        <v>205.843826169762</v>
      </c>
      <c r="DU65" s="19" t="n">
        <f aca="false">DN65*C65</f>
        <v>10.1332761892596</v>
      </c>
      <c r="DV65" s="19" t="n">
        <f aca="false">DP65*C65</f>
        <v>91.4591030189753</v>
      </c>
      <c r="DW65" s="19" t="n">
        <f aca="false">DO65*C65</f>
        <v>104.251446961527</v>
      </c>
      <c r="DX65" s="57" t="n">
        <f aca="false">DR65*C65</f>
        <v>0.034065970481375</v>
      </c>
      <c r="DY65" s="57" t="n">
        <f aca="false">DS65*C65</f>
        <v>0.0439552868833907</v>
      </c>
      <c r="DZ65" s="57" t="n">
        <f aca="false">T65+AS65+BR65+CQ65</f>
        <v>0.00236839891705664</v>
      </c>
      <c r="EA65" s="57" t="n">
        <f aca="false">U65+AT65+BS65+CR65</f>
        <v>0.000328948018271075</v>
      </c>
      <c r="EB65" s="57" t="n">
        <f aca="false">V65+AU65+BT65+CS65</f>
        <v>0.00185479415162634</v>
      </c>
      <c r="EC65" s="57" t="n">
        <f aca="false">G65*dt*C65</f>
        <v>0.0243845136349784</v>
      </c>
    </row>
    <row r="66" customFormat="false" ht="15" hidden="false" customHeight="false" outlineLevel="0" collapsed="false">
      <c r="A66" s="8" t="n">
        <v>60</v>
      </c>
      <c r="B66" s="54" t="n">
        <f aca="false">start_age+A66*dt</f>
        <v>85</v>
      </c>
      <c r="C66" s="16" t="n">
        <f aca="false">(1+disc_rate)^-(A66*dt)</f>
        <v>0.799851504909812</v>
      </c>
      <c r="D66" s="55" t="n">
        <f aca="false">IF(A66*dt&gt;=wane_start,(1-wane_decay)^(A66*dt-wane_start),1)</f>
        <v>1</v>
      </c>
      <c r="E66" s="25" t="n">
        <f aca="false">MIN(p_nonvasc_death*MIN(EXP(gomp_int+gomp_slope*INT(B66)),1)/qx_ref,0.999)</f>
        <v>0.158540611064101</v>
      </c>
      <c r="F66" s="55" t="n">
        <f aca="false">rr_stroke_per_decade^((B66-ref_age)/10)</f>
        <v>1.83711730708738</v>
      </c>
      <c r="G66" s="57" t="n">
        <f aca="false">DH65</f>
        <v>0.114814967609456</v>
      </c>
      <c r="H66" s="57" t="n">
        <f aca="false">DI65</f>
        <v>0.0214940500021029</v>
      </c>
      <c r="I66" s="57" t="n">
        <f aca="false">DJ65</f>
        <v>0.0100233454251936</v>
      </c>
      <c r="J66" s="57" t="n">
        <f aca="false">DK65</f>
        <v>0.0619384473234628</v>
      </c>
      <c r="K66" s="57" t="n">
        <f aca="false">DL65</f>
        <v>0.791729189639785</v>
      </c>
      <c r="L66" s="57" t="n">
        <f aca="false">1-EXP(LN(1-E66)*dt)</f>
        <v>0.0422364825170679</v>
      </c>
      <c r="M66" s="57" t="n">
        <f aca="false">G66*(1-L66)</f>
        <v>0.109965587237322</v>
      </c>
      <c r="N66" s="57" t="n">
        <f aca="false">IF(Warfarin!$B$2=1,EXP(LN(or_apx_stroke)*D66)*(1-EXP(-r_stroke*F66*dt))/(1-(1-EXP(-r_stroke*F66*dt))+EXP(LN(or_apx_stroke)*D66)*(1-EXP(-r_stroke*F66*dt))),(1-EXP(-r_stroke*F66*dt)))</f>
        <v>0.00738052087282171</v>
      </c>
      <c r="O66" s="57" t="n">
        <f aca="false">IF(Warfarin!$B$2=1,EXP(LN(or_apx_ich)*D66)*(1-EXP(-r_ich*dt))/(1-(1-EXP(-r_ich*dt))+EXP(LN(or_apx_ich)*D66)*(1-EXP(-r_ich*dt))),(1-EXP(-r_ich*dt)))</f>
        <v>0.0020060281549299</v>
      </c>
      <c r="P66" s="57" t="n">
        <f aca="false">IF(Warfarin!$B$2=1,EXP(LN(or_apx_mb)*D66)*(1-EXP(-r_mb*dt))/(1-(1-EXP(-r_mb*dt))+EXP(LN(or_apx_mb)*D66)*(1-EXP(-r_mb*dt))),(1-EXP(-r_mb*dt)))</f>
        <v>0.00835410477572107</v>
      </c>
      <c r="Q66" s="57" t="n">
        <f aca="false">IF(Warfarin!$B$2=1,EXP(LN(or_apx_mi)*D66)*(1-EXP(-r_mi*dt))/(1-(1-EXP(-r_mi*dt))+EXP(LN(or_apx_mi)*D66)*(1-EXP(-r_mi*dt))),(1-EXP(-r_mi*dt)))</f>
        <v>0.00150338686144691</v>
      </c>
      <c r="R66" s="57" t="n">
        <f aca="false">(1-EXP(-r_tia*dt))</f>
        <v>0.0020060281549299</v>
      </c>
      <c r="S66" s="57" t="n">
        <f aca="false">(1-EXP(-r_minor*dt))</f>
        <v>0.0437937690785545</v>
      </c>
      <c r="T66" s="57" t="n">
        <f aca="false">M66*N66</f>
        <v>0.000811603311897149</v>
      </c>
      <c r="U66" s="57" t="n">
        <f aca="false">M66*O66</f>
        <v>0.000220594064071467</v>
      </c>
      <c r="V66" s="57" t="n">
        <f aca="false">M66*P66</f>
        <v>0.000918664037504282</v>
      </c>
      <c r="W66" s="57" t="n">
        <f aca="false">M66*Q66</f>
        <v>0.000165320819063883</v>
      </c>
      <c r="X66" s="57" t="n">
        <f aca="false">M66*R66</f>
        <v>0.000220594064071467</v>
      </c>
      <c r="Y66" s="57" t="n">
        <f aca="false">M66*S66</f>
        <v>0.00481580753405891</v>
      </c>
      <c r="Z66" s="57" t="n">
        <f aca="false">T66*f_stroke_fatal</f>
        <v>0.000192349984919624</v>
      </c>
      <c r="AA66" s="57" t="n">
        <f aca="false">T66*(1-f_stroke_fatal)*f_stroke_major</f>
        <v>0.000206211357883516</v>
      </c>
      <c r="AB66" s="57" t="n">
        <f aca="false">T66*(1-f_stroke_fatal)*(1-f_stroke_major)</f>
        <v>0.000413041969094009</v>
      </c>
      <c r="AC66" s="57" t="n">
        <f aca="false">U66*(1-f_bleed_fatal)</f>
        <v>0.000202064162689464</v>
      </c>
      <c r="AD66" s="57" t="n">
        <f aca="false">V66*(1-f_bleed_fatal)</f>
        <v>0.000841496258353922</v>
      </c>
      <c r="AE66" s="57" t="n">
        <f aca="false">W66*f_mi_fatal</f>
        <v>2.00038191067299E-005</v>
      </c>
      <c r="AF66" s="57" t="n">
        <f aca="false">W66-AE66</f>
        <v>0.000145316999957154</v>
      </c>
      <c r="AG66" s="57" t="n">
        <f aca="false">M66-T66-U66-V66-AE66</f>
        <v>0.107994722004742</v>
      </c>
      <c r="AH66" s="19" t="n">
        <f aca="false">Z66*c_stroke_fatal+AA66*c_stroke_major+AB66*c_stroke_minor+U66*c_ich+V66*c_major_bleed+AE66*c_mi_fatal+AF66*c_mi_nonfatal+X66*c_tia+Y66*c_minor_bleed</f>
        <v>44.9645727247859</v>
      </c>
      <c r="AI66" s="57" t="n">
        <f aca="false">dt*(AF66*dec_mi+AD66*dec_major_bleed+Y66*dec_minor_bleed+X66*dec_tia)</f>
        <v>4.5227241826333E-005</v>
      </c>
      <c r="AJ66" s="57" t="n">
        <f aca="false">G66*L66+Z66+U66-AC66+V66-AD66+AE66</f>
        <v>0.00515743185669324</v>
      </c>
      <c r="AK66" s="57" t="n">
        <f aca="false">1-EXP(LN(1-E66)*hr_death_prior_stroke*dt)</f>
        <v>0.0944882974916055</v>
      </c>
      <c r="AL66" s="57" t="n">
        <f aca="false">H66*(1-AK66)</f>
        <v>0.0194631138112048</v>
      </c>
      <c r="AM66" s="57" t="n">
        <f aca="false">(1-EXP(-r_stroke*F66*rr_stroke_prior*rr_asa_stroke*dt))</f>
        <v>0.0260562474471172</v>
      </c>
      <c r="AN66" s="57" t="n">
        <f aca="false">(1-EXP(-r_ich*rr_asa_ich*dt))</f>
        <v>0.00102357767802375</v>
      </c>
      <c r="AO66" s="57" t="n">
        <f aca="false">(1-EXP(-r_mb*rr_asa_mb*dt))</f>
        <v>0.00951809672747972</v>
      </c>
      <c r="AP66" s="57" t="n">
        <f aca="false">(1-EXP(-r_mi*rr_asa_mi*dt))</f>
        <v>0.00213413516393479</v>
      </c>
      <c r="AQ66" s="57" t="n">
        <f aca="false">(1-EXP(-r_tia*rr_asa_tia*dt))</f>
        <v>0.00312764565589152</v>
      </c>
      <c r="AR66" s="57" t="n">
        <f aca="false">(1-EXP(-r_minor*rr_asa_minor*dt))</f>
        <v>0.0278181950466747</v>
      </c>
      <c r="AS66" s="57" t="n">
        <f aca="false">AL66*AM66</f>
        <v>0.000507135709556157</v>
      </c>
      <c r="AT66" s="57" t="n">
        <f aca="false">AL66*AN66</f>
        <v>1.99220088419849E-005</v>
      </c>
      <c r="AU66" s="57" t="n">
        <f aca="false">AL66*AO66</f>
        <v>0.000185251799872994</v>
      </c>
      <c r="AV66" s="57" t="n">
        <f aca="false">AL66*AP66</f>
        <v>4.15369155841571E-005</v>
      </c>
      <c r="AW66" s="57" t="n">
        <f aca="false">AL66*AQ66</f>
        <v>6.08737233617369E-005</v>
      </c>
      <c r="AX66" s="57" t="n">
        <f aca="false">AL66*AR66</f>
        <v>0.000541428696215724</v>
      </c>
      <c r="AY66" s="57" t="n">
        <f aca="false">AS66*f_stroke_fatal_recur</f>
        <v>0.00018870012616875</v>
      </c>
      <c r="AZ66" s="57" t="n">
        <f aca="false">AS66*(1-f_stroke_fatal_recur)*f_stroke_major</f>
        <v>0.000106039049268006</v>
      </c>
      <c r="BA66" s="57" t="n">
        <f aca="false">AS66*(1-f_stroke_fatal_recur)*(1-f_stroke_major)</f>
        <v>0.0002123965341194</v>
      </c>
      <c r="BB66" s="57" t="n">
        <f aca="false">AT66*(1-f_bleed_fatal)</f>
        <v>1.82485600992582E-005</v>
      </c>
      <c r="BC66" s="57" t="n">
        <f aca="false">AU66*(1-f_bleed_fatal)</f>
        <v>0.000169690648683662</v>
      </c>
      <c r="BD66" s="57" t="n">
        <f aca="false">AV66*f_mi_fatal</f>
        <v>5.025966785683E-006</v>
      </c>
      <c r="BE66" s="57" t="n">
        <f aca="false">AV66-BD66</f>
        <v>3.65109487984741E-005</v>
      </c>
      <c r="BF66" s="57" t="n">
        <f aca="false">AL66-AS66-AT66-AU66-BD66</f>
        <v>0.018745778326148</v>
      </c>
      <c r="BG66" s="19" t="n">
        <f aca="false">AY66*c_stroke_fatal+AZ66*c_stroke_major+BA66*c_stroke_minor+AT66*c_ich+AU66*c_major_bleed+BD66*c_mi_fatal+BE66*c_mi_nonfatal+AW66*c_tia+AX66*c_minor_bleed</f>
        <v>20.1066329424642</v>
      </c>
      <c r="BH66" s="57" t="n">
        <f aca="false">dt*(BE66*dec_mi+BC66*dec_major_bleed+AX66*dec_minor_bleed+AW66*dec_tia)</f>
        <v>8.37099370894237E-006</v>
      </c>
      <c r="BI66" s="57" t="n">
        <f aca="false">H66*AK66+AY66+AT66-BB66+AU66-BC66+BD66</f>
        <v>0.00224189688378464</v>
      </c>
      <c r="BJ66" s="57" t="n">
        <f aca="false">1-EXP(LN(1-E66)*hr_death_prior_stroke*dt)</f>
        <v>0.0944882974916055</v>
      </c>
      <c r="BK66" s="57" t="n">
        <f aca="false">I66*(1-BJ66)</f>
        <v>0.00907625658079679</v>
      </c>
      <c r="BL66" s="57" t="n">
        <f aca="false">(1-EXP(-r_stroke*F66*rr_stroke_prior*rr_asa_stroke*dt))</f>
        <v>0.0260562474471172</v>
      </c>
      <c r="BM66" s="57" t="n">
        <f aca="false">(1-EXP(-r_ich*rr_asa_ich*dt))</f>
        <v>0.00102357767802375</v>
      </c>
      <c r="BN66" s="57" t="n">
        <f aca="false">(1-EXP(-r_mb*rr_asa_mb*dt))</f>
        <v>0.00951809672747972</v>
      </c>
      <c r="BO66" s="57" t="n">
        <f aca="false">(1-EXP(-r_mi*rr_asa_mi*dt))</f>
        <v>0.00213413516393479</v>
      </c>
      <c r="BP66" s="57" t="n">
        <f aca="false">(1-EXP(-r_tia*rr_asa_tia*dt))</f>
        <v>0.00312764565589152</v>
      </c>
      <c r="BQ66" s="57" t="n">
        <f aca="false">(1-EXP(-r_minor*rr_asa_minor*dt))</f>
        <v>0.0278181950466747</v>
      </c>
      <c r="BR66" s="57" t="n">
        <f aca="false">BK66*BL66</f>
        <v>0.000236493187362767</v>
      </c>
      <c r="BS66" s="57" t="n">
        <f aca="false">BK66*BM66</f>
        <v>9.29025363611973E-006</v>
      </c>
      <c r="BT66" s="57" t="n">
        <f aca="false">BK66*BN66</f>
        <v>8.63886880594482E-005</v>
      </c>
      <c r="BU66" s="57" t="n">
        <f aca="false">BK66*BO66</f>
        <v>1.9369958325973E-005</v>
      </c>
      <c r="BV66" s="57" t="n">
        <f aca="false">BK66*BP66</f>
        <v>2.83873144666859E-005</v>
      </c>
      <c r="BW66" s="57" t="n">
        <f aca="false">BK66*BQ66</f>
        <v>0.00025248507585827</v>
      </c>
      <c r="BX66" s="57" t="n">
        <f aca="false">BR66*f_stroke_fatal_recur</f>
        <v>8.7996750085812E-005</v>
      </c>
      <c r="BY66" s="57" t="n">
        <f aca="false">BR66*(1-f_stroke_fatal_recur)*f_stroke_major</f>
        <v>4.94493136132261E-005</v>
      </c>
      <c r="BZ66" s="57" t="n">
        <f aca="false">BR66*(1-f_stroke_fatal_recur)*(1-f_stroke_major)</f>
        <v>9.90471236637291E-005</v>
      </c>
      <c r="CA66" s="57" t="n">
        <f aca="false">BS66*(1-f_bleed_fatal)</f>
        <v>8.50987233068567E-006</v>
      </c>
      <c r="CB66" s="57" t="n">
        <f aca="false">BT66*(1-f_bleed_fatal)</f>
        <v>7.91320382624546E-005</v>
      </c>
      <c r="CC66" s="57" t="n">
        <f aca="false">BU66*f_mi_fatal</f>
        <v>2.34376495744273E-006</v>
      </c>
      <c r="CD66" s="57" t="n">
        <f aca="false">BU66-CC66</f>
        <v>1.70261933685303E-005</v>
      </c>
      <c r="CE66" s="57" t="n">
        <f aca="false">BK66-BR66-BS66-BT66-CC66</f>
        <v>0.00874174068678102</v>
      </c>
      <c r="CF66" s="19" t="n">
        <f aca="false">BX66*c_stroke_fatal+BY66*c_stroke_major+BZ66*c_stroke_minor+BS66*c_ich+BT66*c_major_bleed+CC66*c_mi_fatal+CD66*c_mi_nonfatal+BV66*c_tia+BW66*c_minor_bleed</f>
        <v>9.37634960838826</v>
      </c>
      <c r="CG66" s="57" t="n">
        <f aca="false">dt*(CD66*dec_mi+CB66*dec_major_bleed+BW66*dec_minor_bleed+BV66*dec_tia)</f>
        <v>3.90365526685957E-006</v>
      </c>
      <c r="CH66" s="57" t="n">
        <f aca="false">I66*BJ66+BX66+BS66-CA66+BT66-CB66+CC66</f>
        <v>0.0010454663905425</v>
      </c>
      <c r="CI66" s="57" t="n">
        <f aca="false">1-EXP(LN(1-E66)*dt)</f>
        <v>0.0422364825170679</v>
      </c>
      <c r="CJ66" s="57" t="n">
        <f aca="false">J66*(1-CI66)</f>
        <v>0.059322385175951</v>
      </c>
      <c r="CK66" s="57" t="n">
        <f aca="false">(1-EXP(-r_stroke*F66*rr_asa_stroke*dt))</f>
        <v>0.0119290622917672</v>
      </c>
      <c r="CL66" s="57" t="n">
        <f aca="false">(1-EXP(-r_ich*rr_asa_ich*dt))</f>
        <v>0.00102357767802375</v>
      </c>
      <c r="CM66" s="57" t="n">
        <f aca="false">(1-EXP(-r_mb*rr_asa_mb*dt))</f>
        <v>0.00951809672747972</v>
      </c>
      <c r="CN66" s="57" t="n">
        <f aca="false">(1-EXP(-r_mi*rr_asa_mi*dt))</f>
        <v>0.00213413516393479</v>
      </c>
      <c r="CO66" s="57" t="n">
        <f aca="false">(1-EXP(-r_tia*rr_asa_tia*dt))</f>
        <v>0.00312764565589152</v>
      </c>
      <c r="CP66" s="57" t="n">
        <f aca="false">(1-EXP(-r_minor*rr_asa_minor*dt))</f>
        <v>0.0278181950466747</v>
      </c>
      <c r="CQ66" s="57" t="n">
        <f aca="false">CJ66*CK66</f>
        <v>0.000707660428060124</v>
      </c>
      <c r="CR66" s="57" t="n">
        <f aca="false">CJ66*CL66</f>
        <v>6.07210692732302E-005</v>
      </c>
      <c r="CS66" s="57" t="n">
        <f aca="false">CJ66*CM66</f>
        <v>0.00056463620020951</v>
      </c>
      <c r="CT66" s="57" t="n">
        <f aca="false">CJ66*CN66</f>
        <v>0.000126601988212481</v>
      </c>
      <c r="CU66" s="57" t="n">
        <f aca="false">CJ66*CO66</f>
        <v>0.000185539400292687</v>
      </c>
      <c r="CV66" s="57" t="n">
        <f aca="false">CJ66*CP66</f>
        <v>0.00165024168145857</v>
      </c>
      <c r="CW66" s="57" t="n">
        <f aca="false">CQ66*f_stroke_fatal</f>
        <v>0.000167715521450249</v>
      </c>
      <c r="CX66" s="57" t="n">
        <f aca="false">CQ66*(1-f_stroke_fatal)*f_stroke_major</f>
        <v>0.000179801653901088</v>
      </c>
      <c r="CY66" s="57" t="n">
        <f aca="false">CQ66*(1-f_stroke_fatal)*(1-f_stroke_major)</f>
        <v>0.000360143252708786</v>
      </c>
      <c r="CZ66" s="57" t="n">
        <f aca="false">CR66*(1-f_bleed_fatal)</f>
        <v>5.56204994542789E-005</v>
      </c>
      <c r="DA66" s="57" t="n">
        <f aca="false">CS66*(1-f_bleed_fatal)</f>
        <v>0.000517206759391912</v>
      </c>
      <c r="DB66" s="57" t="n">
        <f aca="false">CT66*f_mi_fatal</f>
        <v>1.53188405737102E-005</v>
      </c>
      <c r="DC66" s="57" t="n">
        <f aca="false">CT66-DB66</f>
        <v>0.000111283147638771</v>
      </c>
      <c r="DD66" s="57" t="n">
        <f aca="false">CJ66-CQ66-CR66-CS66-DB66</f>
        <v>0.0579740486378344</v>
      </c>
      <c r="DE66" s="19" t="n">
        <f aca="false">CW66*c_stroke_fatal+CX66*c_stroke_major+CY66*c_stroke_minor+CR66*c_ich+CS66*c_major_bleed+DB66*c_mi_fatal+DC66*c_mi_nonfatal+CU66*c_tia+CV66*c_minor_bleed</f>
        <v>34.1346251718477</v>
      </c>
      <c r="DF66" s="57" t="n">
        <f aca="false">dt*(DC66*dec_mi+DA66*dec_major_bleed+CV66*dec_minor_bleed+CU66*dec_tia)</f>
        <v>2.55142788520026E-005</v>
      </c>
      <c r="DG66" s="57" t="n">
        <f aca="false">J66*CI66+CW66+CR66-CZ66+CS66-DA66+DB66</f>
        <v>0.00285162652017228</v>
      </c>
      <c r="DH66" s="57" t="n">
        <f aca="false">AG66</f>
        <v>0.107994722004742</v>
      </c>
      <c r="DI66" s="57" t="n">
        <f aca="false">AB66+AC66+BF66+BA66+BB66+BC66+CY66+CZ66</f>
        <v>0.0201769839529968</v>
      </c>
      <c r="DJ66" s="57" t="n">
        <f aca="false">AA66+AZ66+BY66+CX66+CE66+BZ66+CA66+CB66</f>
        <v>0.00946993109570372</v>
      </c>
      <c r="DK66" s="57" t="n">
        <f aca="false">AD66+DD66+DA66</f>
        <v>0.0593327516555802</v>
      </c>
      <c r="DL66" s="57" t="n">
        <f aca="false">K66+AJ66+BI66+CH66+DG66</f>
        <v>0.803025611290978</v>
      </c>
      <c r="DM66" s="58" t="n">
        <f aca="false">SUM(DH66:DL66)</f>
        <v>1</v>
      </c>
      <c r="DN66" s="19" t="n">
        <f aca="false">dt*(G66*Warfarin!$H$2+(H66+I66+J66)*c_aspirin)</f>
        <v>11.9409342607642</v>
      </c>
      <c r="DO66" s="19" t="n">
        <f aca="false">dt*(H66*c_lt_minor_stroke+I66*c_lt_major_stroke)</f>
        <v>123.544474658474</v>
      </c>
      <c r="DP66" s="19" t="n">
        <f aca="false">AH66+BG66+CF66+DE66</f>
        <v>108.582180447486</v>
      </c>
      <c r="DQ66" s="19" t="n">
        <f aca="false">DN66+DO66+DP66</f>
        <v>244.067589366724</v>
      </c>
      <c r="DR66" s="57" t="n">
        <f aca="false">dt*(G66*(u_af-dec_per_year_over_70*MAX(B66-ref_age,0))+H66*(u_minor_stroke-dec_per_year_over_70*MAX(B66-ref_age,0))+I66*(u_major_stroke-dec_per_year_over_70*MAX(B66-ref_age,0))+J66*(u_af-dec_per_year_over_70*MAX(B66-ref_age,0)))-AI66-BH66-CG66-DF66</f>
        <v>0.0403466313954944</v>
      </c>
      <c r="DS66" s="57" t="n">
        <f aca="false">dt*(G66+H66+I66+J66)</f>
        <v>0.0520677025900539</v>
      </c>
      <c r="DT66" s="19" t="n">
        <f aca="false">DQ66*C66</f>
        <v>195.217828654684</v>
      </c>
      <c r="DU66" s="19" t="n">
        <f aca="false">DN66*C66</f>
        <v>9.55097423850136</v>
      </c>
      <c r="DV66" s="19" t="n">
        <f aca="false">DP66*C66</f>
        <v>86.8496204373105</v>
      </c>
      <c r="DW66" s="19" t="n">
        <f aca="false">DO66*C66</f>
        <v>98.8172339788721</v>
      </c>
      <c r="DX66" s="57" t="n">
        <f aca="false">DR66*C66</f>
        <v>0.0322713138397276</v>
      </c>
      <c r="DY66" s="57" t="n">
        <f aca="false">DS66*C66</f>
        <v>0.0416464302738511</v>
      </c>
      <c r="DZ66" s="57" t="n">
        <f aca="false">T66+AS66+BR66+CQ66</f>
        <v>0.0022628926368762</v>
      </c>
      <c r="EA66" s="57" t="n">
        <f aca="false">U66+AT66+BS66+CR66</f>
        <v>0.000310527395822802</v>
      </c>
      <c r="EB66" s="57" t="n">
        <f aca="false">V66+AU66+BT66+CS66</f>
        <v>0.00175494072564623</v>
      </c>
      <c r="EC66" s="57" t="n">
        <f aca="false">G66*dt*C66</f>
        <v>0.0229587311571487</v>
      </c>
    </row>
    <row r="67" customFormat="false" ht="15" hidden="false" customHeight="false" outlineLevel="0" collapsed="false">
      <c r="A67" s="8" t="n">
        <v>61</v>
      </c>
      <c r="B67" s="54" t="n">
        <f aca="false">start_age+A67*dt</f>
        <v>85.25</v>
      </c>
      <c r="C67" s="16" t="n">
        <f aca="false">(1+disc_rate)^-(A67*dt)</f>
        <v>0.796879869005315</v>
      </c>
      <c r="D67" s="55" t="n">
        <f aca="false">IF(A67*dt&gt;=wane_start,(1-wane_decay)^(A67*dt-wane_start),1)</f>
        <v>1</v>
      </c>
      <c r="E67" s="25" t="n">
        <f aca="false">MIN(p_nonvasc_death*MIN(EXP(gomp_int+gomp_slope*INT(B67)),1)/qx_ref,0.999)</f>
        <v>0.158540611064101</v>
      </c>
      <c r="F67" s="55" t="n">
        <f aca="false">rr_stroke_per_decade^((B67-ref_age)/10)</f>
        <v>1.85583418401723</v>
      </c>
      <c r="G67" s="57" t="n">
        <f aca="false">DH66</f>
        <v>0.107994722004742</v>
      </c>
      <c r="H67" s="57" t="n">
        <f aca="false">DI66</f>
        <v>0.0201769839529968</v>
      </c>
      <c r="I67" s="57" t="n">
        <f aca="false">DJ66</f>
        <v>0.00946993109570372</v>
      </c>
      <c r="J67" s="57" t="n">
        <f aca="false">DK66</f>
        <v>0.0593327516555802</v>
      </c>
      <c r="K67" s="57" t="n">
        <f aca="false">DL66</f>
        <v>0.803025611290978</v>
      </c>
      <c r="L67" s="57" t="n">
        <f aca="false">1-EXP(LN(1-E67)*dt)</f>
        <v>0.0422364825170679</v>
      </c>
      <c r="M67" s="57" t="n">
        <f aca="false">G67*(1-L67)</f>
        <v>0.103433404816853</v>
      </c>
      <c r="N67" s="57" t="n">
        <f aca="false">IF(Warfarin!$B$2=1,EXP(LN(or_apx_stroke)*D67)*(1-EXP(-r_stroke*F67*dt))/(1-(1-EXP(-r_stroke*F67*dt))+EXP(LN(or_apx_stroke)*D67)*(1-EXP(-r_stroke*F67*dt))),(1-EXP(-r_stroke*F67*dt)))</f>
        <v>0.00745543393054871</v>
      </c>
      <c r="O67" s="57" t="n">
        <f aca="false">IF(Warfarin!$B$2=1,EXP(LN(or_apx_ich)*D67)*(1-EXP(-r_ich*dt))/(1-(1-EXP(-r_ich*dt))+EXP(LN(or_apx_ich)*D67)*(1-EXP(-r_ich*dt))),(1-EXP(-r_ich*dt)))</f>
        <v>0.0020060281549299</v>
      </c>
      <c r="P67" s="57" t="n">
        <f aca="false">IF(Warfarin!$B$2=1,EXP(LN(or_apx_mb)*D67)*(1-EXP(-r_mb*dt))/(1-(1-EXP(-r_mb*dt))+EXP(LN(or_apx_mb)*D67)*(1-EXP(-r_mb*dt))),(1-EXP(-r_mb*dt)))</f>
        <v>0.00835410477572107</v>
      </c>
      <c r="Q67" s="57" t="n">
        <f aca="false">IF(Warfarin!$B$2=1,EXP(LN(or_apx_mi)*D67)*(1-EXP(-r_mi*dt))/(1-(1-EXP(-r_mi*dt))+EXP(LN(or_apx_mi)*D67)*(1-EXP(-r_mi*dt))),(1-EXP(-r_mi*dt)))</f>
        <v>0.00150338686144691</v>
      </c>
      <c r="R67" s="57" t="n">
        <f aca="false">(1-EXP(-r_tia*dt))</f>
        <v>0.0020060281549299</v>
      </c>
      <c r="S67" s="57" t="n">
        <f aca="false">(1-EXP(-r_minor*dt))</f>
        <v>0.0437937690785545</v>
      </c>
      <c r="T67" s="57" t="n">
        <f aca="false">M67*N67</f>
        <v>0.000771140915823748</v>
      </c>
      <c r="U67" s="57" t="n">
        <f aca="false">M67*O67</f>
        <v>0.000207490322222869</v>
      </c>
      <c r="V67" s="57" t="n">
        <f aca="false">M67*P67</f>
        <v>0.000864093501149565</v>
      </c>
      <c r="W67" s="57" t="n">
        <f aca="false">M67*Q67</f>
        <v>0.000155500421836377</v>
      </c>
      <c r="X67" s="57" t="n">
        <f aca="false">M67*R67</f>
        <v>0.000207490322222869</v>
      </c>
      <c r="Y67" s="57" t="n">
        <f aca="false">M67*S67</f>
        <v>0.00452973864555792</v>
      </c>
      <c r="Z67" s="57" t="n">
        <f aca="false">T67*f_stroke_fatal</f>
        <v>0.000182760397050228</v>
      </c>
      <c r="AA67" s="57" t="n">
        <f aca="false">T67*(1-f_stroke_fatal)*f_stroke_major</f>
        <v>0.000195930712751582</v>
      </c>
      <c r="AB67" s="57" t="n">
        <f aca="false">T67*(1-f_stroke_fatal)*(1-f_stroke_major)</f>
        <v>0.000392449806021937</v>
      </c>
      <c r="AC67" s="57" t="n">
        <f aca="false">U67*(1-f_bleed_fatal)</f>
        <v>0.000190061135156148</v>
      </c>
      <c r="AD67" s="57" t="n">
        <f aca="false">V67*(1-f_bleed_fatal)</f>
        <v>0.000791509647053001</v>
      </c>
      <c r="AE67" s="57" t="n">
        <f aca="false">W67*f_mi_fatal</f>
        <v>1.88155510422016E-005</v>
      </c>
      <c r="AF67" s="57" t="n">
        <f aca="false">W67-AE67</f>
        <v>0.000136684870794175</v>
      </c>
      <c r="AG67" s="57" t="n">
        <f aca="false">M67-T67-U67-V67-AE67</f>
        <v>0.101571864526615</v>
      </c>
      <c r="AH67" s="19" t="n">
        <f aca="false">Z67*c_stroke_fatal+AA67*c_stroke_major+AB67*c_stroke_minor+U67*c_ich+V67*c_major_bleed+AE67*c_mi_fatal+AF67*c_mi_nonfatal+X67*c_tia+Y67*c_minor_bleed</f>
        <v>42.5798736580867</v>
      </c>
      <c r="AI67" s="57" t="n">
        <f aca="false">dt*(AF67*dec_mi+AD67*dec_major_bleed+Y67*dec_minor_bleed+X67*dec_tia)</f>
        <v>4.25406504898391E-005</v>
      </c>
      <c r="AJ67" s="57" t="n">
        <f aca="false">G67*L67+Z67+U67-AC67+V67-AD67+AE67</f>
        <v>0.00485290617714461</v>
      </c>
      <c r="AK67" s="57" t="n">
        <f aca="false">1-EXP(LN(1-E67)*hr_death_prior_stroke*dt)</f>
        <v>0.0944882974916055</v>
      </c>
      <c r="AL67" s="57" t="n">
        <f aca="false">H67*(1-AK67)</f>
        <v>0.0182704950907627</v>
      </c>
      <c r="AM67" s="57" t="n">
        <f aca="false">(1-EXP(-r_stroke*F67*rr_stroke_prior*rr_asa_stroke*dt))</f>
        <v>0.0263181889304245</v>
      </c>
      <c r="AN67" s="57" t="n">
        <f aca="false">(1-EXP(-r_ich*rr_asa_ich*dt))</f>
        <v>0.00102357767802375</v>
      </c>
      <c r="AO67" s="57" t="n">
        <f aca="false">(1-EXP(-r_mb*rr_asa_mb*dt))</f>
        <v>0.00951809672747972</v>
      </c>
      <c r="AP67" s="57" t="n">
        <f aca="false">(1-EXP(-r_mi*rr_asa_mi*dt))</f>
        <v>0.00213413516393479</v>
      </c>
      <c r="AQ67" s="57" t="n">
        <f aca="false">(1-EXP(-r_tia*rr_asa_tia*dt))</f>
        <v>0.00312764565589152</v>
      </c>
      <c r="AR67" s="57" t="n">
        <f aca="false">(1-EXP(-r_minor*rr_asa_minor*dt))</f>
        <v>0.0278181950466747</v>
      </c>
      <c r="AS67" s="57" t="n">
        <f aca="false">AL67*AM67</f>
        <v>0.000480846341651086</v>
      </c>
      <c r="AT67" s="57" t="n">
        <f aca="false">AL67*AN67</f>
        <v>1.87012709413472E-005</v>
      </c>
      <c r="AU67" s="57" t="n">
        <f aca="false">AL67*AO67</f>
        <v>0.000173900339532823</v>
      </c>
      <c r="AV67" s="57" t="n">
        <f aca="false">AL67*AP67</f>
        <v>3.89917060356947E-005</v>
      </c>
      <c r="AW67" s="57" t="n">
        <f aca="false">AL67*AQ67</f>
        <v>5.71436346016114E-005</v>
      </c>
      <c r="AX67" s="57" t="n">
        <f aca="false">AL67*AR67</f>
        <v>0.00050825219603415</v>
      </c>
      <c r="AY67" s="57" t="n">
        <f aca="false">AS67*f_stroke_fatal_recur</f>
        <v>0.000178918115264953</v>
      </c>
      <c r="AZ67" s="57" t="n">
        <f aca="false">AS67*(1-f_stroke_fatal_recur)*f_stroke_major</f>
        <v>0.000100542099386583</v>
      </c>
      <c r="BA67" s="57" t="n">
        <f aca="false">AS67*(1-f_stroke_fatal_recur)*(1-f_stroke_major)</f>
        <v>0.000201386126999551</v>
      </c>
      <c r="BB67" s="57" t="n">
        <f aca="false">AT67*(1-f_bleed_fatal)</f>
        <v>1.7130364182274E-005</v>
      </c>
      <c r="BC67" s="57" t="n">
        <f aca="false">AU67*(1-f_bleed_fatal)</f>
        <v>0.000159292711012066</v>
      </c>
      <c r="BD67" s="57" t="n">
        <f aca="false">AV67*f_mi_fatal</f>
        <v>4.71799643031906E-006</v>
      </c>
      <c r="BE67" s="57" t="n">
        <f aca="false">AV67-BD67</f>
        <v>3.42737096053757E-005</v>
      </c>
      <c r="BF67" s="57" t="n">
        <f aca="false">AL67-AS67-AT67-AU67-BD67</f>
        <v>0.0175923291422072</v>
      </c>
      <c r="BG67" s="19" t="n">
        <f aca="false">AY67*c_stroke_fatal+AZ67*c_stroke_major+BA67*c_stroke_minor+AT67*c_ich+AU67*c_major_bleed+BD67*c_mi_fatal+BE67*c_mi_nonfatal+AW67*c_tia+AX67*c_minor_bleed</f>
        <v>19.039593850653</v>
      </c>
      <c r="BH67" s="57" t="n">
        <f aca="false">dt*(BE67*dec_mi+BC67*dec_major_bleed+AX67*dec_minor_bleed+AW67*dec_tia)</f>
        <v>7.85805400654798E-006</v>
      </c>
      <c r="BI67" s="57" t="n">
        <f aca="false">H67*AK67+AY67+AT67-BB67+AU67-BC67+BD67</f>
        <v>0.00210630350920922</v>
      </c>
      <c r="BJ67" s="57" t="n">
        <f aca="false">1-EXP(LN(1-E67)*hr_death_prior_stroke*dt)</f>
        <v>0.0944882974916055</v>
      </c>
      <c r="BK67" s="57" t="n">
        <f aca="false">I67*(1-BJ67)</f>
        <v>0.00857513342910786</v>
      </c>
      <c r="BL67" s="57" t="n">
        <f aca="false">(1-EXP(-r_stroke*F67*rr_stroke_prior*rr_asa_stroke*dt))</f>
        <v>0.0263181889304245</v>
      </c>
      <c r="BM67" s="57" t="n">
        <f aca="false">(1-EXP(-r_ich*rr_asa_ich*dt))</f>
        <v>0.00102357767802375</v>
      </c>
      <c r="BN67" s="57" t="n">
        <f aca="false">(1-EXP(-r_mb*rr_asa_mb*dt))</f>
        <v>0.00951809672747972</v>
      </c>
      <c r="BO67" s="57" t="n">
        <f aca="false">(1-EXP(-r_mi*rr_asa_mi*dt))</f>
        <v>0.00213413516393479</v>
      </c>
      <c r="BP67" s="57" t="n">
        <f aca="false">(1-EXP(-r_tia*rr_asa_tia*dt))</f>
        <v>0.00312764565589152</v>
      </c>
      <c r="BQ67" s="57" t="n">
        <f aca="false">(1-EXP(-r_minor*rr_asa_minor*dt))</f>
        <v>0.0278181950466747</v>
      </c>
      <c r="BR67" s="57" t="n">
        <f aca="false">BK67*BL67</f>
        <v>0.000225681981690859</v>
      </c>
      <c r="BS67" s="57" t="n">
        <f aca="false">BK67*BM67</f>
        <v>8.77731516411003E-006</v>
      </c>
      <c r="BT67" s="57" t="n">
        <f aca="false">BK67*BN67</f>
        <v>8.16189494292935E-005</v>
      </c>
      <c r="BU67" s="57" t="n">
        <f aca="false">BK67*BO67</f>
        <v>1.83004937864918E-005</v>
      </c>
      <c r="BV67" s="57" t="n">
        <f aca="false">BK67*BP67</f>
        <v>2.68199788182394E-005</v>
      </c>
      <c r="BW67" s="57" t="n">
        <f aca="false">BK67*BQ67</f>
        <v>0.000238544734282183</v>
      </c>
      <c r="BX67" s="57" t="n">
        <f aca="false">BR67*f_stroke_fatal_recur</f>
        <v>8.39740085673519E-005</v>
      </c>
      <c r="BY67" s="57" t="n">
        <f aca="false">BR67*(1-f_stroke_fatal_recur)*f_stroke_major</f>
        <v>4.7188755050128E-005</v>
      </c>
      <c r="BZ67" s="57" t="n">
        <f aca="false">BR67*(1-f_stroke_fatal_recur)*(1-f_stroke_major)</f>
        <v>9.45192180733795E-005</v>
      </c>
      <c r="CA67" s="57" t="n">
        <f aca="false">BS67*(1-f_bleed_fatal)</f>
        <v>8.04002069032479E-006</v>
      </c>
      <c r="CB67" s="57" t="n">
        <f aca="false">BT67*(1-f_bleed_fatal)</f>
        <v>7.47629576772328E-005</v>
      </c>
      <c r="CC67" s="57" t="n">
        <f aca="false">BU67*f_mi_fatal</f>
        <v>2.21435974816551E-006</v>
      </c>
      <c r="CD67" s="57" t="n">
        <f aca="false">BU67-CC67</f>
        <v>1.60861340383263E-005</v>
      </c>
      <c r="CE67" s="57" t="n">
        <f aca="false">BK67-BR67-BS67-BT67-CC67</f>
        <v>0.00825684082307543</v>
      </c>
      <c r="CF67" s="19" t="n">
        <f aca="false">BX67*c_stroke_fatal+BY67*c_stroke_major+BZ67*c_stroke_minor+BS67*c_ich+BT67*c_major_bleed+CC67*c_mi_fatal+CD67*c_mi_nonfatal+BV67*c_tia+BW67*c_minor_bleed</f>
        <v>8.93610473576691</v>
      </c>
      <c r="CG67" s="57" t="n">
        <f aca="false">dt*(CD67*dec_mi+CB67*dec_major_bleed+BW67*dec_minor_bleed+BV67*dec_tia)</f>
        <v>3.68812455626081E-006</v>
      </c>
      <c r="CH67" s="57" t="n">
        <f aca="false">I67*BJ67+BX67+BS67-CA67+BT67-CB67+CC67</f>
        <v>0.000988579321137222</v>
      </c>
      <c r="CI67" s="57" t="n">
        <f aca="false">1-EXP(LN(1-E67)*dt)</f>
        <v>0.0422364825170679</v>
      </c>
      <c r="CJ67" s="57" t="n">
        <f aca="false">J67*(1-CI67)</f>
        <v>0.0568267449275898</v>
      </c>
      <c r="CK67" s="57" t="n">
        <f aca="false">(1-EXP(-r_stroke*F67*rr_asa_stroke*dt))</f>
        <v>0.0120498625074545</v>
      </c>
      <c r="CL67" s="57" t="n">
        <f aca="false">(1-EXP(-r_ich*rr_asa_ich*dt))</f>
        <v>0.00102357767802375</v>
      </c>
      <c r="CM67" s="57" t="n">
        <f aca="false">(1-EXP(-r_mb*rr_asa_mb*dt))</f>
        <v>0.00951809672747972</v>
      </c>
      <c r="CN67" s="57" t="n">
        <f aca="false">(1-EXP(-r_mi*rr_asa_mi*dt))</f>
        <v>0.00213413516393479</v>
      </c>
      <c r="CO67" s="57" t="n">
        <f aca="false">(1-EXP(-r_tia*rr_asa_tia*dt))</f>
        <v>0.00312764565589152</v>
      </c>
      <c r="CP67" s="57" t="n">
        <f aca="false">(1-EXP(-r_minor*rr_asa_minor*dt))</f>
        <v>0.0278181950466747</v>
      </c>
      <c r="CQ67" s="57" t="n">
        <f aca="false">CJ67*CK67</f>
        <v>0.000684754463123647</v>
      </c>
      <c r="CR67" s="57" t="n">
        <f aca="false">CJ67*CL67</f>
        <v>5.81665876226301E-005</v>
      </c>
      <c r="CS67" s="57" t="n">
        <f aca="false">CJ67*CM67</f>
        <v>0.000540882454928617</v>
      </c>
      <c r="CT67" s="57" t="n">
        <f aca="false">CJ67*CN67</f>
        <v>0.000121275954601922</v>
      </c>
      <c r="CU67" s="57" t="n">
        <f aca="false">CJ67*CO67</f>
        <v>0.000177733921911232</v>
      </c>
      <c r="CV67" s="57" t="n">
        <f aca="false">CJ67*CP67</f>
        <v>0.00158081747426333</v>
      </c>
      <c r="CW67" s="57" t="n">
        <f aca="false">CQ67*f_stroke_fatal</f>
        <v>0.000162286807760304</v>
      </c>
      <c r="CX67" s="57" t="n">
        <f aca="false">CQ67*(1-f_stroke_fatal)*f_stroke_major</f>
        <v>0.000173981729235993</v>
      </c>
      <c r="CY67" s="57" t="n">
        <f aca="false">CQ67*(1-f_stroke_fatal)*(1-f_stroke_major)</f>
        <v>0.00034848592612735</v>
      </c>
      <c r="CZ67" s="57" t="n">
        <f aca="false">CR67*(1-f_bleed_fatal)</f>
        <v>5.32805942623291E-005</v>
      </c>
      <c r="DA67" s="57" t="n">
        <f aca="false">CS67*(1-f_bleed_fatal)</f>
        <v>0.000495448328714614</v>
      </c>
      <c r="DB67" s="57" t="n">
        <f aca="false">CT67*f_mi_fatal</f>
        <v>1.46743905068326E-005</v>
      </c>
      <c r="DC67" s="57" t="n">
        <f aca="false">CT67-DB67</f>
        <v>0.00010660156409509</v>
      </c>
      <c r="DD67" s="57" t="n">
        <f aca="false">CJ67-CQ67-CR67-CS67-DB67</f>
        <v>0.0555282670314081</v>
      </c>
      <c r="DE67" s="19" t="n">
        <f aca="false">CW67*c_stroke_fatal+CX67*c_stroke_major+CY67*c_stroke_minor+CR67*c_ich+CS67*c_major_bleed+DB67*c_mi_fatal+DC67*c_mi_nonfatal+CU67*c_tia+CV67*c_minor_bleed</f>
        <v>32.9522454724531</v>
      </c>
      <c r="DF67" s="57" t="n">
        <f aca="false">dt*(DC67*dec_mi+DA67*dec_major_bleed+CV67*dec_minor_bleed+CU67*dec_tia)</f>
        <v>2.44409157189777E-005</v>
      </c>
      <c r="DG67" s="57" t="n">
        <f aca="false">J67*CI67+CW67+CR67-CZ67+CS67-DA67+DB67</f>
        <v>0.00273328804583189</v>
      </c>
      <c r="DH67" s="57" t="n">
        <f aca="false">AG67</f>
        <v>0.101571864526615</v>
      </c>
      <c r="DI67" s="57" t="n">
        <f aca="false">AB67+AC67+BF67+BA67+BB67+BC67+CY67+CZ67</f>
        <v>0.0189544158059688</v>
      </c>
      <c r="DJ67" s="57" t="n">
        <f aca="false">AA67+AZ67+BY67+CX67+CE67+BZ67+CA67+CB67</f>
        <v>0.00895180631594066</v>
      </c>
      <c r="DK67" s="57" t="n">
        <f aca="false">AD67+DD67+DA67</f>
        <v>0.0568152250071757</v>
      </c>
      <c r="DL67" s="57" t="n">
        <f aca="false">K67+AJ67+BI67+CH67+DG67</f>
        <v>0.813706688344301</v>
      </c>
      <c r="DM67" s="58" t="n">
        <f aca="false">SUM(DH67:DL67)</f>
        <v>1</v>
      </c>
      <c r="DN67" s="19" t="n">
        <f aca="false">dt*(G67*Warfarin!$H$2+(H67+I67+J67)*c_aspirin)</f>
        <v>11.2421130312731</v>
      </c>
      <c r="DO67" s="19" t="n">
        <f aca="false">dt*(H67*c_lt_minor_stroke+I67*c_lt_major_stroke)</f>
        <v>116.370957587141</v>
      </c>
      <c r="DP67" s="19" t="n">
        <f aca="false">AH67+BG67+CF67+DE67</f>
        <v>103.50781771696</v>
      </c>
      <c r="DQ67" s="19" t="n">
        <f aca="false">DN67+DO67+DP67</f>
        <v>231.120888335373</v>
      </c>
      <c r="DR67" s="57" t="n">
        <f aca="false">dt*(G67*(u_af-dec_per_year_over_70*MAX(B67-ref_age,0))+H67*(u_minor_stroke-dec_per_year_over_70*MAX(B67-ref_age,0))+I67*(u_major_stroke-dec_per_year_over_70*MAX(B67-ref_age,0))+J67*(u_af-dec_per_year_over_70*MAX(B67-ref_age,0)))-AI67-BH67-CG67-DF67</f>
        <v>0.0381581151247219</v>
      </c>
      <c r="DS67" s="57" t="n">
        <f aca="false">dt*(G67+H67+I67+J67)</f>
        <v>0.0492435971772557</v>
      </c>
      <c r="DT67" s="19" t="n">
        <f aca="false">DQ67*C67</f>
        <v>184.175583221084</v>
      </c>
      <c r="DU67" s="19" t="n">
        <f aca="false">DN67*C67</f>
        <v>8.95861355970386</v>
      </c>
      <c r="DV67" s="19" t="n">
        <f aca="false">DP67*C67</f>
        <v>82.4832962233168</v>
      </c>
      <c r="DW67" s="19" t="n">
        <f aca="false">DO67*C67</f>
        <v>92.7336734380638</v>
      </c>
      <c r="DX67" s="57" t="n">
        <f aca="false">DR67*C67</f>
        <v>0.0304074337820781</v>
      </c>
      <c r="DY67" s="57" t="n">
        <f aca="false">DS67*C67</f>
        <v>0.039241231267962</v>
      </c>
      <c r="DZ67" s="57" t="n">
        <f aca="false">T67+AS67+BR67+CQ67</f>
        <v>0.00216242370228934</v>
      </c>
      <c r="EA67" s="57" t="n">
        <f aca="false">U67+AT67+BS67+CR67</f>
        <v>0.000293135495950956</v>
      </c>
      <c r="EB67" s="57" t="n">
        <f aca="false">V67+AU67+BT67+CS67</f>
        <v>0.0016604952450403</v>
      </c>
      <c r="EC67" s="57" t="n">
        <f aca="false">G67*dt*C67</f>
        <v>0.0215147049811011</v>
      </c>
    </row>
    <row r="68" customFormat="false" ht="15" hidden="false" customHeight="false" outlineLevel="0" collapsed="false">
      <c r="A68" s="8" t="n">
        <v>62</v>
      </c>
      <c r="B68" s="54" t="n">
        <f aca="false">start_age+A68*dt</f>
        <v>85.5</v>
      </c>
      <c r="C68" s="16" t="n">
        <f aca="false">(1+disc_rate)^-(A68*dt)</f>
        <v>0.793919273425047</v>
      </c>
      <c r="D68" s="55" t="n">
        <f aca="false">IF(A68*dt&gt;=wane_start,(1-wane_decay)^(A68*dt-wane_start),1)</f>
        <v>1</v>
      </c>
      <c r="E68" s="25" t="n">
        <f aca="false">MIN(p_nonvasc_death*MIN(EXP(gomp_int+gomp_slope*INT(B68)),1)/qx_ref,0.999)</f>
        <v>0.158540611064101</v>
      </c>
      <c r="F68" s="55" t="n">
        <f aca="false">rr_stroke_per_decade^((B68-ref_age)/10)</f>
        <v>1.8747417518086</v>
      </c>
      <c r="G68" s="57" t="n">
        <f aca="false">DH67</f>
        <v>0.101571864526615</v>
      </c>
      <c r="H68" s="57" t="n">
        <f aca="false">DI67</f>
        <v>0.0189544158059688</v>
      </c>
      <c r="I68" s="57" t="n">
        <f aca="false">DJ67</f>
        <v>0.00895180631594066</v>
      </c>
      <c r="J68" s="57" t="n">
        <f aca="false">DK67</f>
        <v>0.0568152250071757</v>
      </c>
      <c r="K68" s="57" t="n">
        <f aca="false">DL67</f>
        <v>0.813706688344301</v>
      </c>
      <c r="L68" s="57" t="n">
        <f aca="false">1-EXP(LN(1-E68)*dt)</f>
        <v>0.0422364825170679</v>
      </c>
      <c r="M68" s="57" t="n">
        <f aca="false">G68*(1-L68)</f>
        <v>0.0972818262463105</v>
      </c>
      <c r="N68" s="57" t="n">
        <f aca="false">IF(Warfarin!$B$2=1,EXP(LN(or_apx_stroke)*D68)*(1-EXP(-r_stroke*F68*dt))/(1-(1-EXP(-r_stroke*F68*dt))+EXP(LN(or_apx_stroke)*D68)*(1-EXP(-r_stroke*F68*dt))),(1-EXP(-r_stroke*F68*dt)))</f>
        <v>0.00753110447540673</v>
      </c>
      <c r="O68" s="57" t="n">
        <f aca="false">IF(Warfarin!$B$2=1,EXP(LN(or_apx_ich)*D68)*(1-EXP(-r_ich*dt))/(1-(1-EXP(-r_ich*dt))+EXP(LN(or_apx_ich)*D68)*(1-EXP(-r_ich*dt))),(1-EXP(-r_ich*dt)))</f>
        <v>0.0020060281549299</v>
      </c>
      <c r="P68" s="57" t="n">
        <f aca="false">IF(Warfarin!$B$2=1,EXP(LN(or_apx_mb)*D68)*(1-EXP(-r_mb*dt))/(1-(1-EXP(-r_mb*dt))+EXP(LN(or_apx_mb)*D68)*(1-EXP(-r_mb*dt))),(1-EXP(-r_mb*dt)))</f>
        <v>0.00835410477572107</v>
      </c>
      <c r="Q68" s="57" t="n">
        <f aca="false">IF(Warfarin!$B$2=1,EXP(LN(or_apx_mi)*D68)*(1-EXP(-r_mi*dt))/(1-(1-EXP(-r_mi*dt))+EXP(LN(or_apx_mi)*D68)*(1-EXP(-r_mi*dt))),(1-EXP(-r_mi*dt)))</f>
        <v>0.00150338686144691</v>
      </c>
      <c r="R68" s="57" t="n">
        <f aca="false">(1-EXP(-r_tia*dt))</f>
        <v>0.0020060281549299</v>
      </c>
      <c r="S68" s="57" t="n">
        <f aca="false">(1-EXP(-r_minor*dt))</f>
        <v>0.0437937690785545</v>
      </c>
      <c r="T68" s="57" t="n">
        <f aca="false">M68*N68</f>
        <v>0.000732639597019328</v>
      </c>
      <c r="U68" s="57" t="n">
        <f aca="false">M68*O68</f>
        <v>0.000195150082413097</v>
      </c>
      <c r="V68" s="57" t="n">
        <f aca="false">M68*P68</f>
        <v>0.00081270256923517</v>
      </c>
      <c r="W68" s="57" t="n">
        <f aca="false">M68*Q68</f>
        <v>0.000146252219436264</v>
      </c>
      <c r="X68" s="57" t="n">
        <f aca="false">M68*R68</f>
        <v>0.000195150082413097</v>
      </c>
      <c r="Y68" s="57" t="n">
        <f aca="false">M68*S68</f>
        <v>0.00426033783417098</v>
      </c>
      <c r="Z68" s="57" t="n">
        <f aca="false">T68*f_stroke_fatal</f>
        <v>0.000173635584493581</v>
      </c>
      <c r="AA68" s="57" t="n">
        <f aca="false">T68*(1-f_stroke_fatal)*f_stroke_major</f>
        <v>0.000186148336171074</v>
      </c>
      <c r="AB68" s="57" t="n">
        <f aca="false">T68*(1-f_stroke_fatal)*(1-f_stroke_major)</f>
        <v>0.000372855676354674</v>
      </c>
      <c r="AC68" s="57" t="n">
        <f aca="false">U68*(1-f_bleed_fatal)</f>
        <v>0.000178757475490397</v>
      </c>
      <c r="AD68" s="57" t="n">
        <f aca="false">V68*(1-f_bleed_fatal)</f>
        <v>0.000744435553419416</v>
      </c>
      <c r="AE68" s="57" t="n">
        <f aca="false">W68*f_mi_fatal</f>
        <v>1.7696518551788E-005</v>
      </c>
      <c r="AF68" s="57" t="n">
        <f aca="false">W68-AE68</f>
        <v>0.000128555700884476</v>
      </c>
      <c r="AG68" s="57" t="n">
        <f aca="false">M68-T68-U68-V68-AE68</f>
        <v>0.0955236374790911</v>
      </c>
      <c r="AH68" s="19" t="n">
        <f aca="false">Z68*c_stroke_fatal+AA68*c_stroke_major+AB68*c_stroke_minor+U68*c_ich+V68*c_major_bleed+AE68*c_mi_fatal+AF68*c_mi_nonfatal+X68*c_tia+Y68*c_minor_bleed</f>
        <v>40.3194715182702</v>
      </c>
      <c r="AI68" s="57" t="n">
        <f aca="false">dt*(AF68*dec_mi+AD68*dec_major_bleed+Y68*dec_minor_bleed+X68*dec_tia)</f>
        <v>4.00105959644794E-005</v>
      </c>
      <c r="AJ68" s="57" t="n">
        <f aca="false">G68*L68+Z68+U68-AC68+V68-AD68+AE68</f>
        <v>0.00456603000608818</v>
      </c>
      <c r="AK68" s="57" t="n">
        <f aca="false">1-EXP(LN(1-E68)*hr_death_prior_stroke*dt)</f>
        <v>0.0944882974916055</v>
      </c>
      <c r="AL68" s="57" t="n">
        <f aca="false">H68*(1-AK68)</f>
        <v>0.0171634453265148</v>
      </c>
      <c r="AM68" s="57" t="n">
        <f aca="false">(1-EXP(-r_stroke*F68*rr_stroke_prior*rr_asa_stroke*dt))</f>
        <v>0.0265827275908304</v>
      </c>
      <c r="AN68" s="57" t="n">
        <f aca="false">(1-EXP(-r_ich*rr_asa_ich*dt))</f>
        <v>0.00102357767802375</v>
      </c>
      <c r="AO68" s="57" t="n">
        <f aca="false">(1-EXP(-r_mb*rr_asa_mb*dt))</f>
        <v>0.00951809672747972</v>
      </c>
      <c r="AP68" s="57" t="n">
        <f aca="false">(1-EXP(-r_mi*rr_asa_mi*dt))</f>
        <v>0.00213413516393479</v>
      </c>
      <c r="AQ68" s="57" t="n">
        <f aca="false">(1-EXP(-r_tia*rr_asa_tia*dt))</f>
        <v>0.00312764565589152</v>
      </c>
      <c r="AR68" s="57" t="n">
        <f aca="false">(1-EXP(-r_minor*rr_asa_minor*dt))</f>
        <v>0.0278181950466747</v>
      </c>
      <c r="AS68" s="57" t="n">
        <f aca="false">AL68*AM68</f>
        <v>0.000456251191634854</v>
      </c>
      <c r="AT68" s="57" t="n">
        <f aca="false">AL68*AN68</f>
        <v>1.75681195142016E-005</v>
      </c>
      <c r="AU68" s="57" t="n">
        <f aca="false">AL68*AO68</f>
        <v>0.000163363332794578</v>
      </c>
      <c r="AV68" s="57" t="n">
        <f aca="false">AL68*AP68</f>
        <v>3.66291122055876E-005</v>
      </c>
      <c r="AW68" s="57" t="n">
        <f aca="false">AL68*AQ68</f>
        <v>5.36811752156058E-005</v>
      </c>
      <c r="AX68" s="57" t="n">
        <f aca="false">AL68*AR68</f>
        <v>0.000477456069765927</v>
      </c>
      <c r="AY68" s="57" t="n">
        <f aca="false">AS68*f_stroke_fatal_recur</f>
        <v>0.000169766505895413</v>
      </c>
      <c r="AZ68" s="57" t="n">
        <f aca="false">AS68*(1-f_stroke_fatal_recur)*f_stroke_major</f>
        <v>9.5399400351234E-005</v>
      </c>
      <c r="BA68" s="57" t="n">
        <f aca="false">AS68*(1-f_stroke_fatal_recur)*(1-f_stroke_major)</f>
        <v>0.000191085285388207</v>
      </c>
      <c r="BB68" s="57" t="n">
        <f aca="false">AT68*(1-f_bleed_fatal)</f>
        <v>1.60923974750086E-005</v>
      </c>
      <c r="BC68" s="57" t="n">
        <f aca="false">AU68*(1-f_bleed_fatal)</f>
        <v>0.000149640812839833</v>
      </c>
      <c r="BD68" s="57" t="n">
        <f aca="false">AV68*f_mi_fatal</f>
        <v>4.4321225768761E-006</v>
      </c>
      <c r="BE68" s="57" t="n">
        <f aca="false">AV68-BD68</f>
        <v>3.21969896287115E-005</v>
      </c>
      <c r="BF68" s="57" t="n">
        <f aca="false">AL68-AS68-AT68-AU68-BD68</f>
        <v>0.0165218305599943</v>
      </c>
      <c r="BG68" s="19" t="n">
        <f aca="false">AY68*c_stroke_fatal+AZ68*c_stroke_major+BA68*c_stroke_minor+AT68*c_ich+AU68*c_major_bleed+BD68*c_mi_fatal+BE68*c_mi_nonfatal+AW68*c_tia+AX68*c_minor_bleed</f>
        <v>18.0424930383924</v>
      </c>
      <c r="BH68" s="57" t="n">
        <f aca="false">dt*(BE68*dec_mi+BC68*dec_major_bleed+AX68*dec_minor_bleed+AW68*dec_tia)</f>
        <v>7.38191710975451E-006</v>
      </c>
      <c r="BI68" s="57" t="n">
        <f aca="false">H68*AK68+AY68+AT68-BB68+AU68-BC68+BD68</f>
        <v>0.0019803673499202</v>
      </c>
      <c r="BJ68" s="57" t="n">
        <f aca="false">1-EXP(LN(1-E68)*hr_death_prior_stroke*dt)</f>
        <v>0.0944882974916055</v>
      </c>
      <c r="BK68" s="57" t="n">
        <f aca="false">I68*(1-BJ68)</f>
        <v>0.00810596537767282</v>
      </c>
      <c r="BL68" s="57" t="n">
        <f aca="false">(1-EXP(-r_stroke*F68*rr_stroke_prior*rr_asa_stroke*dt))</f>
        <v>0.0265827275908304</v>
      </c>
      <c r="BM68" s="57" t="n">
        <f aca="false">(1-EXP(-r_ich*rr_asa_ich*dt))</f>
        <v>0.00102357767802375</v>
      </c>
      <c r="BN68" s="57" t="n">
        <f aca="false">(1-EXP(-r_mb*rr_asa_mb*dt))</f>
        <v>0.00951809672747972</v>
      </c>
      <c r="BO68" s="57" t="n">
        <f aca="false">(1-EXP(-r_mi*rr_asa_mi*dt))</f>
        <v>0.00213413516393479</v>
      </c>
      <c r="BP68" s="57" t="n">
        <f aca="false">(1-EXP(-r_tia*rr_asa_tia*dt))</f>
        <v>0.00312764565589152</v>
      </c>
      <c r="BQ68" s="57" t="n">
        <f aca="false">(1-EXP(-r_minor*rr_asa_minor*dt))</f>
        <v>0.0278181950466747</v>
      </c>
      <c r="BR68" s="57" t="n">
        <f aca="false">BK68*BL68</f>
        <v>0.000215478669495379</v>
      </c>
      <c r="BS68" s="57" t="n">
        <f aca="false">BK68*BM68</f>
        <v>8.29708521941923E-006</v>
      </c>
      <c r="BT68" s="57" t="n">
        <f aca="false">BK68*BN68</f>
        <v>7.71533625342916E-005</v>
      </c>
      <c r="BU68" s="57" t="n">
        <f aca="false">BK68*BO68</f>
        <v>1.72992257501295E-005</v>
      </c>
      <c r="BV68" s="57" t="n">
        <f aca="false">BK68*BP68</f>
        <v>2.53525874002855E-005</v>
      </c>
      <c r="BW68" s="57" t="n">
        <f aca="false">BK68*BQ68</f>
        <v>0.000225493325917695</v>
      </c>
      <c r="BX68" s="57" t="n">
        <f aca="false">BR68*f_stroke_fatal_recur</f>
        <v>8.01774581325356E-005</v>
      </c>
      <c r="BY68" s="57" t="n">
        <f aca="false">BR68*(1-f_stroke_fatal_recur)*f_stroke_major</f>
        <v>4.50553033838269E-005</v>
      </c>
      <c r="BZ68" s="57" t="n">
        <f aca="false">BR68*(1-f_stroke_fatal_recur)*(1-f_stroke_major)</f>
        <v>9.02459079790166E-005</v>
      </c>
      <c r="CA68" s="57" t="n">
        <f aca="false">BS68*(1-f_bleed_fatal)</f>
        <v>7.60013006098801E-006</v>
      </c>
      <c r="CB68" s="57" t="n">
        <f aca="false">BT68*(1-f_bleed_fatal)</f>
        <v>7.06724800814111E-005</v>
      </c>
      <c r="CC68" s="57" t="n">
        <f aca="false">BU68*f_mi_fatal</f>
        <v>2.09320631576567E-006</v>
      </c>
      <c r="CD68" s="57" t="n">
        <f aca="false">BU68-CC68</f>
        <v>1.52060194343639E-005</v>
      </c>
      <c r="CE68" s="57" t="n">
        <f aca="false">BK68-BR68-BS68-BT68-CC68</f>
        <v>0.00780294305410797</v>
      </c>
      <c r="CF68" s="19" t="n">
        <f aca="false">BX68*c_stroke_fatal+BY68*c_stroke_major+BZ68*c_stroke_minor+BS68*c_ich+BT68*c_major_bleed+CC68*c_mi_fatal+CD68*c_mi_nonfatal+BV68*c_tia+BW68*c_minor_bleed</f>
        <v>8.52112271830267</v>
      </c>
      <c r="CG68" s="57" t="n">
        <f aca="false">dt*(CD68*dec_mi+CB68*dec_major_bleed+BW68*dec_minor_bleed+BV68*dec_tia)</f>
        <v>3.48633758398619E-006</v>
      </c>
      <c r="CH68" s="57" t="n">
        <f aca="false">I68*BJ68+BX68+BS68-CA68+BT68-CB68+CC68</f>
        <v>0.000935289440327447</v>
      </c>
      <c r="CI68" s="57" t="n">
        <f aca="false">1-EXP(LN(1-E68)*dt)</f>
        <v>0.0422364825170679</v>
      </c>
      <c r="CJ68" s="57" t="n">
        <f aca="false">J68*(1-CI68)</f>
        <v>0.0544155497494568</v>
      </c>
      <c r="CK68" s="57" t="n">
        <f aca="false">(1-EXP(-r_stroke*F68*rr_asa_stroke*dt))</f>
        <v>0.0121718784618299</v>
      </c>
      <c r="CL68" s="57" t="n">
        <f aca="false">(1-EXP(-r_ich*rr_asa_ich*dt))</f>
        <v>0.00102357767802375</v>
      </c>
      <c r="CM68" s="57" t="n">
        <f aca="false">(1-EXP(-r_mb*rr_asa_mb*dt))</f>
        <v>0.00951809672747972</v>
      </c>
      <c r="CN68" s="57" t="n">
        <f aca="false">(1-EXP(-r_mi*rr_asa_mi*dt))</f>
        <v>0.00213413516393479</v>
      </c>
      <c r="CO68" s="57" t="n">
        <f aca="false">(1-EXP(-r_tia*rr_asa_tia*dt))</f>
        <v>0.00312764565589152</v>
      </c>
      <c r="CP68" s="57" t="n">
        <f aca="false">(1-EXP(-r_minor*rr_asa_minor*dt))</f>
        <v>0.0278181950466747</v>
      </c>
      <c r="CQ68" s="57" t="n">
        <f aca="false">CJ68*CK68</f>
        <v>0.000662339457984046</v>
      </c>
      <c r="CR68" s="57" t="n">
        <f aca="false">CJ68*CL68</f>
        <v>5.56985420609347E-005</v>
      </c>
      <c r="CS68" s="57" t="n">
        <f aca="false">CJ68*CM68</f>
        <v>0.000517932465994315</v>
      </c>
      <c r="CT68" s="57" t="n">
        <f aca="false">CJ68*CN68</f>
        <v>0.000116130138185159</v>
      </c>
      <c r="CU68" s="57" t="n">
        <f aca="false">CJ68*CO68</f>
        <v>0.000170192557786838</v>
      </c>
      <c r="CV68" s="57" t="n">
        <f aca="false">CJ68*CP68</f>
        <v>0.00151374237650242</v>
      </c>
      <c r="CW68" s="57" t="n">
        <f aca="false">CQ68*f_stroke_fatal</f>
        <v>0.000156974451542219</v>
      </c>
      <c r="CX68" s="57" t="n">
        <f aca="false">CQ68*(1-f_stroke_fatal)*f_stroke_major</f>
        <v>0.000168286547145128</v>
      </c>
      <c r="CY68" s="57" t="n">
        <f aca="false">CQ68*(1-f_stroke_fatal)*(1-f_stroke_major)</f>
        <v>0.000337078459296699</v>
      </c>
      <c r="CZ68" s="57" t="n">
        <f aca="false">CR68*(1-f_bleed_fatal)</f>
        <v>5.10198645278162E-005</v>
      </c>
      <c r="DA68" s="57" t="n">
        <f aca="false">CS68*(1-f_bleed_fatal)</f>
        <v>0.000474426138850793</v>
      </c>
      <c r="DB68" s="57" t="n">
        <f aca="false">CT68*f_mi_fatal</f>
        <v>1.40517467204042E-005</v>
      </c>
      <c r="DC68" s="57" t="n">
        <f aca="false">CT68-DB68</f>
        <v>0.000102078391464755</v>
      </c>
      <c r="DD68" s="57" t="n">
        <f aca="false">CJ68-CQ68-CR68-CS68-DB68</f>
        <v>0.0531655275366971</v>
      </c>
      <c r="DE68" s="19" t="n">
        <f aca="false">CW68*c_stroke_fatal+CX68*c_stroke_major+CY68*c_stroke_minor+CR68*c_ich+CS68*c_major_bleed+DB68*c_mi_fatal+DC68*c_mi_nonfatal+CU68*c_tia+CV68*c_minor_bleed</f>
        <v>31.7993768002572</v>
      </c>
      <c r="DF68" s="57" t="n">
        <f aca="false">dt*(DC68*dec_mi+DA68*dec_major_bleed+CV68*dec_minor_bleed+CU68*dec_tia)</f>
        <v>2.34038720134858E-005</v>
      </c>
      <c r="DG68" s="57" t="n">
        <f aca="false">J68*CI68+CW68+CR68-CZ68+CS68-DA68+DB68</f>
        <v>0.00261888646065812</v>
      </c>
      <c r="DH68" s="57" t="n">
        <f aca="false">AG68</f>
        <v>0.0955236374790911</v>
      </c>
      <c r="DI68" s="57" t="n">
        <f aca="false">AB68+AC68+BF68+BA68+BB68+BC68+CY68+CZ68</f>
        <v>0.017818360531367</v>
      </c>
      <c r="DJ68" s="57" t="n">
        <f aca="false">AA68+AZ68+BY68+CX68+CE68+BZ68+CA68+CB68</f>
        <v>0.00846635115928065</v>
      </c>
      <c r="DK68" s="57" t="n">
        <f aca="false">AD68+DD68+DA68</f>
        <v>0.0543843892289673</v>
      </c>
      <c r="DL68" s="57" t="n">
        <f aca="false">K68+AJ68+BI68+CH68+DG68</f>
        <v>0.823807261601295</v>
      </c>
      <c r="DM68" s="58" t="n">
        <f aca="false">SUM(DH68:DL68)</f>
        <v>1</v>
      </c>
      <c r="DN68" s="19" t="n">
        <f aca="false">dt*(G68*Warfarin!$H$2+(H68+I68+J68)*c_aspirin)</f>
        <v>10.5835910509098</v>
      </c>
      <c r="DO68" s="19" t="n">
        <f aca="false">dt*(H68*c_lt_minor_stroke+I68*c_lt_major_stroke)</f>
        <v>109.683293066212</v>
      </c>
      <c r="DP68" s="19" t="n">
        <f aca="false">AH68+BG68+CF68+DE68</f>
        <v>98.6824640752224</v>
      </c>
      <c r="DQ68" s="19" t="n">
        <f aca="false">DN68+DO68+DP68</f>
        <v>218.949348192344</v>
      </c>
      <c r="DR68" s="57" t="n">
        <f aca="false">dt*(G68*(u_af-dec_per_year_over_70*MAX(B68-ref_age,0))+H68*(u_minor_stroke-dec_per_year_over_70*MAX(B68-ref_age,0))+I68*(u_major_stroke-dec_per_year_over_70*MAX(B68-ref_age,0))+J68*(u_af-dec_per_year_over_70*MAX(B68-ref_age,0)))-AI68-BH68-CG68-DF68</f>
        <v>0.0360880514577374</v>
      </c>
      <c r="DS68" s="57" t="n">
        <f aca="false">dt*(G68+H68+I68+J68)</f>
        <v>0.046573327913925</v>
      </c>
      <c r="DT68" s="19" t="n">
        <f aca="false">DQ68*C68</f>
        <v>173.828107433754</v>
      </c>
      <c r="DU68" s="19" t="n">
        <f aca="false">DN68*C68</f>
        <v>8.40251691736616</v>
      </c>
      <c r="DV68" s="19" t="n">
        <f aca="false">DP68*C68</f>
        <v>78.3459101783939</v>
      </c>
      <c r="DW68" s="19" t="n">
        <f aca="false">DO68*C68</f>
        <v>87.0796803379935</v>
      </c>
      <c r="DX68" s="57" t="n">
        <f aca="false">DR68*C68</f>
        <v>0.0286509995926526</v>
      </c>
      <c r="DY68" s="57" t="n">
        <f aca="false">DS68*C68</f>
        <v>0.0369754626584098</v>
      </c>
      <c r="DZ68" s="57" t="n">
        <f aca="false">T68+AS68+BR68+CQ68</f>
        <v>0.00206670891613361</v>
      </c>
      <c r="EA68" s="57" t="n">
        <f aca="false">U68+AT68+BS68+CR68</f>
        <v>0.000276713829207652</v>
      </c>
      <c r="EB68" s="57" t="n">
        <f aca="false">V68+AU68+BT68+CS68</f>
        <v>0.00157115173055835</v>
      </c>
      <c r="EC68" s="57" t="n">
        <f aca="false">G68*dt*C68</f>
        <v>0.0201599652213493</v>
      </c>
    </row>
    <row r="69" customFormat="false" ht="15" hidden="false" customHeight="false" outlineLevel="0" collapsed="false">
      <c r="A69" s="8" t="n">
        <v>63</v>
      </c>
      <c r="B69" s="54" t="n">
        <f aca="false">start_age+A69*dt</f>
        <v>85.75</v>
      </c>
      <c r="C69" s="16" t="n">
        <f aca="false">(1+disc_rate)^-(A69*dt)</f>
        <v>0.790969677151614</v>
      </c>
      <c r="D69" s="55" t="n">
        <f aca="false">IF(A69*dt&gt;=wane_start,(1-wane_decay)^(A69*dt-wane_start),1)</f>
        <v>1</v>
      </c>
      <c r="E69" s="25" t="n">
        <f aca="false">MIN(p_nonvasc_death*MIN(EXP(gomp_int+gomp_slope*INT(B69)),1)/qx_ref,0.999)</f>
        <v>0.158540611064101</v>
      </c>
      <c r="F69" s="55" t="n">
        <f aca="false">rr_stroke_per_decade^((B69-ref_age)/10)</f>
        <v>1.89384195325381</v>
      </c>
      <c r="G69" s="57" t="n">
        <f aca="false">DH68</f>
        <v>0.0955236374790911</v>
      </c>
      <c r="H69" s="57" t="n">
        <f aca="false">DI68</f>
        <v>0.017818360531367</v>
      </c>
      <c r="I69" s="57" t="n">
        <f aca="false">DJ68</f>
        <v>0.00846635115928065</v>
      </c>
      <c r="J69" s="57" t="n">
        <f aca="false">DK68</f>
        <v>0.0543843892289673</v>
      </c>
      <c r="K69" s="57" t="n">
        <f aca="false">DL68</f>
        <v>0.823807261601295</v>
      </c>
      <c r="L69" s="57" t="n">
        <f aca="false">1-EXP(LN(1-E69)*dt)</f>
        <v>0.0422364825170679</v>
      </c>
      <c r="M69" s="57" t="n">
        <f aca="false">G69*(1-L69)</f>
        <v>0.0914890550347388</v>
      </c>
      <c r="N69" s="57" t="n">
        <f aca="false">IF(Warfarin!$B$2=1,EXP(LN(or_apx_stroke)*D69)*(1-EXP(-r_stroke*F69*dt))/(1-(1-EXP(-r_stroke*F69*dt))+EXP(LN(or_apx_stroke)*D69)*(1-EXP(-r_stroke*F69*dt))),(1-EXP(-r_stroke*F69*dt)))</f>
        <v>0.0076075401076916</v>
      </c>
      <c r="O69" s="57" t="n">
        <f aca="false">IF(Warfarin!$B$2=1,EXP(LN(or_apx_ich)*D69)*(1-EXP(-r_ich*dt))/(1-(1-EXP(-r_ich*dt))+EXP(LN(or_apx_ich)*D69)*(1-EXP(-r_ich*dt))),(1-EXP(-r_ich*dt)))</f>
        <v>0.0020060281549299</v>
      </c>
      <c r="P69" s="57" t="n">
        <f aca="false">IF(Warfarin!$B$2=1,EXP(LN(or_apx_mb)*D69)*(1-EXP(-r_mb*dt))/(1-(1-EXP(-r_mb*dt))+EXP(LN(or_apx_mb)*D69)*(1-EXP(-r_mb*dt))),(1-EXP(-r_mb*dt)))</f>
        <v>0.00835410477572107</v>
      </c>
      <c r="Q69" s="57" t="n">
        <f aca="false">IF(Warfarin!$B$2=1,EXP(LN(or_apx_mi)*D69)*(1-EXP(-r_mi*dt))/(1-(1-EXP(-r_mi*dt))+EXP(LN(or_apx_mi)*D69)*(1-EXP(-r_mi*dt))),(1-EXP(-r_mi*dt)))</f>
        <v>0.00150338686144691</v>
      </c>
      <c r="R69" s="57" t="n">
        <f aca="false">(1-EXP(-r_tia*dt))</f>
        <v>0.0020060281549299</v>
      </c>
      <c r="S69" s="57" t="n">
        <f aca="false">(1-EXP(-r_minor*dt))</f>
        <v>0.0437937690785545</v>
      </c>
      <c r="T69" s="57" t="n">
        <f aca="false">M69*N69</f>
        <v>0.000696006655591579</v>
      </c>
      <c r="U69" s="57" t="n">
        <f aca="false">M69*O69</f>
        <v>0.000183529620267617</v>
      </c>
      <c r="V69" s="57" t="n">
        <f aca="false">M69*P69</f>
        <v>0.000764309151591919</v>
      </c>
      <c r="W69" s="57" t="n">
        <f aca="false">M69*Q69</f>
        <v>0.000137543443305419</v>
      </c>
      <c r="X69" s="57" t="n">
        <f aca="false">M69*R69</f>
        <v>0.000183529620267617</v>
      </c>
      <c r="Y69" s="57" t="n">
        <f aca="false">M69*S69</f>
        <v>0.00400665054940651</v>
      </c>
      <c r="Z69" s="57" t="n">
        <f aca="false">T69*f_stroke_fatal</f>
        <v>0.000164953577375204</v>
      </c>
      <c r="AA69" s="57" t="n">
        <f aca="false">T69*(1-f_stroke_fatal)*f_stroke_major</f>
        <v>0.000176840675046053</v>
      </c>
      <c r="AB69" s="57" t="n">
        <f aca="false">T69*(1-f_stroke_fatal)*(1-f_stroke_major)</f>
        <v>0.000354212403170322</v>
      </c>
      <c r="AC69" s="57" t="n">
        <f aca="false">U69*(1-f_bleed_fatal)</f>
        <v>0.000168113132165137</v>
      </c>
      <c r="AD69" s="57" t="n">
        <f aca="false">V69*(1-f_bleed_fatal)</f>
        <v>0.000700107182858198</v>
      </c>
      <c r="AE69" s="57" t="n">
        <f aca="false">W69*f_mi_fatal</f>
        <v>1.66427566399558E-005</v>
      </c>
      <c r="AF69" s="57" t="n">
        <f aca="false">W69-AE69</f>
        <v>0.000120900686665464</v>
      </c>
      <c r="AG69" s="57" t="n">
        <f aca="false">M69-T69-U69-V69-AE69</f>
        <v>0.0898285668506477</v>
      </c>
      <c r="AH69" s="19" t="n">
        <f aca="false">Z69*c_stroke_fatal+AA69*c_stroke_major+AB69*c_stroke_minor+U69*c_ich+V69*c_major_bleed+AE69*c_mi_fatal+AF69*c_mi_nonfatal+X69*c_tia+Y69*c_minor_bleed</f>
        <v>38.176972494618</v>
      </c>
      <c r="AI69" s="57" t="n">
        <f aca="false">dt*(AF69*dec_mi+AD69*dec_major_bleed+Y69*dec_minor_bleed+X69*dec_tia)</f>
        <v>3.76281136714966E-005</v>
      </c>
      <c r="AJ69" s="57" t="n">
        <f aca="false">G69*L69+Z69+U69-AC69+V69-AD69+AE69</f>
        <v>0.00429579723520373</v>
      </c>
      <c r="AK69" s="57" t="n">
        <f aca="false">1-EXP(LN(1-E69)*hr_death_prior_stroke*dt)</f>
        <v>0.0944882974916055</v>
      </c>
      <c r="AL69" s="57" t="n">
        <f aca="false">H69*(1-AK69)</f>
        <v>0.0161347339806665</v>
      </c>
      <c r="AM69" s="57" t="n">
        <f aca="false">(1-EXP(-r_stroke*F69*rr_stroke_prior*rr_asa_stroke*dt))</f>
        <v>0.0268498884437394</v>
      </c>
      <c r="AN69" s="57" t="n">
        <f aca="false">(1-EXP(-r_ich*rr_asa_ich*dt))</f>
        <v>0.00102357767802375</v>
      </c>
      <c r="AO69" s="57" t="n">
        <f aca="false">(1-EXP(-r_mb*rr_asa_mb*dt))</f>
        <v>0.00951809672747972</v>
      </c>
      <c r="AP69" s="57" t="n">
        <f aca="false">(1-EXP(-r_mi*rr_asa_mi*dt))</f>
        <v>0.00213413516393479</v>
      </c>
      <c r="AQ69" s="57" t="n">
        <f aca="false">(1-EXP(-r_tia*rr_asa_tia*dt))</f>
        <v>0.00312764565589152</v>
      </c>
      <c r="AR69" s="57" t="n">
        <f aca="false">(1-EXP(-r_minor*rr_asa_minor*dt))</f>
        <v>0.0278181950466747</v>
      </c>
      <c r="AS69" s="57" t="n">
        <f aca="false">AL69*AM69</f>
        <v>0.000433215807450306</v>
      </c>
      <c r="AT69" s="57" t="n">
        <f aca="false">AL69*AN69</f>
        <v>1.65151535434614E-005</v>
      </c>
      <c r="AU69" s="57" t="n">
        <f aca="false">AL69*AO69</f>
        <v>0.000153571958700137</v>
      </c>
      <c r="AV69" s="57" t="n">
        <f aca="false">AL69*AP69</f>
        <v>3.44337031488739E-005</v>
      </c>
      <c r="AW69" s="57" t="n">
        <f aca="false">AL69*AQ69</f>
        <v>5.04637306435968E-005</v>
      </c>
      <c r="AX69" s="57" t="n">
        <f aca="false">AL69*AR69</f>
        <v>0.000448839176900391</v>
      </c>
      <c r="AY69" s="57" t="n">
        <f aca="false">AS69*f_stroke_fatal_recur</f>
        <v>0.000161195269794184</v>
      </c>
      <c r="AZ69" s="57" t="n">
        <f aca="false">AS69*(1-f_stroke_fatal_recur)*f_stroke_major</f>
        <v>9.05828390394885E-005</v>
      </c>
      <c r="BA69" s="57" t="n">
        <f aca="false">AS69*(1-f_stroke_fatal_recur)*(1-f_stroke_major)</f>
        <v>0.000181437698616633</v>
      </c>
      <c r="BB69" s="57" t="n">
        <f aca="false">AT69*(1-f_bleed_fatal)</f>
        <v>1.51278806458107E-005</v>
      </c>
      <c r="BC69" s="57" t="n">
        <f aca="false">AU69*(1-f_bleed_fatal)</f>
        <v>0.000140671914169326</v>
      </c>
      <c r="BD69" s="57" t="n">
        <f aca="false">AV69*f_mi_fatal</f>
        <v>4.16647808101374E-006</v>
      </c>
      <c r="BE69" s="57" t="n">
        <f aca="false">AV69-BD69</f>
        <v>3.02672250678602E-005</v>
      </c>
      <c r="BF69" s="57" t="n">
        <f aca="false">AL69-AS69-AT69-AU69-BD69</f>
        <v>0.0155272645828916</v>
      </c>
      <c r="BG69" s="19" t="n">
        <f aca="false">AY69*c_stroke_fatal+AZ69*c_stroke_major+BA69*c_stroke_minor+AT69*c_ich+AU69*c_major_bleed+BD69*c_mi_fatal+BE69*c_mi_nonfatal+AW69*c_tia+AX69*c_minor_bleed</f>
        <v>17.1097210201264</v>
      </c>
      <c r="BH69" s="57" t="n">
        <f aca="false">dt*(BE69*dec_mi+BC69*dec_major_bleed+AX69*dec_minor_bleed+AW69*dec_tia)</f>
        <v>6.93947319826402E-006</v>
      </c>
      <c r="BI69" s="57" t="n">
        <f aca="false">H69*AK69+AY69+AT69-BB69+AU69-BC69+BD69</f>
        <v>0.00186327561600414</v>
      </c>
      <c r="BJ69" s="57" t="n">
        <f aca="false">1-EXP(LN(1-E69)*hr_death_prior_stroke*dt)</f>
        <v>0.0944882974916055</v>
      </c>
      <c r="BK69" s="57" t="n">
        <f aca="false">I69*(1-BJ69)</f>
        <v>0.00766638005227414</v>
      </c>
      <c r="BL69" s="57" t="n">
        <f aca="false">(1-EXP(-r_stroke*F69*rr_stroke_prior*rr_asa_stroke*dt))</f>
        <v>0.0268498884437394</v>
      </c>
      <c r="BM69" s="57" t="n">
        <f aca="false">(1-EXP(-r_ich*rr_asa_ich*dt))</f>
        <v>0.00102357767802375</v>
      </c>
      <c r="BN69" s="57" t="n">
        <f aca="false">(1-EXP(-r_mb*rr_asa_mb*dt))</f>
        <v>0.00951809672747972</v>
      </c>
      <c r="BO69" s="57" t="n">
        <f aca="false">(1-EXP(-r_mi*rr_asa_mi*dt))</f>
        <v>0.00213413516393479</v>
      </c>
      <c r="BP69" s="57" t="n">
        <f aca="false">(1-EXP(-r_tia*rr_asa_tia*dt))</f>
        <v>0.00312764565589152</v>
      </c>
      <c r="BQ69" s="57" t="n">
        <f aca="false">(1-EXP(-r_minor*rr_asa_minor*dt))</f>
        <v>0.0278181950466747</v>
      </c>
      <c r="BR69" s="57" t="n">
        <f aca="false">BK69*BL69</f>
        <v>0.000205841449170869</v>
      </c>
      <c r="BS69" s="57" t="n">
        <f aca="false">BK69*BM69</f>
        <v>7.84713549275433E-006</v>
      </c>
      <c r="BT69" s="57" t="n">
        <f aca="false">BK69*BN69</f>
        <v>7.29693468871663E-005</v>
      </c>
      <c r="BU69" s="57" t="n">
        <f aca="false">BK69*BO69</f>
        <v>1.63610912496465E-005</v>
      </c>
      <c r="BV69" s="57" t="n">
        <f aca="false">BK69*BP69</f>
        <v>2.39777202669086E-005</v>
      </c>
      <c r="BW69" s="57" t="n">
        <f aca="false">BK69*BQ69</f>
        <v>0.000213264855596098</v>
      </c>
      <c r="BX69" s="57" t="n">
        <f aca="false">BR69*f_stroke_fatal_recur</f>
        <v>7.65915448219888E-005</v>
      </c>
      <c r="BY69" s="57" t="n">
        <f aca="false">BR69*(1-f_stroke_fatal_recur)*f_stroke_major</f>
        <v>4.30402181481772E-005</v>
      </c>
      <c r="BZ69" s="57" t="n">
        <f aca="false">BR69*(1-f_stroke_fatal_recur)*(1-f_stroke_major)</f>
        <v>8.62096862007034E-005</v>
      </c>
      <c r="CA69" s="57" t="n">
        <f aca="false">BS69*(1-f_bleed_fatal)</f>
        <v>7.18797611136296E-006</v>
      </c>
      <c r="CB69" s="57" t="n">
        <f aca="false">BT69*(1-f_bleed_fatal)</f>
        <v>6.68399217486443E-005</v>
      </c>
      <c r="CC69" s="57" t="n">
        <f aca="false">BU69*f_mi_fatal</f>
        <v>1.97969204120722E-006</v>
      </c>
      <c r="CD69" s="57" t="n">
        <f aca="false">BU69-CC69</f>
        <v>1.43813992084393E-005</v>
      </c>
      <c r="CE69" s="57" t="n">
        <f aca="false">BK69-BR69-BS69-BT69-CC69</f>
        <v>0.00737774242868214</v>
      </c>
      <c r="CF69" s="19" t="n">
        <f aca="false">BX69*c_stroke_fatal+BY69*c_stroke_major+BZ69*c_stroke_minor+BS69*c_ich+BT69*c_major_bleed+CC69*c_mi_fatal+CD69*c_mi_nonfatal+BV69*c_tia+BW69*c_minor_bleed</f>
        <v>8.12964279955576</v>
      </c>
      <c r="CG69" s="57" t="n">
        <f aca="false">dt*(CD69*dec_mi+CB69*dec_major_bleed+BW69*dec_minor_bleed+BV69*dec_tia)</f>
        <v>3.29727400304276E-006</v>
      </c>
      <c r="CH69" s="57" t="n">
        <f aca="false">I69*BJ69+BX69+BS69-CA69+BT69-CB69+CC69</f>
        <v>0.000885330928389618</v>
      </c>
      <c r="CI69" s="57" t="n">
        <f aca="false">1-EXP(LN(1-E69)*dt)</f>
        <v>0.0422364825170679</v>
      </c>
      <c r="CJ69" s="57" t="n">
        <f aca="false">J69*(1-CI69)</f>
        <v>0.0520873839240967</v>
      </c>
      <c r="CK69" s="57" t="n">
        <f aca="false">(1-EXP(-r_stroke*F69*rr_asa_stroke*dt))</f>
        <v>0.0122951222358376</v>
      </c>
      <c r="CL69" s="57" t="n">
        <f aca="false">(1-EXP(-r_ich*rr_asa_ich*dt))</f>
        <v>0.00102357767802375</v>
      </c>
      <c r="CM69" s="57" t="n">
        <f aca="false">(1-EXP(-r_mb*rr_asa_mb*dt))</f>
        <v>0.00951809672747972</v>
      </c>
      <c r="CN69" s="57" t="n">
        <f aca="false">(1-EXP(-r_mi*rr_asa_mi*dt))</f>
        <v>0.00213413516393479</v>
      </c>
      <c r="CO69" s="57" t="n">
        <f aca="false">(1-EXP(-r_tia*rr_asa_tia*dt))</f>
        <v>0.00312764565589152</v>
      </c>
      <c r="CP69" s="57" t="n">
        <f aca="false">(1-EXP(-r_minor*rr_asa_minor*dt))</f>
        <v>0.0278181950466747</v>
      </c>
      <c r="CQ69" s="57" t="n">
        <f aca="false">CJ69*CK69</f>
        <v>0.000640420752291772</v>
      </c>
      <c r="CR69" s="57" t="n">
        <f aca="false">CJ69*CL69</f>
        <v>5.33154834913582E-005</v>
      </c>
      <c r="CS69" s="57" t="n">
        <f aca="false">CJ69*CM69</f>
        <v>0.000495772758470924</v>
      </c>
      <c r="CT69" s="57" t="n">
        <f aca="false">CJ69*CN69</f>
        <v>0.000111161517629786</v>
      </c>
      <c r="CU69" s="57" t="n">
        <f aca="false">CJ69*CO69</f>
        <v>0.000162910880056955</v>
      </c>
      <c r="CV69" s="57" t="n">
        <f aca="false">CJ69*CP69</f>
        <v>0.00144897700547155</v>
      </c>
      <c r="CW69" s="57" t="n">
        <f aca="false">CQ69*f_stroke_fatal</f>
        <v>0.00015177971829315</v>
      </c>
      <c r="CX69" s="57" t="n">
        <f aca="false">CQ69*(1-f_stroke_fatal)*f_stroke_major</f>
        <v>0.000162717464321541</v>
      </c>
      <c r="CY69" s="57" t="n">
        <f aca="false">CQ69*(1-f_stroke_fatal)*(1-f_stroke_major)</f>
        <v>0.000325923569677081</v>
      </c>
      <c r="CZ69" s="57" t="n">
        <f aca="false">CR69*(1-f_bleed_fatal)</f>
        <v>4.88369828780842E-005</v>
      </c>
      <c r="DA69" s="57" t="n">
        <f aca="false">CS69*(1-f_bleed_fatal)</f>
        <v>0.000454127846759366</v>
      </c>
      <c r="DB69" s="57" t="n">
        <f aca="false">CT69*f_mi_fatal</f>
        <v>1.34505436332042E-005</v>
      </c>
      <c r="DC69" s="57" t="n">
        <f aca="false">CT69-DB69</f>
        <v>9.77109739965823E-005</v>
      </c>
      <c r="DD69" s="57" t="n">
        <f aca="false">CJ69-CQ69-CR69-CS69-DB69</f>
        <v>0.0508844243862094</v>
      </c>
      <c r="DE69" s="19" t="n">
        <f aca="false">CW69*c_stroke_fatal+CX69*c_stroke_major+CY69*c_stroke_minor+CR69*c_ich+CS69*c_major_bleed+DB69*c_mi_fatal+DC69*c_mi_nonfatal+CU69*c_tia+CV69*c_minor_bleed</f>
        <v>30.6760258046505</v>
      </c>
      <c r="DF69" s="57" t="n">
        <f aca="false">dt*(DC69*dec_mi+DA69*dec_major_bleed+CV69*dec_minor_bleed+CU69*dec_tia)</f>
        <v>2.24025388421077E-005</v>
      </c>
      <c r="DG69" s="57" t="n">
        <f aca="false">J69*CI69+CW69+CR69-CZ69+CS69-DA69+DB69</f>
        <v>0.00250835897912188</v>
      </c>
      <c r="DH69" s="57" t="n">
        <f aca="false">AG69</f>
        <v>0.0898285668506477</v>
      </c>
      <c r="DI69" s="57" t="n">
        <f aca="false">AB69+AC69+BF69+BA69+BB69+BC69+CY69+CZ69</f>
        <v>0.016761588164214</v>
      </c>
      <c r="DJ69" s="57" t="n">
        <f aca="false">AA69+AZ69+BY69+CX69+CE69+BZ69+CA69+CB69</f>
        <v>0.00801116120929811</v>
      </c>
      <c r="DK69" s="57" t="n">
        <f aca="false">AD69+DD69+DA69</f>
        <v>0.052038659415827</v>
      </c>
      <c r="DL69" s="57" t="n">
        <f aca="false">K69+AJ69+BI69+CH69+DG69</f>
        <v>0.833360024360014</v>
      </c>
      <c r="DM69" s="58" t="n">
        <f aca="false">SUM(DH69:DL69)</f>
        <v>1</v>
      </c>
      <c r="DN69" s="19" t="n">
        <f aca="false">dt*(G69*Warfarin!$H$2+(H69+I69+J69)*c_aspirin)</f>
        <v>9.96306434782539</v>
      </c>
      <c r="DO69" s="19" t="n">
        <f aca="false">dt*(H69*c_lt_minor_stroke+I69*c_lt_major_stroke)</f>
        <v>103.442790298102</v>
      </c>
      <c r="DP69" s="19" t="n">
        <f aca="false">AH69+BG69+CF69+DE69</f>
        <v>94.0923621189507</v>
      </c>
      <c r="DQ69" s="19" t="n">
        <f aca="false">DN69+DO69+DP69</f>
        <v>207.498216764878</v>
      </c>
      <c r="DR69" s="57" t="n">
        <f aca="false">dt*(G69*(u_af-dec_per_year_over_70*MAX(B69-ref_age,0))+H69*(u_minor_stroke-dec_per_year_over_70*MAX(B69-ref_age,0))+I69*(u_major_stroke-dec_per_year_over_70*MAX(B69-ref_age,0))+J69*(u_af-dec_per_year_over_70*MAX(B69-ref_age,0)))-AI69-BH69-CG69-DF69</f>
        <v>0.0341298376240334</v>
      </c>
      <c r="DS69" s="57" t="n">
        <f aca="false">dt*(G69+H69+I69+J69)</f>
        <v>0.0440481845996765</v>
      </c>
      <c r="DT69" s="19" t="n">
        <f aca="false">DQ69*C69</f>
        <v>164.124797524051</v>
      </c>
      <c r="DU69" s="19" t="n">
        <f aca="false">DN69*C69</f>
        <v>7.8804817906402</v>
      </c>
      <c r="DV69" s="19" t="n">
        <f aca="false">DP69*C69</f>
        <v>74.4242052876592</v>
      </c>
      <c r="DW69" s="19" t="n">
        <f aca="false">DO69*C69</f>
        <v>81.8201104457519</v>
      </c>
      <c r="DX69" s="57" t="n">
        <f aca="false">DR69*C69</f>
        <v>0.0269956666467187</v>
      </c>
      <c r="DY69" s="57" t="n">
        <f aca="false">DS69*C69</f>
        <v>0.0348407783519208</v>
      </c>
      <c r="DZ69" s="57" t="n">
        <f aca="false">T69+AS69+BR69+CQ69</f>
        <v>0.00197548466450453</v>
      </c>
      <c r="EA69" s="57" t="n">
        <f aca="false">U69+AT69+BS69+CR69</f>
        <v>0.000261207392795191</v>
      </c>
      <c r="EB69" s="57" t="n">
        <f aca="false">V69+AU69+BT69+CS69</f>
        <v>0.00148662321565015</v>
      </c>
      <c r="EC69" s="57" t="n">
        <f aca="false">G69*dt*C69</f>
        <v>0.0188890751742961</v>
      </c>
    </row>
    <row r="70" customFormat="false" ht="15" hidden="false" customHeight="false" outlineLevel="0" collapsed="false">
      <c r="A70" s="8" t="n">
        <v>64</v>
      </c>
      <c r="B70" s="54" t="n">
        <f aca="false">start_age+A70*dt</f>
        <v>86</v>
      </c>
      <c r="C70" s="16" t="n">
        <f aca="false">(1+disc_rate)^-(A70*dt)</f>
        <v>0.788031039320012</v>
      </c>
      <c r="D70" s="55" t="n">
        <f aca="false">IF(A70*dt&gt;=wane_start,(1-wane_decay)^(A70*dt-wane_start),1)</f>
        <v>1</v>
      </c>
      <c r="E70" s="25" t="n">
        <f aca="false">MIN(p_nonvasc_death*MIN(EXP(gomp_int+gomp_slope*INT(B70)),1)/qx_ref,0.999)</f>
        <v>0.176028221169879</v>
      </c>
      <c r="F70" s="55" t="n">
        <f aca="false">rr_stroke_per_decade^((B70-ref_age)/10)</f>
        <v>1.91313675093869</v>
      </c>
      <c r="G70" s="57" t="n">
        <f aca="false">DH69</f>
        <v>0.0898285668506477</v>
      </c>
      <c r="H70" s="57" t="n">
        <f aca="false">DI69</f>
        <v>0.016761588164214</v>
      </c>
      <c r="I70" s="57" t="n">
        <f aca="false">DJ69</f>
        <v>0.00801116120929811</v>
      </c>
      <c r="J70" s="57" t="n">
        <f aca="false">DK69</f>
        <v>0.052038659415827</v>
      </c>
      <c r="K70" s="57" t="n">
        <f aca="false">DL69</f>
        <v>0.833360024360014</v>
      </c>
      <c r="L70" s="57" t="n">
        <f aca="false">1-EXP(LN(1-E70)*dt)</f>
        <v>0.0472519154398011</v>
      </c>
      <c r="M70" s="57" t="n">
        <f aca="false">G70*(1-L70)</f>
        <v>0.0855839950057424</v>
      </c>
      <c r="N70" s="57" t="n">
        <f aca="false">IF(Warfarin!$B$2=1,EXP(LN(or_apx_stroke)*D70)*(1-EXP(-r_stroke*F70*dt))/(1-(1-EXP(-r_stroke*F70*dt))+EXP(LN(or_apx_stroke)*D70)*(1-EXP(-r_stroke*F70*dt))),(1-EXP(-r_stroke*F70*dt)))</f>
        <v>0.00768474850274759</v>
      </c>
      <c r="O70" s="57" t="n">
        <f aca="false">IF(Warfarin!$B$2=1,EXP(LN(or_apx_ich)*D70)*(1-EXP(-r_ich*dt))/(1-(1-EXP(-r_ich*dt))+EXP(LN(or_apx_ich)*D70)*(1-EXP(-r_ich*dt))),(1-EXP(-r_ich*dt)))</f>
        <v>0.0020060281549299</v>
      </c>
      <c r="P70" s="57" t="n">
        <f aca="false">IF(Warfarin!$B$2=1,EXP(LN(or_apx_mb)*D70)*(1-EXP(-r_mb*dt))/(1-(1-EXP(-r_mb*dt))+EXP(LN(or_apx_mb)*D70)*(1-EXP(-r_mb*dt))),(1-EXP(-r_mb*dt)))</f>
        <v>0.00835410477572107</v>
      </c>
      <c r="Q70" s="57" t="n">
        <f aca="false">IF(Warfarin!$B$2=1,EXP(LN(or_apx_mi)*D70)*(1-EXP(-r_mi*dt))/(1-(1-EXP(-r_mi*dt))+EXP(LN(or_apx_mi)*D70)*(1-EXP(-r_mi*dt))),(1-EXP(-r_mi*dt)))</f>
        <v>0.00150338686144691</v>
      </c>
      <c r="R70" s="57" t="n">
        <f aca="false">(1-EXP(-r_tia*dt))</f>
        <v>0.0020060281549299</v>
      </c>
      <c r="S70" s="57" t="n">
        <f aca="false">(1-EXP(-r_minor*dt))</f>
        <v>0.0437937690785545</v>
      </c>
      <c r="T70" s="57" t="n">
        <f aca="false">M70*N70</f>
        <v>0.000657691477479535</v>
      </c>
      <c r="U70" s="57" t="n">
        <f aca="false">M70*O70</f>
        <v>0.000171683903592899</v>
      </c>
      <c r="V70" s="57" t="n">
        <f aca="false">M70*P70</f>
        <v>0.000714977661402761</v>
      </c>
      <c r="W70" s="57" t="n">
        <f aca="false">M70*Q70</f>
        <v>0.000128665853641771</v>
      </c>
      <c r="X70" s="57" t="n">
        <f aca="false">M70*R70</f>
        <v>0.000171683903592899</v>
      </c>
      <c r="Y70" s="57" t="n">
        <f aca="false">M70*S70</f>
        <v>0.00374804571410164</v>
      </c>
      <c r="Z70" s="57" t="n">
        <f aca="false">T70*f_stroke_fatal</f>
        <v>0.00015587288016265</v>
      </c>
      <c r="AA70" s="57" t="n">
        <f aca="false">T70*(1-f_stroke_fatal)*f_stroke_major</f>
        <v>0.000167105592906523</v>
      </c>
      <c r="AB70" s="57" t="n">
        <f aca="false">T70*(1-f_stroke_fatal)*(1-f_stroke_major)</f>
        <v>0.000334713004410363</v>
      </c>
      <c r="AC70" s="57" t="n">
        <f aca="false">U70*(1-f_bleed_fatal)</f>
        <v>0.000157262455691095</v>
      </c>
      <c r="AD70" s="57" t="n">
        <f aca="false">V70*(1-f_bleed_fatal)</f>
        <v>0.000654919537844929</v>
      </c>
      <c r="AE70" s="57" t="n">
        <f aca="false">W70*f_mi_fatal</f>
        <v>1.55685682906543E-005</v>
      </c>
      <c r="AF70" s="57" t="n">
        <f aca="false">W70-AE70</f>
        <v>0.000113097285351117</v>
      </c>
      <c r="AG70" s="57" t="n">
        <f aca="false">M70-T70-U70-V70-AE70</f>
        <v>0.0840240733949765</v>
      </c>
      <c r="AH70" s="19" t="n">
        <f aca="false">Z70*c_stroke_fatal+AA70*c_stroke_major+AB70*c_stroke_minor+U70*c_ich+V70*c_major_bleed+AE70*c_mi_fatal+AF70*c_mi_nonfatal+X70*c_tia+Y70*c_minor_bleed</f>
        <v>35.9570246245517</v>
      </c>
      <c r="AI70" s="57" t="n">
        <f aca="false">dt*(AF70*dec_mi+AD70*dec_major_bleed+Y70*dec_minor_bleed+X70*dec_tia)</f>
        <v>3.51994486260032E-005</v>
      </c>
      <c r="AJ70" s="57" t="n">
        <f aca="false">G70*L70+Z70+U70-AC70+V70-AD70+AE70</f>
        <v>0.00449049286481827</v>
      </c>
      <c r="AK70" s="57" t="n">
        <f aca="false">1-EXP(LN(1-E70)*hr_death_prior_stroke*dt)</f>
        <v>0.105357358985318</v>
      </c>
      <c r="AL70" s="57" t="n">
        <f aca="false">H70*(1-AK70)</f>
        <v>0.0149956315028328</v>
      </c>
      <c r="AM70" s="57" t="n">
        <f aca="false">(1-EXP(-r_stroke*F70*rr_stroke_prior*rr_asa_stroke*dt))</f>
        <v>0.0271196967304284</v>
      </c>
      <c r="AN70" s="57" t="n">
        <f aca="false">(1-EXP(-r_ich*rr_asa_ich*dt))</f>
        <v>0.00102357767802375</v>
      </c>
      <c r="AO70" s="57" t="n">
        <f aca="false">(1-EXP(-r_mb*rr_asa_mb*dt))</f>
        <v>0.00951809672747972</v>
      </c>
      <c r="AP70" s="57" t="n">
        <f aca="false">(1-EXP(-r_mi*rr_asa_mi*dt))</f>
        <v>0.00213413516393479</v>
      </c>
      <c r="AQ70" s="57" t="n">
        <f aca="false">(1-EXP(-r_tia*rr_asa_tia*dt))</f>
        <v>0.00312764565589152</v>
      </c>
      <c r="AR70" s="57" t="n">
        <f aca="false">(1-EXP(-r_minor*rr_asa_minor*dt))</f>
        <v>0.0278181950466747</v>
      </c>
      <c r="AS70" s="57" t="n">
        <f aca="false">AL70*AM70</f>
        <v>0.000406676978638083</v>
      </c>
      <c r="AT70" s="57" t="n">
        <f aca="false">AL70*AN70</f>
        <v>1.53491936741693E-005</v>
      </c>
      <c r="AU70" s="57" t="n">
        <f aca="false">AL70*AO70</f>
        <v>0.000142729871133605</v>
      </c>
      <c r="AV70" s="57" t="n">
        <f aca="false">AL70*AP70</f>
        <v>3.20027044956038E-005</v>
      </c>
      <c r="AW70" s="57" t="n">
        <f aca="false">AL70*AQ70</f>
        <v>4.69010217271851E-005</v>
      </c>
      <c r="AX70" s="57" t="n">
        <f aca="false">AL70*AR70</f>
        <v>0.000417151401993863</v>
      </c>
      <c r="AY70" s="57" t="n">
        <f aca="false">AS70*f_stroke_fatal_recur</f>
        <v>0.000151320436981444</v>
      </c>
      <c r="AZ70" s="57" t="n">
        <f aca="false">AS70*(1-f_stroke_fatal_recur)*f_stroke_major</f>
        <v>8.50337283716608E-005</v>
      </c>
      <c r="BA70" s="57" t="n">
        <f aca="false">AS70*(1-f_stroke_fatal_recur)*(1-f_stroke_major)</f>
        <v>0.000170322813284978</v>
      </c>
      <c r="BB70" s="57" t="n">
        <f aca="false">AT70*(1-f_bleed_fatal)</f>
        <v>1.40598614055391E-005</v>
      </c>
      <c r="BC70" s="57" t="n">
        <f aca="false">AU70*(1-f_bleed_fatal)</f>
        <v>0.000130740561958382</v>
      </c>
      <c r="BD70" s="57" t="n">
        <f aca="false">AV70*f_mi_fatal</f>
        <v>3.87232724396806E-006</v>
      </c>
      <c r="BE70" s="57" t="n">
        <f aca="false">AV70-BD70</f>
        <v>2.81303772516358E-005</v>
      </c>
      <c r="BF70" s="57" t="n">
        <f aca="false">AL70-AS70-AT70-AU70-BD70</f>
        <v>0.014427003132143</v>
      </c>
      <c r="BG70" s="19" t="n">
        <f aca="false">AY70*c_stroke_fatal+AZ70*c_stroke_major+BA70*c_stroke_minor+AT70*c_ich+AU70*c_major_bleed+BD70*c_mi_fatal+BE70*c_mi_nonfatal+AW70*c_tia+AX70*c_minor_bleed</f>
        <v>16.0412870555346</v>
      </c>
      <c r="BH70" s="57" t="n">
        <f aca="false">dt*(BE70*dec_mi+BC70*dec_major_bleed+AX70*dec_minor_bleed+AW70*dec_tia)</f>
        <v>6.44955058011147E-006</v>
      </c>
      <c r="BI70" s="57" t="n">
        <f aca="false">H70*AK70+AY70+AT70-BB70+AU70-BC70+BD70</f>
        <v>0.00193442806705041</v>
      </c>
      <c r="BJ70" s="57" t="n">
        <f aca="false">1-EXP(LN(1-E70)*hr_death_prior_stroke*dt)</f>
        <v>0.105357358985318</v>
      </c>
      <c r="BK70" s="57" t="n">
        <f aca="false">I70*(1-BJ70)</f>
        <v>0.00716712642188083</v>
      </c>
      <c r="BL70" s="57" t="n">
        <f aca="false">(1-EXP(-r_stroke*F70*rr_stroke_prior*rr_asa_stroke*dt))</f>
        <v>0.0271196967304284</v>
      </c>
      <c r="BM70" s="57" t="n">
        <f aca="false">(1-EXP(-r_ich*rr_asa_ich*dt))</f>
        <v>0.00102357767802375</v>
      </c>
      <c r="BN70" s="57" t="n">
        <f aca="false">(1-EXP(-r_mb*rr_asa_mb*dt))</f>
        <v>0.00951809672747972</v>
      </c>
      <c r="BO70" s="57" t="n">
        <f aca="false">(1-EXP(-r_mi*rr_asa_mi*dt))</f>
        <v>0.00213413516393479</v>
      </c>
      <c r="BP70" s="57" t="n">
        <f aca="false">(1-EXP(-r_tia*rr_asa_tia*dt))</f>
        <v>0.00312764565589152</v>
      </c>
      <c r="BQ70" s="57" t="n">
        <f aca="false">(1-EXP(-r_minor*rr_asa_minor*dt))</f>
        <v>0.0278181950466747</v>
      </c>
      <c r="BR70" s="57" t="n">
        <f aca="false">BK70*BL70</f>
        <v>0.000194370294990048</v>
      </c>
      <c r="BS70" s="57" t="n">
        <f aca="false">BK70*BM70</f>
        <v>7.33611062101142E-006</v>
      </c>
      <c r="BT70" s="57" t="n">
        <f aca="false">BK70*BN70</f>
        <v>6.82174025415374E-005</v>
      </c>
      <c r="BU70" s="57" t="n">
        <f aca="false">BK70*BO70</f>
        <v>1.5295616521302E-005</v>
      </c>
      <c r="BV70" s="57" t="n">
        <f aca="false">BK70*BP70</f>
        <v>2.24162318186209E-005</v>
      </c>
      <c r="BW70" s="57" t="n">
        <f aca="false">BK70*BQ70</f>
        <v>0.000199376520728057</v>
      </c>
      <c r="BX70" s="57" t="n">
        <f aca="false">BR70*f_stroke_fatal_recur</f>
        <v>7.23232430628471E-005</v>
      </c>
      <c r="BY70" s="57" t="n">
        <f aca="false">BR70*(1-f_stroke_fatal_recur)*f_stroke_major</f>
        <v>4.0641668291758E-005</v>
      </c>
      <c r="BZ70" s="57" t="n">
        <f aca="false">BR70*(1-f_stroke_fatal_recur)*(1-f_stroke_major)</f>
        <v>8.14053836354432E-005</v>
      </c>
      <c r="CA70" s="57" t="n">
        <f aca="false">BS70*(1-f_bleed_fatal)</f>
        <v>6.71987732884646E-006</v>
      </c>
      <c r="CB70" s="57" t="n">
        <f aca="false">BT70*(1-f_bleed_fatal)</f>
        <v>6.24871407280483E-005</v>
      </c>
      <c r="CC70" s="57" t="n">
        <f aca="false">BU70*f_mi_fatal</f>
        <v>1.85076959907755E-006</v>
      </c>
      <c r="CD70" s="57" t="n">
        <f aca="false">BU70-CC70</f>
        <v>1.34448469222245E-005</v>
      </c>
      <c r="CE70" s="57" t="n">
        <f aca="false">BK70-BR70-BS70-BT70-CC70</f>
        <v>0.00689535184412916</v>
      </c>
      <c r="CF70" s="19" t="n">
        <f aca="false">BX70*c_stroke_fatal+BY70*c_stroke_major+BZ70*c_stroke_minor+BS70*c_ich+BT70*c_major_bleed+CC70*c_mi_fatal+CD70*c_mi_nonfatal+BV70*c_tia+BW70*c_minor_bleed</f>
        <v>7.66689500705442</v>
      </c>
      <c r="CG70" s="57" t="n">
        <f aca="false">dt*(CD70*dec_mi+CB70*dec_major_bleed+BW70*dec_minor_bleed+BV70*dec_tia)</f>
        <v>3.0825473647603E-006</v>
      </c>
      <c r="CH70" s="57" t="n">
        <f aca="false">I70*BJ70+BX70+BS70-CA70+BT70-CB70+CC70</f>
        <v>0.000924555295184855</v>
      </c>
      <c r="CI70" s="57" t="n">
        <f aca="false">1-EXP(LN(1-E70)*dt)</f>
        <v>0.0472519154398011</v>
      </c>
      <c r="CJ70" s="57" t="n">
        <f aca="false">J70*(1-CI70)</f>
        <v>0.0495797330815097</v>
      </c>
      <c r="CK70" s="57" t="n">
        <f aca="false">(1-EXP(-r_stroke*F70*rr_asa_stroke*dt))</f>
        <v>0.0124196060273125</v>
      </c>
      <c r="CL70" s="57" t="n">
        <f aca="false">(1-EXP(-r_ich*rr_asa_ich*dt))</f>
        <v>0.00102357767802375</v>
      </c>
      <c r="CM70" s="57" t="n">
        <f aca="false">(1-EXP(-r_mb*rr_asa_mb*dt))</f>
        <v>0.00951809672747972</v>
      </c>
      <c r="CN70" s="57" t="n">
        <f aca="false">(1-EXP(-r_mi*rr_asa_mi*dt))</f>
        <v>0.00213413516393479</v>
      </c>
      <c r="CO70" s="57" t="n">
        <f aca="false">(1-EXP(-r_tia*rr_asa_tia*dt))</f>
        <v>0.00312764565589152</v>
      </c>
      <c r="CP70" s="57" t="n">
        <f aca="false">(1-EXP(-r_minor*rr_asa_minor*dt))</f>
        <v>0.0278181950466747</v>
      </c>
      <c r="CQ70" s="57" t="n">
        <f aca="false">CJ70*CK70</f>
        <v>0.000615760751811663</v>
      </c>
      <c r="CR70" s="57" t="n">
        <f aca="false">CJ70*CL70</f>
        <v>5.07487080646088E-005</v>
      </c>
      <c r="CS70" s="57" t="n">
        <f aca="false">CJ70*CM70</f>
        <v>0.000471904695192435</v>
      </c>
      <c r="CT70" s="57" t="n">
        <f aca="false">CJ70*CN70</f>
        <v>0.000105809851787751</v>
      </c>
      <c r="CU70" s="57" t="n">
        <f aca="false">CJ70*CO70</f>
        <v>0.000155067836792645</v>
      </c>
      <c r="CV70" s="57" t="n">
        <f aca="false">CJ70*CP70</f>
        <v>0.00137921868522351</v>
      </c>
      <c r="CW70" s="57" t="n">
        <f aca="false">CQ70*f_stroke_fatal</f>
        <v>0.000145935298179364</v>
      </c>
      <c r="CX70" s="57" t="n">
        <f aca="false">CQ70*(1-f_stroke_fatal)*f_stroke_major</f>
        <v>0.000156451876059556</v>
      </c>
      <c r="CY70" s="57" t="n">
        <f aca="false">CQ70*(1-f_stroke_fatal)*(1-f_stroke_major)</f>
        <v>0.000313373577572744</v>
      </c>
      <c r="CZ70" s="57" t="n">
        <f aca="false">CR70*(1-f_bleed_fatal)</f>
        <v>4.64858165871817E-005</v>
      </c>
      <c r="DA70" s="57" t="n">
        <f aca="false">CS70*(1-f_bleed_fatal)</f>
        <v>0.000432264700796271</v>
      </c>
      <c r="DB70" s="57" t="n">
        <f aca="false">CT70*f_mi_fatal</f>
        <v>1.28029920663179E-005</v>
      </c>
      <c r="DC70" s="57" t="n">
        <f aca="false">CT70-DB70</f>
        <v>9.3006859721433E-005</v>
      </c>
      <c r="DD70" s="57" t="n">
        <f aca="false">CJ70-CQ70-CR70-CS70-DB70</f>
        <v>0.0484285159343747</v>
      </c>
      <c r="DE70" s="19" t="n">
        <f aca="false">CW70*c_stroke_fatal+CX70*c_stroke_major+CY70*c_stroke_minor+CR70*c_ich+CS70*c_major_bleed+DB70*c_mi_fatal+DC70*c_mi_nonfatal+CU70*c_tia+CV70*c_minor_bleed</f>
        <v>29.4272213218447</v>
      </c>
      <c r="DF70" s="57" t="n">
        <f aca="false">dt*(DC70*dec_mi+DA70*dec_major_bleed+CV70*dec_minor_bleed+CU70*dec_tia)</f>
        <v>2.1324010008996E-005</v>
      </c>
      <c r="DG70" s="57" t="n">
        <f aca="false">J70*CI70+CW70+CR70-CZ70+CS70-DA70+DB70</f>
        <v>0.00266156751043654</v>
      </c>
      <c r="DH70" s="57" t="n">
        <f aca="false">AG70</f>
        <v>0.0840240733949765</v>
      </c>
      <c r="DI70" s="57" t="n">
        <f aca="false">AB70+AC70+BF70+BA70+BB70+BC70+CY70+CZ70</f>
        <v>0.0155939612230533</v>
      </c>
      <c r="DJ70" s="57" t="n">
        <f aca="false">AA70+AZ70+BY70+CX70+CE70+BZ70+CA70+CB70</f>
        <v>0.00749519711145099</v>
      </c>
      <c r="DK70" s="57" t="n">
        <f aca="false">AD70+DD70+DA70</f>
        <v>0.0495157001730159</v>
      </c>
      <c r="DL70" s="57" t="n">
        <f aca="false">K70+AJ70+BI70+CH70+DG70</f>
        <v>0.843371068097504</v>
      </c>
      <c r="DM70" s="58" t="n">
        <f aca="false">SUM(DH70:DL70)</f>
        <v>1</v>
      </c>
      <c r="DN70" s="19" t="n">
        <f aca="false">dt*(G70*Warfarin!$H$2+(H70+I70+J70)*c_aspirin)</f>
        <v>9.37836068818983</v>
      </c>
      <c r="DO70" s="19" t="n">
        <f aca="false">dt*(H70*c_lt_minor_stroke+I70*c_lt_major_stroke)</f>
        <v>97.6142066696959</v>
      </c>
      <c r="DP70" s="19" t="n">
        <f aca="false">AH70+BG70+CF70+DE70</f>
        <v>89.0924280089853</v>
      </c>
      <c r="DQ70" s="19" t="n">
        <f aca="false">DN70+DO70+DP70</f>
        <v>196.084995366871</v>
      </c>
      <c r="DR70" s="57" t="n">
        <f aca="false">dt*(G70*(u_af-dec_per_year_over_70*MAX(B70-ref_age,0))+H70*(u_minor_stroke-dec_per_year_over_70*MAX(B70-ref_age,0))+I70*(u_major_stroke-dec_per_year_over_70*MAX(B70-ref_age,0))+J70*(u_af-dec_per_year_over_70*MAX(B70-ref_age,0)))-AI70-BH70-CG70-DF70</f>
        <v>0.0322776812259821</v>
      </c>
      <c r="DS70" s="57" t="n">
        <f aca="false">dt*(G70+H70+I70+J70)</f>
        <v>0.0416599939099967</v>
      </c>
      <c r="DT70" s="19" t="n">
        <f aca="false">DQ70*C70</f>
        <v>154.521062694015</v>
      </c>
      <c r="DU70" s="19" t="n">
        <f aca="false">DN70*C70</f>
        <v>7.39043932023217</v>
      </c>
      <c r="DV70" s="19" t="n">
        <f aca="false">DP70*C70</f>
        <v>70.207598639464</v>
      </c>
      <c r="DW70" s="19" t="n">
        <f aca="false">DO70*C70</f>
        <v>76.9230247343189</v>
      </c>
      <c r="DX70" s="57" t="n">
        <f aca="false">DR70*C70</f>
        <v>0.0254358146833507</v>
      </c>
      <c r="DY70" s="57" t="n">
        <f aca="false">DS70*C70</f>
        <v>0.03282936829896</v>
      </c>
      <c r="DZ70" s="57" t="n">
        <f aca="false">T70+AS70+BR70+CQ70</f>
        <v>0.00187449950291933</v>
      </c>
      <c r="EA70" s="57" t="n">
        <f aca="false">U70+AT70+BS70+CR70</f>
        <v>0.000245117915952688</v>
      </c>
      <c r="EB70" s="57" t="n">
        <f aca="false">V70+AU70+BT70+CS70</f>
        <v>0.00139782963027034</v>
      </c>
      <c r="EC70" s="57" t="n">
        <f aca="false">G70*dt*C70</f>
        <v>0.0176969247239858</v>
      </c>
    </row>
    <row r="71" customFormat="false" ht="15" hidden="false" customHeight="false" outlineLevel="0" collapsed="false">
      <c r="A71" s="8" t="n">
        <v>65</v>
      </c>
      <c r="B71" s="54" t="n">
        <f aca="false">start_age+A71*dt</f>
        <v>86.25</v>
      </c>
      <c r="C71" s="16" t="n">
        <f aca="false">(1+disc_rate)^-(A71*dt)</f>
        <v>0.785103319217059</v>
      </c>
      <c r="D71" s="55" t="n">
        <f aca="false">IF(A71*dt&gt;=wane_start,(1-wane_decay)^(A71*dt-wane_start),1)</f>
        <v>1</v>
      </c>
      <c r="E71" s="25" t="n">
        <f aca="false">MIN(p_nonvasc_death*MIN(EXP(gomp_int+gomp_slope*INT(B71)),1)/qx_ref,0.999)</f>
        <v>0.176028221169879</v>
      </c>
      <c r="F71" s="55" t="n">
        <f aca="false">rr_stroke_per_decade^((B71-ref_age)/10)</f>
        <v>1.93262812744423</v>
      </c>
      <c r="G71" s="57" t="n">
        <f aca="false">DH70</f>
        <v>0.0840240733949765</v>
      </c>
      <c r="H71" s="57" t="n">
        <f aca="false">DI70</f>
        <v>0.0155939612230533</v>
      </c>
      <c r="I71" s="57" t="n">
        <f aca="false">DJ70</f>
        <v>0.00749519711145099</v>
      </c>
      <c r="J71" s="57" t="n">
        <f aca="false">DK70</f>
        <v>0.0495157001730159</v>
      </c>
      <c r="K71" s="57" t="n">
        <f aca="false">DL70</f>
        <v>0.843371068097504</v>
      </c>
      <c r="L71" s="57" t="n">
        <f aca="false">1-EXP(LN(1-E71)*dt)</f>
        <v>0.0472519154398011</v>
      </c>
      <c r="M71" s="57" t="n">
        <f aca="false">G71*(1-L71)</f>
        <v>0.0800537749840094</v>
      </c>
      <c r="N71" s="57" t="n">
        <f aca="false">IF(Warfarin!$B$2=1,EXP(LN(or_apx_stroke)*D71)*(1-EXP(-r_stroke*F71*dt))/(1-(1-EXP(-r_stroke*F71*dt))+EXP(LN(or_apx_stroke)*D71)*(1-EXP(-r_stroke*F71*dt))),(1-EXP(-r_stroke*F71*dt)))</f>
        <v>0.00776273741168332</v>
      </c>
      <c r="O71" s="57" t="n">
        <f aca="false">IF(Warfarin!$B$2=1,EXP(LN(or_apx_ich)*D71)*(1-EXP(-r_ich*dt))/(1-(1-EXP(-r_ich*dt))+EXP(LN(or_apx_ich)*D71)*(1-EXP(-r_ich*dt))),(1-EXP(-r_ich*dt)))</f>
        <v>0.0020060281549299</v>
      </c>
      <c r="P71" s="57" t="n">
        <f aca="false">IF(Warfarin!$B$2=1,EXP(LN(or_apx_mb)*D71)*(1-EXP(-r_mb*dt))/(1-(1-EXP(-r_mb*dt))+EXP(LN(or_apx_mb)*D71)*(1-EXP(-r_mb*dt))),(1-EXP(-r_mb*dt)))</f>
        <v>0.00835410477572107</v>
      </c>
      <c r="Q71" s="57" t="n">
        <f aca="false">IF(Warfarin!$B$2=1,EXP(LN(or_apx_mi)*D71)*(1-EXP(-r_mi*dt))/(1-(1-EXP(-r_mi*dt))+EXP(LN(or_apx_mi)*D71)*(1-EXP(-r_mi*dt))),(1-EXP(-r_mi*dt)))</f>
        <v>0.00150338686144691</v>
      </c>
      <c r="R71" s="57" t="n">
        <f aca="false">(1-EXP(-r_tia*dt))</f>
        <v>0.0020060281549299</v>
      </c>
      <c r="S71" s="57" t="n">
        <f aca="false">(1-EXP(-r_minor*dt))</f>
        <v>0.0437937690785545</v>
      </c>
      <c r="T71" s="57" t="n">
        <f aca="false">M71*N71</f>
        <v>0.000621436434014848</v>
      </c>
      <c r="U71" s="57" t="n">
        <f aca="false">M71*O71</f>
        <v>0.000160590126526345</v>
      </c>
      <c r="V71" s="57" t="n">
        <f aca="false">M71*P71</f>
        <v>0.000668777623908413</v>
      </c>
      <c r="W71" s="57" t="n">
        <f aca="false">M71*Q71</f>
        <v>0.000120351793520187</v>
      </c>
      <c r="X71" s="57" t="n">
        <f aca="false">M71*R71</f>
        <v>0.000160590126526345</v>
      </c>
      <c r="Y71" s="57" t="n">
        <f aca="false">M71*S71</f>
        <v>0.00350585653551627</v>
      </c>
      <c r="Z71" s="57" t="n">
        <f aca="false">T71*f_stroke_fatal</f>
        <v>0.000147280434861519</v>
      </c>
      <c r="AA71" s="57" t="n">
        <f aca="false">T71*(1-f_stroke_fatal)*f_stroke_major</f>
        <v>0.000157893947718059</v>
      </c>
      <c r="AB71" s="57" t="n">
        <f aca="false">T71*(1-f_stroke_fatal)*(1-f_stroke_major)</f>
        <v>0.000316262051435271</v>
      </c>
      <c r="AC71" s="57" t="n">
        <f aca="false">U71*(1-f_bleed_fatal)</f>
        <v>0.000147100555898132</v>
      </c>
      <c r="AD71" s="57" t="n">
        <f aca="false">V71*(1-f_bleed_fatal)</f>
        <v>0.000612600303500107</v>
      </c>
      <c r="AE71" s="57" t="n">
        <f aca="false">W71*f_mi_fatal</f>
        <v>1.45625670159426E-005</v>
      </c>
      <c r="AF71" s="57" t="n">
        <f aca="false">W71-AE71</f>
        <v>0.000105789226504244</v>
      </c>
      <c r="AG71" s="57" t="n">
        <f aca="false">M71-T71-U71-V71-AE71</f>
        <v>0.0785884082325439</v>
      </c>
      <c r="AH71" s="19" t="n">
        <f aca="false">Z71*c_stroke_fatal+AA71*c_stroke_major+AB71*c_stroke_minor+U71*c_ich+V71*c_major_bleed+AE71*c_mi_fatal+AF71*c_mi_nonfatal+X71*c_tia+Y71*c_minor_bleed</f>
        <v>33.8642485583729</v>
      </c>
      <c r="AI71" s="57" t="n">
        <f aca="false">dt*(AF71*dec_mi+AD71*dec_major_bleed+Y71*dec_minor_bleed+X71*dec_tia)</f>
        <v>3.29249498072414E-005</v>
      </c>
      <c r="AJ71" s="57" t="n">
        <f aca="false">G71*L71+Z71+U71-AC71+V71-AD71+AE71</f>
        <v>0.00420180830388105</v>
      </c>
      <c r="AK71" s="57" t="n">
        <f aca="false">1-EXP(LN(1-E71)*hr_death_prior_stroke*dt)</f>
        <v>0.105357358985318</v>
      </c>
      <c r="AL71" s="57" t="n">
        <f aca="false">H71*(1-AK71)</f>
        <v>0.0139510226524729</v>
      </c>
      <c r="AM71" s="57" t="n">
        <f aca="false">(1-EXP(-r_stroke*F71*rr_stroke_prior*rr_asa_stroke*dt))</f>
        <v>0.0273921779197726</v>
      </c>
      <c r="AN71" s="57" t="n">
        <f aca="false">(1-EXP(-r_ich*rr_asa_ich*dt))</f>
        <v>0.00102357767802375</v>
      </c>
      <c r="AO71" s="57" t="n">
        <f aca="false">(1-EXP(-r_mb*rr_asa_mb*dt))</f>
        <v>0.00951809672747972</v>
      </c>
      <c r="AP71" s="57" t="n">
        <f aca="false">(1-EXP(-r_mi*rr_asa_mi*dt))</f>
        <v>0.00213413516393479</v>
      </c>
      <c r="AQ71" s="57" t="n">
        <f aca="false">(1-EXP(-r_tia*rr_asa_tia*dt))</f>
        <v>0.00312764565589152</v>
      </c>
      <c r="AR71" s="57" t="n">
        <f aca="false">(1-EXP(-r_minor*rr_asa_minor*dt))</f>
        <v>0.0278181950466747</v>
      </c>
      <c r="AS71" s="57" t="n">
        <f aca="false">AL71*AM71</f>
        <v>0.000382148894659315</v>
      </c>
      <c r="AT71" s="57" t="n">
        <f aca="false">AL71*AN71</f>
        <v>1.42799553726749E-005</v>
      </c>
      <c r="AU71" s="57" t="n">
        <f aca="false">AL71*AO71</f>
        <v>0.000132787183053498</v>
      </c>
      <c r="AV71" s="57" t="n">
        <f aca="false">AL71*AP71</f>
        <v>2.97733680154933E-005</v>
      </c>
      <c r="AW71" s="57" t="n">
        <f aca="false">AL71*AQ71</f>
        <v>4.36338553942511E-005</v>
      </c>
      <c r="AX71" s="57" t="n">
        <f aca="false">AL71*AR71</f>
        <v>0.000388092269247069</v>
      </c>
      <c r="AY71" s="57" t="n">
        <f aca="false">AS71*f_stroke_fatal_recur</f>
        <v>0.000142193782213785</v>
      </c>
      <c r="AZ71" s="57" t="n">
        <f aca="false">AS71*(1-f_stroke_fatal_recur)*f_stroke_major</f>
        <v>7.99050524443617E-005</v>
      </c>
      <c r="BA71" s="57" t="n">
        <f aca="false">AS71*(1-f_stroke_fatal_recur)*(1-f_stroke_major)</f>
        <v>0.000160050060001169</v>
      </c>
      <c r="BB71" s="57" t="n">
        <f aca="false">AT71*(1-f_bleed_fatal)</f>
        <v>1.30804391213702E-005</v>
      </c>
      <c r="BC71" s="57" t="n">
        <f aca="false">AU71*(1-f_bleed_fatal)</f>
        <v>0.000121633059677004</v>
      </c>
      <c r="BD71" s="57" t="n">
        <f aca="false">AV71*f_mi_fatal</f>
        <v>3.60257752987469E-006</v>
      </c>
      <c r="BE71" s="57" t="n">
        <f aca="false">AV71-BD71</f>
        <v>2.61707904856186E-005</v>
      </c>
      <c r="BF71" s="57" t="n">
        <f aca="false">AL71-AS71-AT71-AU71-BD71</f>
        <v>0.0134182040418576</v>
      </c>
      <c r="BG71" s="19" t="n">
        <f aca="false">AY71*c_stroke_fatal+AZ71*c_stroke_major+BA71*c_stroke_minor+AT71*c_ich+AU71*c_major_bleed+BD71*c_mi_fatal+BE71*c_mi_nonfatal+AW71*c_tia+AX71*c_minor_bleed</f>
        <v>15.0549068283959</v>
      </c>
      <c r="BH71" s="57" t="n">
        <f aca="false">dt*(BE71*dec_mi+BC71*dec_major_bleed+AX71*dec_minor_bleed+AW71*dec_tia)</f>
        <v>6.00026922670161E-006</v>
      </c>
      <c r="BI71" s="57" t="n">
        <f aca="false">H71*AK71+AY71+AT71-BB71+AU71-BC71+BD71</f>
        <v>0.00180108856995181</v>
      </c>
      <c r="BJ71" s="57" t="n">
        <f aca="false">1-EXP(LN(1-E71)*hr_death_prior_stroke*dt)</f>
        <v>0.105357358985318</v>
      </c>
      <c r="BK71" s="57" t="n">
        <f aca="false">I71*(1-BJ71)</f>
        <v>0.00670552293871413</v>
      </c>
      <c r="BL71" s="57" t="n">
        <f aca="false">(1-EXP(-r_stroke*F71*rr_stroke_prior*rr_asa_stroke*dt))</f>
        <v>0.0273921779197726</v>
      </c>
      <c r="BM71" s="57" t="n">
        <f aca="false">(1-EXP(-r_ich*rr_asa_ich*dt))</f>
        <v>0.00102357767802375</v>
      </c>
      <c r="BN71" s="57" t="n">
        <f aca="false">(1-EXP(-r_mb*rr_asa_mb*dt))</f>
        <v>0.00951809672747972</v>
      </c>
      <c r="BO71" s="57" t="n">
        <f aca="false">(1-EXP(-r_mi*rr_asa_mi*dt))</f>
        <v>0.00213413516393479</v>
      </c>
      <c r="BP71" s="57" t="n">
        <f aca="false">(1-EXP(-r_tia*rr_asa_tia*dt))</f>
        <v>0.00312764565589152</v>
      </c>
      <c r="BQ71" s="57" t="n">
        <f aca="false">(1-EXP(-r_minor*rr_asa_minor*dt))</f>
        <v>0.0278181950466747</v>
      </c>
      <c r="BR71" s="57" t="n">
        <f aca="false">BK71*BL71</f>
        <v>0.000183678877382374</v>
      </c>
      <c r="BS71" s="57" t="n">
        <f aca="false">BK71*BM71</f>
        <v>6.86362359954398E-006</v>
      </c>
      <c r="BT71" s="57" t="n">
        <f aca="false">BK71*BN71</f>
        <v>6.38238159390152E-005</v>
      </c>
      <c r="BU71" s="57" t="n">
        <f aca="false">BK71*BO71</f>
        <v>1.43104922960812E-005</v>
      </c>
      <c r="BV71" s="57" t="n">
        <f aca="false">BK71*BP71</f>
        <v>2.09724996897502E-005</v>
      </c>
      <c r="BW71" s="57" t="n">
        <f aca="false">BK71*BQ71</f>
        <v>0.000186535544999101</v>
      </c>
      <c r="BX71" s="57" t="n">
        <f aca="false">BR71*f_stroke_fatal_recur</f>
        <v>6.83450734852074E-005</v>
      </c>
      <c r="BY71" s="57" t="n">
        <f aca="false">BR71*(1-f_stroke_fatal_recur)*f_stroke_major</f>
        <v>3.84061566977564E-005</v>
      </c>
      <c r="BZ71" s="57" t="n">
        <f aca="false">BR71*(1-f_stroke_fatal_recur)*(1-f_stroke_major)</f>
        <v>7.69276471994099E-005</v>
      </c>
      <c r="CA71" s="57" t="n">
        <f aca="false">BS71*(1-f_bleed_fatal)</f>
        <v>6.28707921718228E-006</v>
      </c>
      <c r="CB71" s="57" t="n">
        <f aca="false">BT71*(1-f_bleed_fatal)</f>
        <v>5.84626154001379E-005</v>
      </c>
      <c r="CC71" s="57" t="n">
        <f aca="false">BU71*f_mi_fatal</f>
        <v>1.73156956782582E-006</v>
      </c>
      <c r="CD71" s="57" t="n">
        <f aca="false">BU71-CC71</f>
        <v>1.25789227282554E-005</v>
      </c>
      <c r="CE71" s="57" t="n">
        <f aca="false">BK71-BR71-BS71-BT71-CC71</f>
        <v>0.00644942505222537</v>
      </c>
      <c r="CF71" s="19" t="n">
        <f aca="false">BX71*c_stroke_fatal+BY71*c_stroke_major+BZ71*c_stroke_minor+BS71*c_ich+BT71*c_major_bleed+CC71*c_mi_fatal+CD71*c_mi_nonfatal+BV71*c_tia+BW71*c_minor_bleed</f>
        <v>7.23610201149796</v>
      </c>
      <c r="CG71" s="57" t="n">
        <f aca="false">dt*(CD71*dec_mi+CB71*dec_major_bleed+BW71*dec_minor_bleed+BV71*dec_tia)</f>
        <v>2.8840138777193E-006</v>
      </c>
      <c r="CH71" s="57" t="n">
        <f aca="false">I71*BJ71+BX71+BS71-CA71+BT71-CB71+CC71</f>
        <v>0.000865688560711134</v>
      </c>
      <c r="CI71" s="57" t="n">
        <f aca="false">1-EXP(LN(1-E71)*dt)</f>
        <v>0.0472519154398011</v>
      </c>
      <c r="CJ71" s="57" t="n">
        <f aca="false">J71*(1-CI71)</f>
        <v>0.047175988495498</v>
      </c>
      <c r="CK71" s="57" t="n">
        <f aca="false">(1-EXP(-r_stroke*F71*rr_asa_stroke*dt))</f>
        <v>0.0125453421520451</v>
      </c>
      <c r="CL71" s="57" t="n">
        <f aca="false">(1-EXP(-r_ich*rr_asa_ich*dt))</f>
        <v>0.00102357767802375</v>
      </c>
      <c r="CM71" s="57" t="n">
        <f aca="false">(1-EXP(-r_mb*rr_asa_mb*dt))</f>
        <v>0.00951809672747972</v>
      </c>
      <c r="CN71" s="57" t="n">
        <f aca="false">(1-EXP(-r_mi*rr_asa_mi*dt))</f>
        <v>0.00213413516393479</v>
      </c>
      <c r="CO71" s="57" t="n">
        <f aca="false">(1-EXP(-r_tia*rr_asa_tia*dt))</f>
        <v>0.00312764565589152</v>
      </c>
      <c r="CP71" s="57" t="n">
        <f aca="false">(1-EXP(-r_minor*rr_asa_minor*dt))</f>
        <v>0.0278181950466747</v>
      </c>
      <c r="CQ71" s="57" t="n">
        <f aca="false">CJ71*CK71</f>
        <v>0.000591838917036963</v>
      </c>
      <c r="CR71" s="57" t="n">
        <f aca="false">CJ71*CL71</f>
        <v>4.82882887626968E-005</v>
      </c>
      <c r="CS71" s="57" t="n">
        <f aca="false">CJ71*CM71</f>
        <v>0.00044902562171462</v>
      </c>
      <c r="CT71" s="57" t="n">
        <f aca="false">CJ71*CN71</f>
        <v>0.000100679935941625</v>
      </c>
      <c r="CU71" s="57" t="n">
        <f aca="false">CJ71*CO71</f>
        <v>0.000147549775480333</v>
      </c>
      <c r="CV71" s="57" t="n">
        <f aca="false">CJ71*CP71</f>
        <v>0.00131235084948744</v>
      </c>
      <c r="CW71" s="57" t="n">
        <f aca="false">CQ71*f_stroke_fatal</f>
        <v>0.00014026582333776</v>
      </c>
      <c r="CX71" s="57" t="n">
        <f aca="false">CQ71*(1-f_stroke_fatal)*f_stroke_major</f>
        <v>0.000150373840201835</v>
      </c>
      <c r="CY71" s="57" t="n">
        <f aca="false">CQ71*(1-f_stroke_fatal)*(1-f_stroke_major)</f>
        <v>0.000301199253497369</v>
      </c>
      <c r="CZ71" s="57" t="n">
        <f aca="false">CR71*(1-f_bleed_fatal)</f>
        <v>4.42320725066302E-005</v>
      </c>
      <c r="DA71" s="57" t="n">
        <f aca="false">CS71*(1-f_bleed_fatal)</f>
        <v>0.000411307469490592</v>
      </c>
      <c r="DB71" s="57" t="n">
        <f aca="false">CT71*f_mi_fatal</f>
        <v>1.21822722489367E-005</v>
      </c>
      <c r="DC71" s="57" t="n">
        <f aca="false">CT71-DB71</f>
        <v>8.84976636926887E-005</v>
      </c>
      <c r="DD71" s="57" t="n">
        <f aca="false">CJ71-CQ71-CR71-CS71-DB71</f>
        <v>0.0460746533957348</v>
      </c>
      <c r="DE71" s="19" t="n">
        <f aca="false">CW71*c_stroke_fatal+CX71*c_stroke_major+CY71*c_stroke_minor+CR71*c_ich+CS71*c_major_bleed+DB71*c_mi_fatal+DC71*c_mi_nonfatal+CU71*c_tia+CV71*c_minor_bleed</f>
        <v>28.2196821482962</v>
      </c>
      <c r="DF71" s="57" t="n">
        <f aca="false">dt*(DC71*dec_mi+DA71*dec_major_bleed+CV71*dec_minor_bleed+CU71*dec_tia)</f>
        <v>2.02901707681329E-005</v>
      </c>
      <c r="DG71" s="57" t="n">
        <f aca="false">J71*CI71+CW71+CR71-CZ71+CS71-DA71+DB71</f>
        <v>0.00253393414158468</v>
      </c>
      <c r="DH71" s="57" t="n">
        <f aca="false">AG71</f>
        <v>0.0785884082325439</v>
      </c>
      <c r="DI71" s="57" t="n">
        <f aca="false">AB71+AC71+BF71+BA71+BB71+BC71+CY71+CZ71</f>
        <v>0.0145217615339945</v>
      </c>
      <c r="DJ71" s="57" t="n">
        <f aca="false">AA71+AZ71+BY71+CX71+CE71+BZ71+CA71+CB71</f>
        <v>0.00701768139110412</v>
      </c>
      <c r="DK71" s="57" t="n">
        <f aca="false">AD71+DD71+DA71</f>
        <v>0.0470985611687255</v>
      </c>
      <c r="DL71" s="57" t="n">
        <f aca="false">K71+AJ71+BI71+CH71+DG71</f>
        <v>0.852773587673633</v>
      </c>
      <c r="DM71" s="58" t="n">
        <f aca="false">SUM(DH71:DL71)</f>
        <v>1</v>
      </c>
      <c r="DN71" s="19" t="n">
        <f aca="false">dt*(G71*Warfarin!$H$2+(H71+I71+J71)*c_aspirin)</f>
        <v>8.77974132171039</v>
      </c>
      <c r="DO71" s="19" t="n">
        <f aca="false">dt*(H71*c_lt_minor_stroke+I71*c_lt_major_stroke)</f>
        <v>91.0891733488888</v>
      </c>
      <c r="DP71" s="19" t="n">
        <f aca="false">AH71+BG71+CF71+DE71</f>
        <v>84.374939546563</v>
      </c>
      <c r="DQ71" s="19" t="n">
        <f aca="false">DN71+DO71+DP71</f>
        <v>184.243854217162</v>
      </c>
      <c r="DR71" s="57" t="n">
        <f aca="false">dt*(G71*(u_af-dec_per_year_over_70*MAX(B71-ref_age,0))+H71*(u_minor_stroke-dec_per_year_over_70*MAX(B71-ref_age,0))+I71*(u_major_stroke-dec_per_year_over_70*MAX(B71-ref_age,0))+J71*(u_af-dec_per_year_over_70*MAX(B71-ref_age,0)))-AI71-BH71-CG71-DF71</f>
        <v>0.0303422696525807</v>
      </c>
      <c r="DS71" s="57" t="n">
        <f aca="false">dt*(G71+H71+I71+J71)</f>
        <v>0.0391572329756242</v>
      </c>
      <c r="DT71" s="19" t="n">
        <f aca="false">DQ71*C71</f>
        <v>144.650461491238</v>
      </c>
      <c r="DU71" s="19" t="n">
        <f aca="false">DN71*C71</f>
        <v>6.893004053542</v>
      </c>
      <c r="DV71" s="19" t="n">
        <f aca="false">DP71*C71</f>
        <v>66.2430450967453</v>
      </c>
      <c r="DW71" s="19" t="n">
        <f aca="false">DO71*C71</f>
        <v>71.5144123409507</v>
      </c>
      <c r="DX71" s="57" t="n">
        <f aca="false">DR71*C71</f>
        <v>0.0238218166168201</v>
      </c>
      <c r="DY71" s="57" t="n">
        <f aca="false">DS71*C71</f>
        <v>0.0307424735805182</v>
      </c>
      <c r="DZ71" s="57" t="n">
        <f aca="false">T71+AS71+BR71+CQ71</f>
        <v>0.0017791031230935</v>
      </c>
      <c r="EA71" s="57" t="n">
        <f aca="false">U71+AT71+BS71+CR71</f>
        <v>0.000230021994261261</v>
      </c>
      <c r="EB71" s="57" t="n">
        <f aca="false">V71+AU71+BT71+CS71</f>
        <v>0.00131441424461555</v>
      </c>
      <c r="EC71" s="57" t="n">
        <f aca="false">G71*dt*C71</f>
        <v>0.0164918947291335</v>
      </c>
    </row>
    <row r="72" customFormat="false" ht="15" hidden="false" customHeight="false" outlineLevel="0" collapsed="false">
      <c r="A72" s="8" t="n">
        <v>66</v>
      </c>
      <c r="B72" s="54" t="n">
        <f aca="false">start_age+A72*dt</f>
        <v>86.5</v>
      </c>
      <c r="C72" s="16" t="n">
        <f aca="false">(1+disc_rate)^-(A72*dt)</f>
        <v>0.782186476280834</v>
      </c>
      <c r="D72" s="55" t="n">
        <f aca="false">IF(A72*dt&gt;=wane_start,(1-wane_decay)^(A72*dt-wane_start),1)</f>
        <v>1</v>
      </c>
      <c r="E72" s="25" t="n">
        <f aca="false">MIN(p_nonvasc_death*MIN(EXP(gomp_int+gomp_slope*INT(B72)),1)/qx_ref,0.999)</f>
        <v>0.176028221169879</v>
      </c>
      <c r="F72" s="55" t="n">
        <f aca="false">rr_stroke_per_decade^((B72-ref_age)/10)</f>
        <v>1.95231808555033</v>
      </c>
      <c r="G72" s="57" t="n">
        <f aca="false">DH71</f>
        <v>0.0785884082325439</v>
      </c>
      <c r="H72" s="57" t="n">
        <f aca="false">DI71</f>
        <v>0.0145217615339945</v>
      </c>
      <c r="I72" s="57" t="n">
        <f aca="false">DJ71</f>
        <v>0.00701768139110412</v>
      </c>
      <c r="J72" s="57" t="n">
        <f aca="false">DK71</f>
        <v>0.0470985611687255</v>
      </c>
      <c r="K72" s="57" t="n">
        <f aca="false">DL71</f>
        <v>0.852773587673633</v>
      </c>
      <c r="L72" s="57" t="n">
        <f aca="false">1-EXP(LN(1-E72)*dt)</f>
        <v>0.0472519154398011</v>
      </c>
      <c r="M72" s="57" t="n">
        <f aca="false">G72*(1-L72)</f>
        <v>0.0748749554121911</v>
      </c>
      <c r="N72" s="57" t="n">
        <f aca="false">IF(Warfarin!$B$2=1,EXP(LN(or_apx_stroke)*D72)*(1-EXP(-r_stroke*F72*dt))/(1-(1-EXP(-r_stroke*F72*dt))+EXP(LN(or_apx_stroke)*D72)*(1-EXP(-r_stroke*F72*dt))),(1-EXP(-r_stroke*F72*dt)))</f>
        <v>0.00784151466209448</v>
      </c>
      <c r="O72" s="57" t="n">
        <f aca="false">IF(Warfarin!$B$2=1,EXP(LN(or_apx_ich)*D72)*(1-EXP(-r_ich*dt))/(1-(1-EXP(-r_ich*dt))+EXP(LN(or_apx_ich)*D72)*(1-EXP(-r_ich*dt))),(1-EXP(-r_ich*dt)))</f>
        <v>0.0020060281549299</v>
      </c>
      <c r="P72" s="57" t="n">
        <f aca="false">IF(Warfarin!$B$2=1,EXP(LN(or_apx_mb)*D72)*(1-EXP(-r_mb*dt))/(1-(1-EXP(-r_mb*dt))+EXP(LN(or_apx_mb)*D72)*(1-EXP(-r_mb*dt))),(1-EXP(-r_mb*dt)))</f>
        <v>0.00835410477572107</v>
      </c>
      <c r="Q72" s="57" t="n">
        <f aca="false">IF(Warfarin!$B$2=1,EXP(LN(or_apx_mi)*D72)*(1-EXP(-r_mi*dt))/(1-(1-EXP(-r_mi*dt))+EXP(LN(or_apx_mi)*D72)*(1-EXP(-r_mi*dt))),(1-EXP(-r_mi*dt)))</f>
        <v>0.00150338686144691</v>
      </c>
      <c r="R72" s="57" t="n">
        <f aca="false">(1-EXP(-r_tia*dt))</f>
        <v>0.0020060281549299</v>
      </c>
      <c r="S72" s="57" t="n">
        <f aca="false">(1-EXP(-r_minor*dt))</f>
        <v>0.0437937690785545</v>
      </c>
      <c r="T72" s="57" t="n">
        <f aca="false">M72*N72</f>
        <v>0.000587133060688368</v>
      </c>
      <c r="U72" s="57" t="n">
        <f aca="false">M72*O72</f>
        <v>0.000150201268655976</v>
      </c>
      <c r="V72" s="57" t="n">
        <f aca="false">M72*P72</f>
        <v>0.000625513222590888</v>
      </c>
      <c r="W72" s="57" t="n">
        <f aca="false">M72*Q72</f>
        <v>0.000112566024218111</v>
      </c>
      <c r="X72" s="57" t="n">
        <f aca="false">M72*R72</f>
        <v>0.000150201268655976</v>
      </c>
      <c r="Y72" s="57" t="n">
        <f aca="false">M72*S72</f>
        <v>0.00327905650708856</v>
      </c>
      <c r="Z72" s="57" t="n">
        <f aca="false">T72*f_stroke_fatal</f>
        <v>0.000139150535383143</v>
      </c>
      <c r="AA72" s="57" t="n">
        <f aca="false">T72*(1-f_stroke_fatal)*f_stroke_major</f>
        <v>0.00014917818092664</v>
      </c>
      <c r="AB72" s="57" t="n">
        <f aca="false">T72*(1-f_stroke_fatal)*(1-f_stroke_major)</f>
        <v>0.000298804344378585</v>
      </c>
      <c r="AC72" s="57" t="n">
        <f aca="false">U72*(1-f_bleed_fatal)</f>
        <v>0.000137584362088874</v>
      </c>
      <c r="AD72" s="57" t="n">
        <f aca="false">V72*(1-f_bleed_fatal)</f>
        <v>0.000572970111893254</v>
      </c>
      <c r="AE72" s="57" t="n">
        <f aca="false">W72*f_mi_fatal</f>
        <v>1.36204889303915E-005</v>
      </c>
      <c r="AF72" s="57" t="n">
        <f aca="false">W72-AE72</f>
        <v>9.89455352877198E-005</v>
      </c>
      <c r="AG72" s="57" t="n">
        <f aca="false">M72-T72-U72-V72-AE72</f>
        <v>0.0734984873713255</v>
      </c>
      <c r="AH72" s="19" t="n">
        <f aca="false">Z72*c_stroke_fatal+AA72*c_stroke_major+AB72*c_stroke_minor+U72*c_ich+V72*c_major_bleed+AE72*c_mi_fatal+AF72*c_mi_nonfatal+X72*c_tia+Y72*c_minor_bleed</f>
        <v>31.8914442279001</v>
      </c>
      <c r="AI72" s="57" t="n">
        <f aca="false">dt*(AF72*dec_mi+AD72*dec_major_bleed+Y72*dec_minor_bleed+X72*dec_tia)</f>
        <v>3.07949768672153E-005</v>
      </c>
      <c r="AJ72" s="57" t="n">
        <f aca="false">G72*L72+Z72+U72-AC72+V72-AD72+AE72</f>
        <v>0.003931383861931</v>
      </c>
      <c r="AK72" s="57" t="n">
        <f aca="false">1-EXP(LN(1-E72)*hr_death_prior_stroke*dt)</f>
        <v>0.105357358985318</v>
      </c>
      <c r="AL72" s="57" t="n">
        <f aca="false">H72*(1-AK72)</f>
        <v>0.0129917870909583</v>
      </c>
      <c r="AM72" s="57" t="n">
        <f aca="false">(1-EXP(-r_stroke*F72*rr_stroke_prior*rr_asa_stroke*dt))</f>
        <v>0.027667357709978</v>
      </c>
      <c r="AN72" s="57" t="n">
        <f aca="false">(1-EXP(-r_ich*rr_asa_ich*dt))</f>
        <v>0.00102357767802375</v>
      </c>
      <c r="AO72" s="57" t="n">
        <f aca="false">(1-EXP(-r_mb*rr_asa_mb*dt))</f>
        <v>0.00951809672747972</v>
      </c>
      <c r="AP72" s="57" t="n">
        <f aca="false">(1-EXP(-r_mi*rr_asa_mi*dt))</f>
        <v>0.00213413516393479</v>
      </c>
      <c r="AQ72" s="57" t="n">
        <f aca="false">(1-EXP(-r_tia*rr_asa_tia*dt))</f>
        <v>0.00312764565589152</v>
      </c>
      <c r="AR72" s="57" t="n">
        <f aca="false">(1-EXP(-r_minor*rr_asa_minor*dt))</f>
        <v>0.0278181950466747</v>
      </c>
      <c r="AS72" s="57" t="n">
        <f aca="false">AL72*AM72</f>
        <v>0.000359448420737416</v>
      </c>
      <c r="AT72" s="57" t="n">
        <f aca="false">AL72*AN72</f>
        <v>1.32981032639419E-005</v>
      </c>
      <c r="AU72" s="57" t="n">
        <f aca="false">AL72*AO72</f>
        <v>0.000123657086194563</v>
      </c>
      <c r="AV72" s="57" t="n">
        <f aca="false">AL72*AP72</f>
        <v>2.77262296731681E-005</v>
      </c>
      <c r="AW72" s="57" t="n">
        <f aca="false">AL72*AQ72</f>
        <v>4.06337064573031E-005</v>
      </c>
      <c r="AX72" s="57" t="n">
        <f aca="false">AL72*AR72</f>
        <v>0.000361408067301147</v>
      </c>
      <c r="AY72" s="57" t="n">
        <f aca="false">AS72*f_stroke_fatal_recur</f>
        <v>0.000133747162872185</v>
      </c>
      <c r="AZ72" s="57" t="n">
        <f aca="false">AS72*(1-f_stroke_fatal_recur)*f_stroke_major</f>
        <v>7.51585188691219E-005</v>
      </c>
      <c r="BA72" s="57" t="n">
        <f aca="false">AS72*(1-f_stroke_fatal_recur)*(1-f_stroke_major)</f>
        <v>0.000150542738996109</v>
      </c>
      <c r="BB72" s="57" t="n">
        <f aca="false">AT72*(1-f_bleed_fatal)</f>
        <v>1.21810625897708E-005</v>
      </c>
      <c r="BC72" s="57" t="n">
        <f aca="false">AU72*(1-f_bleed_fatal)</f>
        <v>0.00011326989095422</v>
      </c>
      <c r="BD72" s="57" t="n">
        <f aca="false">AV72*f_mi_fatal</f>
        <v>3.35487379045334E-006</v>
      </c>
      <c r="BE72" s="57" t="n">
        <f aca="false">AV72-BD72</f>
        <v>2.43713558827148E-005</v>
      </c>
      <c r="BF72" s="57" t="n">
        <f aca="false">AL72-AS72-AT72-AU72-BD72</f>
        <v>0.0124920286069719</v>
      </c>
      <c r="BG72" s="19" t="n">
        <f aca="false">AY72*c_stroke_fatal+AZ72*c_stroke_major+BA72*c_stroke_minor+AT72*c_ich+AU72*c_major_bleed+BD72*c_mi_fatal+BE72*c_mi_nonfatal+AW72*c_tia+AX72*c_minor_bleed</f>
        <v>14.1430378221303</v>
      </c>
      <c r="BH72" s="57" t="n">
        <f aca="false">dt*(BE72*dec_mi+BC72*dec_major_bleed+AX72*dec_minor_bleed+AW72*dec_tia)</f>
        <v>5.58770652328618E-006</v>
      </c>
      <c r="BI72" s="57" t="n">
        <f aca="false">H72*AK72+AY72+AT72-BB72+AU72-BC72+BD72</f>
        <v>0.00167858071561339</v>
      </c>
      <c r="BJ72" s="57" t="n">
        <f aca="false">1-EXP(LN(1-E72)*hr_death_prior_stroke*dt)</f>
        <v>0.105357358985318</v>
      </c>
      <c r="BK72" s="57" t="n">
        <f aca="false">I72*(1-BJ72)</f>
        <v>0.00627831701353697</v>
      </c>
      <c r="BL72" s="57" t="n">
        <f aca="false">(1-EXP(-r_stroke*F72*rr_stroke_prior*rr_asa_stroke*dt))</f>
        <v>0.027667357709978</v>
      </c>
      <c r="BM72" s="57" t="n">
        <f aca="false">(1-EXP(-r_ich*rr_asa_ich*dt))</f>
        <v>0.00102357767802375</v>
      </c>
      <c r="BN72" s="57" t="n">
        <f aca="false">(1-EXP(-r_mb*rr_asa_mb*dt))</f>
        <v>0.00951809672747972</v>
      </c>
      <c r="BO72" s="57" t="n">
        <f aca="false">(1-EXP(-r_mi*rr_asa_mi*dt))</f>
        <v>0.00213413516393479</v>
      </c>
      <c r="BP72" s="57" t="n">
        <f aca="false">(1-EXP(-r_tia*rr_asa_tia*dt))</f>
        <v>0.00312764565589152</v>
      </c>
      <c r="BQ72" s="57" t="n">
        <f aca="false">(1-EXP(-r_minor*rr_asa_minor*dt))</f>
        <v>0.0278181950466747</v>
      </c>
      <c r="BR72" s="57" t="n">
        <f aca="false">BK72*BL72</f>
        <v>0.000173704442630168</v>
      </c>
      <c r="BS72" s="57" t="n">
        <f aca="false">BK72*BM72</f>
        <v>6.42634515061315E-006</v>
      </c>
      <c r="BT72" s="57" t="n">
        <f aca="false">BK72*BN72</f>
        <v>5.97576286206265E-005</v>
      </c>
      <c r="BU72" s="57" t="n">
        <f aca="false">BK72*BO72</f>
        <v>1.33987771089193E-005</v>
      </c>
      <c r="BV72" s="57" t="n">
        <f aca="false">BK72*BP72</f>
        <v>1.96363509336987E-005</v>
      </c>
      <c r="BW72" s="57" t="n">
        <f aca="false">BK72*BQ72</f>
        <v>0.000174651447247428</v>
      </c>
      <c r="BX72" s="57" t="n">
        <f aca="false">BR72*f_stroke_fatal_recur</f>
        <v>6.46336860582592E-005</v>
      </c>
      <c r="BY72" s="57" t="n">
        <f aca="false">BR72*(1-f_stroke_fatal_recur)*f_stroke_major</f>
        <v>3.63205619384456E-005</v>
      </c>
      <c r="BZ72" s="57" t="n">
        <f aca="false">BR72*(1-f_stroke_fatal_recur)*(1-f_stroke_major)</f>
        <v>7.27501946334632E-005</v>
      </c>
      <c r="CA72" s="57" t="n">
        <f aca="false">BS72*(1-f_bleed_fatal)</f>
        <v>5.88653215796165E-006</v>
      </c>
      <c r="CB72" s="57" t="n">
        <f aca="false">BT72*(1-f_bleed_fatal)</f>
        <v>5.47379878164939E-005</v>
      </c>
      <c r="CC72" s="57" t="n">
        <f aca="false">BU72*f_mi_fatal</f>
        <v>1.62125203017924E-006</v>
      </c>
      <c r="CD72" s="57" t="n">
        <f aca="false">BU72-CC72</f>
        <v>1.17775250787401E-005</v>
      </c>
      <c r="CE72" s="57" t="n">
        <f aca="false">BK72-BR72-BS72-BT72-CC72</f>
        <v>0.00603680734510539</v>
      </c>
      <c r="CF72" s="19" t="n">
        <f aca="false">BX72*c_stroke_fatal+BY72*c_stroke_major+BZ72*c_stroke_minor+BS72*c_ich+BT72*c_major_bleed+CC72*c_mi_fatal+CD72*c_mi_nonfatal+BV72*c_tia+BW72*c_minor_bleed</f>
        <v>6.8346621107711</v>
      </c>
      <c r="CG72" s="57" t="n">
        <f aca="false">dt*(CD72*dec_mi+CB72*dec_major_bleed+BW72*dec_minor_bleed+BV72*dec_tia)</f>
        <v>2.70027461858687E-006</v>
      </c>
      <c r="CH72" s="57" t="n">
        <f aca="false">I72*BJ72+BX72+BS72-CA72+BT72-CB72+CC72</f>
        <v>0.000811178769452365</v>
      </c>
      <c r="CI72" s="57" t="n">
        <f aca="false">1-EXP(LN(1-E72)*dt)</f>
        <v>0.0472519154398011</v>
      </c>
      <c r="CJ72" s="57" t="n">
        <f aca="false">J72*(1-CI72)</f>
        <v>0.0448730639390445</v>
      </c>
      <c r="CK72" s="57" t="n">
        <f aca="false">(1-EXP(-r_stroke*F72*rr_asa_stroke*dt))</f>
        <v>0.012672343044856</v>
      </c>
      <c r="CL72" s="57" t="n">
        <f aca="false">(1-EXP(-r_ich*rr_asa_ich*dt))</f>
        <v>0.00102357767802375</v>
      </c>
      <c r="CM72" s="57" t="n">
        <f aca="false">(1-EXP(-r_mb*rr_asa_mb*dt))</f>
        <v>0.00951809672747972</v>
      </c>
      <c r="CN72" s="57" t="n">
        <f aca="false">(1-EXP(-r_mi*rr_asa_mi*dt))</f>
        <v>0.00213413516393479</v>
      </c>
      <c r="CO72" s="57" t="n">
        <f aca="false">(1-EXP(-r_tia*rr_asa_tia*dt))</f>
        <v>0.00312764565589152</v>
      </c>
      <c r="CP72" s="57" t="n">
        <f aca="false">(1-EXP(-r_minor*rr_asa_minor*dt))</f>
        <v>0.0278181950466747</v>
      </c>
      <c r="CQ72" s="57" t="n">
        <f aca="false">CJ72*CK72</f>
        <v>0.000568646859709329</v>
      </c>
      <c r="CR72" s="57" t="n">
        <f aca="false">CJ72*CL72</f>
        <v>4.59310665925383E-005</v>
      </c>
      <c r="CS72" s="57" t="n">
        <f aca="false">CJ72*CM72</f>
        <v>0.000427106163030208</v>
      </c>
      <c r="CT72" s="57" t="n">
        <f aca="false">CJ72*CN72</f>
        <v>9.57651836658092E-005</v>
      </c>
      <c r="CU72" s="57" t="n">
        <f aca="false">CJ72*CO72</f>
        <v>0.000140347043495495</v>
      </c>
      <c r="CV72" s="57" t="n">
        <f aca="false">CJ72*CP72</f>
        <v>0.00124828764499825</v>
      </c>
      <c r="CW72" s="57" t="n">
        <f aca="false">CQ72*f_stroke_fatal</f>
        <v>0.000134769305751111</v>
      </c>
      <c r="CX72" s="57" t="n">
        <f aca="false">CQ72*(1-f_stroke_fatal)*f_stroke_major</f>
        <v>0.000144481225468087</v>
      </c>
      <c r="CY72" s="57" t="n">
        <f aca="false">CQ72*(1-f_stroke_fatal)*(1-f_stroke_major)</f>
        <v>0.000289396328490131</v>
      </c>
      <c r="CZ72" s="57" t="n">
        <f aca="false">CR72*(1-f_bleed_fatal)</f>
        <v>4.20728569987651E-005</v>
      </c>
      <c r="DA72" s="57" t="n">
        <f aca="false">CS72*(1-f_bleed_fatal)</f>
        <v>0.000391229245335671</v>
      </c>
      <c r="DB72" s="57" t="n">
        <f aca="false">CT72*f_mi_fatal</f>
        <v>1.15875872235629E-005</v>
      </c>
      <c r="DC72" s="57" t="n">
        <f aca="false">CT72-DB72</f>
        <v>8.41775964422463E-005</v>
      </c>
      <c r="DD72" s="57" t="n">
        <f aca="false">CJ72-CQ72-CR72-CS72-DB72</f>
        <v>0.0438197922624889</v>
      </c>
      <c r="DE72" s="19" t="n">
        <f aca="false">CW72*c_stroke_fatal+CX72*c_stroke_major+CY72*c_stroke_minor+CR72*c_ich+CS72*c_major_bleed+DB72*c_mi_fatal+DC72*c_mi_nonfatal+CU72*c_tia+CV72*c_minor_bleed</f>
        <v>27.0526827717852</v>
      </c>
      <c r="DF72" s="57" t="n">
        <f aca="false">dt*(DC72*dec_mi+DA72*dec_major_bleed+CV72*dec_minor_bleed+CU72*dec_tia)</f>
        <v>1.92996937477939E-005</v>
      </c>
      <c r="DG72" s="57" t="n">
        <f aca="false">J72*CI72+CW72+CR72-CZ72+CS72-DA72+DB72</f>
        <v>0.0024115892499439</v>
      </c>
      <c r="DH72" s="57" t="n">
        <f aca="false">AG72</f>
        <v>0.0734984873713255</v>
      </c>
      <c r="DI72" s="57" t="n">
        <f aca="false">AB72+AC72+BF72+BA72+BB72+BC72+CY72+CZ72</f>
        <v>0.0135358801914683</v>
      </c>
      <c r="DJ72" s="57" t="n">
        <f aca="false">AA72+AZ72+BY72+CX72+CE72+BZ72+CA72+CB72</f>
        <v>0.0065753205469156</v>
      </c>
      <c r="DK72" s="57" t="n">
        <f aca="false">AD72+DD72+DA72</f>
        <v>0.0447839916197178</v>
      </c>
      <c r="DL72" s="57" t="n">
        <f aca="false">K72+AJ72+BI72+CH72+DG72</f>
        <v>0.861606320270573</v>
      </c>
      <c r="DM72" s="58" t="n">
        <f aca="false">SUM(DH72:DL72)</f>
        <v>1</v>
      </c>
      <c r="DN72" s="19" t="n">
        <f aca="false">dt*(G72*Warfarin!$H$2+(H72+I72+J72)*c_aspirin)</f>
        <v>8.21889000301696</v>
      </c>
      <c r="DO72" s="19" t="n">
        <f aca="false">dt*(H72*c_lt_minor_stroke+I72*c_lt_major_stroke)</f>
        <v>85.0731277403732</v>
      </c>
      <c r="DP72" s="19" t="n">
        <f aca="false">AH72+BG72+CF72+DE72</f>
        <v>79.9218269325867</v>
      </c>
      <c r="DQ72" s="19" t="n">
        <f aca="false">DN72+DO72+DP72</f>
        <v>173.213844675977</v>
      </c>
      <c r="DR72" s="57" t="n">
        <f aca="false">dt*(G72*(u_af-dec_per_year_over_70*MAX(B72-ref_age,0))+H72*(u_minor_stroke-dec_per_year_over_70*MAX(B72-ref_age,0))+I72*(u_major_stroke-dec_per_year_over_70*MAX(B72-ref_age,0))+J72*(u_af-dec_per_year_over_70*MAX(B72-ref_age,0)))-AI72-BH72-CG72-DF72</f>
        <v>0.028523459551549</v>
      </c>
      <c r="DS72" s="57" t="n">
        <f aca="false">dt*(G72+H72+I72+J72)</f>
        <v>0.036806603081592</v>
      </c>
      <c r="DT72" s="19" t="n">
        <f aca="false">DQ72*C72</f>
        <v>135.485526810158</v>
      </c>
      <c r="DU72" s="19" t="n">
        <f aca="false">DN72*C72</f>
        <v>6.42870461039961</v>
      </c>
      <c r="DV72" s="19" t="n">
        <f aca="false">DP72*C72</f>
        <v>62.5137721863267</v>
      </c>
      <c r="DW72" s="19" t="n">
        <f aca="false">DO72*C72</f>
        <v>66.5430500134318</v>
      </c>
      <c r="DX72" s="57" t="n">
        <f aca="false">DR72*C72</f>
        <v>0.022310664317965</v>
      </c>
      <c r="DY72" s="57" t="n">
        <f aca="false">DS72*C72</f>
        <v>0.0287896271682577</v>
      </c>
      <c r="DZ72" s="57" t="n">
        <f aca="false">T72+AS72+BR72+CQ72</f>
        <v>0.00168893278376528</v>
      </c>
      <c r="EA72" s="57" t="n">
        <f aca="false">U72+AT72+BS72+CR72</f>
        <v>0.000215856783663069</v>
      </c>
      <c r="EB72" s="57" t="n">
        <f aca="false">V72+AU72+BT72+CS72</f>
        <v>0.00123603410043629</v>
      </c>
      <c r="EC72" s="57" t="n">
        <f aca="false">G72*dt*C72</f>
        <v>0.0153676975279833</v>
      </c>
    </row>
    <row r="73" customFormat="false" ht="15" hidden="false" customHeight="false" outlineLevel="0" collapsed="false">
      <c r="A73" s="8" t="n">
        <v>67</v>
      </c>
      <c r="B73" s="54" t="n">
        <f aca="false">start_age+A73*dt</f>
        <v>86.75</v>
      </c>
      <c r="C73" s="16" t="n">
        <f aca="false">(1+disc_rate)^-(A73*dt)</f>
        <v>0.779280470100112</v>
      </c>
      <c r="D73" s="55" t="n">
        <f aca="false">IF(A73*dt&gt;=wane_start,(1-wane_decay)^(A73*dt-wane_start),1)</f>
        <v>1</v>
      </c>
      <c r="E73" s="25" t="n">
        <f aca="false">MIN(p_nonvasc_death*MIN(EXP(gomp_int+gomp_slope*INT(B73)),1)/qx_ref,0.999)</f>
        <v>0.176028221169879</v>
      </c>
      <c r="F73" s="55" t="n">
        <f aca="false">rr_stroke_per_decade^((B73-ref_age)/10)</f>
        <v>1.97220864844154</v>
      </c>
      <c r="G73" s="57" t="n">
        <f aca="false">DH72</f>
        <v>0.0734984873713255</v>
      </c>
      <c r="H73" s="57" t="n">
        <f aca="false">DI72</f>
        <v>0.0135358801914683</v>
      </c>
      <c r="I73" s="57" t="n">
        <f aca="false">DJ72</f>
        <v>0.0065753205469156</v>
      </c>
      <c r="J73" s="57" t="n">
        <f aca="false">DK72</f>
        <v>0.0447839916197178</v>
      </c>
      <c r="K73" s="57" t="n">
        <f aca="false">DL72</f>
        <v>0.861606320270573</v>
      </c>
      <c r="L73" s="57" t="n">
        <f aca="false">1-EXP(LN(1-E73)*dt)</f>
        <v>0.0472519154398011</v>
      </c>
      <c r="M73" s="57" t="n">
        <f aca="false">G73*(1-L73)</f>
        <v>0.0700255430611024</v>
      </c>
      <c r="N73" s="57" t="n">
        <f aca="false">IF(Warfarin!$B$2=1,EXP(LN(or_apx_stroke)*D73)*(1-EXP(-r_stroke*F73*dt))/(1-(1-EXP(-r_stroke*F73*dt))+EXP(LN(or_apx_stroke)*D73)*(1-EXP(-r_stroke*F73*dt))),(1-EXP(-r_stroke*F73*dt)))</f>
        <v>0.00792108815879278</v>
      </c>
      <c r="O73" s="57" t="n">
        <f aca="false">IF(Warfarin!$B$2=1,EXP(LN(or_apx_ich)*D73)*(1-EXP(-r_ich*dt))/(1-(1-EXP(-r_ich*dt))+EXP(LN(or_apx_ich)*D73)*(1-EXP(-r_ich*dt))),(1-EXP(-r_ich*dt)))</f>
        <v>0.0020060281549299</v>
      </c>
      <c r="P73" s="57" t="n">
        <f aca="false">IF(Warfarin!$B$2=1,EXP(LN(or_apx_mb)*D73)*(1-EXP(-r_mb*dt))/(1-(1-EXP(-r_mb*dt))+EXP(LN(or_apx_mb)*D73)*(1-EXP(-r_mb*dt))),(1-EXP(-r_mb*dt)))</f>
        <v>0.00835410477572107</v>
      </c>
      <c r="Q73" s="57" t="n">
        <f aca="false">IF(Warfarin!$B$2=1,EXP(LN(or_apx_mi)*D73)*(1-EXP(-r_mi*dt))/(1-(1-EXP(-r_mi*dt))+EXP(LN(or_apx_mi)*D73)*(1-EXP(-r_mi*dt))),(1-EXP(-r_mi*dt)))</f>
        <v>0.00150338686144691</v>
      </c>
      <c r="R73" s="57" t="n">
        <f aca="false">(1-EXP(-r_tia*dt))</f>
        <v>0.0020060281549299</v>
      </c>
      <c r="S73" s="57" t="n">
        <f aca="false">(1-EXP(-r_minor*dt))</f>
        <v>0.0437937690785545</v>
      </c>
      <c r="T73" s="57" t="n">
        <f aca="false">M73*N73</f>
        <v>0.000554678499954332</v>
      </c>
      <c r="U73" s="57" t="n">
        <f aca="false">M73*O73</f>
        <v>0.000140473210944827</v>
      </c>
      <c r="V73" s="57" t="n">
        <f aca="false">M73*P73</f>
        <v>0.000585000723709217</v>
      </c>
      <c r="W73" s="57" t="n">
        <f aca="false">M73*Q73</f>
        <v>0.000105275481403746</v>
      </c>
      <c r="X73" s="57" t="n">
        <f aca="false">M73*R73</f>
        <v>0.000140473210944827</v>
      </c>
      <c r="Y73" s="57" t="n">
        <f aca="false">M73*S73</f>
        <v>0.00306668246241829</v>
      </c>
      <c r="Z73" s="57" t="n">
        <f aca="false">T73*f_stroke_fatal</f>
        <v>0.000131458804489177</v>
      </c>
      <c r="AA73" s="57" t="n">
        <f aca="false">T73*(1-f_stroke_fatal)*f_stroke_major</f>
        <v>0.000140932158589897</v>
      </c>
      <c r="AB73" s="57" t="n">
        <f aca="false">T73*(1-f_stroke_fatal)*(1-f_stroke_major)</f>
        <v>0.000282287536875259</v>
      </c>
      <c r="AC73" s="57" t="n">
        <f aca="false">U73*(1-f_bleed_fatal)</f>
        <v>0.000128673461225462</v>
      </c>
      <c r="AD73" s="57" t="n">
        <f aca="false">V73*(1-f_bleed_fatal)</f>
        <v>0.000535860662917643</v>
      </c>
      <c r="AE73" s="57" t="n">
        <f aca="false">W73*f_mi_fatal</f>
        <v>1.27383332498533E-005</v>
      </c>
      <c r="AF73" s="57" t="n">
        <f aca="false">W73-AE73</f>
        <v>9.25371481538928E-005</v>
      </c>
      <c r="AG73" s="57" t="n">
        <f aca="false">M73-T73-U73-V73-AE73</f>
        <v>0.0687326522932441</v>
      </c>
      <c r="AH73" s="19" t="n">
        <f aca="false">Z73*c_stroke_fatal+AA73*c_stroke_major+AB73*c_stroke_minor+U73*c_ich+V73*c_major_bleed+AE73*c_mi_fatal+AF73*c_mi_nonfatal+X73*c_tia+Y73*c_minor_bleed</f>
        <v>30.0318157246502</v>
      </c>
      <c r="AI73" s="57" t="n">
        <f aca="false">dt*(AF73*dec_mi+AD73*dec_major_bleed+Y73*dec_minor_bleed+X73*dec_tia)</f>
        <v>2.88004843116037E-005</v>
      </c>
      <c r="AJ73" s="57" t="n">
        <f aca="false">G73*L73+Z73+U73-AC73+V73-AD73+AE73</f>
        <v>0.00367808125847313</v>
      </c>
      <c r="AK73" s="57" t="n">
        <f aca="false">1-EXP(LN(1-E73)*hr_death_prior_stroke*dt)</f>
        <v>0.105357358985318</v>
      </c>
      <c r="AL73" s="57" t="n">
        <f aca="false">H73*(1-AK73)</f>
        <v>0.0121097756029536</v>
      </c>
      <c r="AM73" s="57" t="n">
        <f aca="false">(1-EXP(-r_stroke*F73*rr_stroke_prior*rr_asa_stroke*dt))</f>
        <v>0.0279452620303202</v>
      </c>
      <c r="AN73" s="57" t="n">
        <f aca="false">(1-EXP(-r_ich*rr_asa_ich*dt))</f>
        <v>0.00102357767802375</v>
      </c>
      <c r="AO73" s="57" t="n">
        <f aca="false">(1-EXP(-r_mb*rr_asa_mb*dt))</f>
        <v>0.00951809672747972</v>
      </c>
      <c r="AP73" s="57" t="n">
        <f aca="false">(1-EXP(-r_mi*rr_asa_mi*dt))</f>
        <v>0.00213413516393479</v>
      </c>
      <c r="AQ73" s="57" t="n">
        <f aca="false">(1-EXP(-r_tia*rr_asa_tia*dt))</f>
        <v>0.00312764565589152</v>
      </c>
      <c r="AR73" s="57" t="n">
        <f aca="false">(1-EXP(-r_minor*rr_asa_minor*dt))</f>
        <v>0.0278181950466747</v>
      </c>
      <c r="AS73" s="57" t="n">
        <f aca="false">AL73*AM73</f>
        <v>0.000338410852352916</v>
      </c>
      <c r="AT73" s="57" t="n">
        <f aca="false">AL73*AN73</f>
        <v>1.23952959930598E-005</v>
      </c>
      <c r="AU73" s="57" t="n">
        <f aca="false">AL73*AO73</f>
        <v>0.000115262015536986</v>
      </c>
      <c r="AV73" s="57" t="n">
        <f aca="false">AL73*AP73</f>
        <v>2.58438979416228E-005</v>
      </c>
      <c r="AW73" s="57" t="n">
        <f aca="false">AL73*AQ73</f>
        <v>3.78750870583988E-005</v>
      </c>
      <c r="AX73" s="57" t="n">
        <f aca="false">AL73*AR73</f>
        <v>0.000336872099694425</v>
      </c>
      <c r="AY73" s="57" t="n">
        <f aca="false">AS73*f_stroke_fatal_recur</f>
        <v>0.000125919294051996</v>
      </c>
      <c r="AZ73" s="57" t="n">
        <f aca="false">AS73*(1-f_stroke_fatal_recur)*f_stroke_major</f>
        <v>7.07596889142062E-005</v>
      </c>
      <c r="BA73" s="57" t="n">
        <f aca="false">AS73*(1-f_stroke_fatal_recur)*(1-f_stroke_major)</f>
        <v>0.000141731869386713</v>
      </c>
      <c r="BB73" s="57" t="n">
        <f aca="false">AT73*(1-f_bleed_fatal)</f>
        <v>1.13540911296428E-005</v>
      </c>
      <c r="BC73" s="57" t="n">
        <f aca="false">AU73*(1-f_bleed_fatal)</f>
        <v>0.000105580006231879</v>
      </c>
      <c r="BD73" s="57" t="n">
        <f aca="false">AV73*f_mi_fatal</f>
        <v>3.12711165093636E-006</v>
      </c>
      <c r="BE73" s="57" t="n">
        <f aca="false">AV73-BD73</f>
        <v>2.27167862906865E-005</v>
      </c>
      <c r="BF73" s="57" t="n">
        <f aca="false">AL73-AS73-AT73-AU73-BD73</f>
        <v>0.0116405803274197</v>
      </c>
      <c r="BG73" s="19" t="n">
        <f aca="false">AY73*c_stroke_fatal+AZ73*c_stroke_major+BA73*c_stroke_minor+AT73*c_ich+AU73*c_major_bleed+BD73*c_mi_fatal+BE73*c_mi_nonfatal+AW73*c_tia+AX73*c_minor_bleed</f>
        <v>13.2989037551873</v>
      </c>
      <c r="BH73" s="57" t="n">
        <f aca="false">dt*(BE73*dec_mi+BC73*dec_major_bleed+AX73*dec_minor_bleed+AW73*dec_tia)</f>
        <v>5.20835753067782E-006</v>
      </c>
      <c r="BI73" s="57" t="n">
        <f aca="false">H73*AK73+AY73+AT73-BB73+AU73-BC73+BD73</f>
        <v>0.00156587420838624</v>
      </c>
      <c r="BJ73" s="57" t="n">
        <f aca="false">1-EXP(LN(1-E73)*hr_death_prior_stroke*dt)</f>
        <v>0.105357358985318</v>
      </c>
      <c r="BK73" s="57" t="n">
        <f aca="false">I73*(1-BJ73)</f>
        <v>0.00588256213961067</v>
      </c>
      <c r="BL73" s="57" t="n">
        <f aca="false">(1-EXP(-r_stroke*F73*rr_stroke_prior*rr_asa_stroke*dt))</f>
        <v>0.0279452620303202</v>
      </c>
      <c r="BM73" s="57" t="n">
        <f aca="false">(1-EXP(-r_ich*rr_asa_ich*dt))</f>
        <v>0.00102357767802375</v>
      </c>
      <c r="BN73" s="57" t="n">
        <f aca="false">(1-EXP(-r_mb*rr_asa_mb*dt))</f>
        <v>0.00951809672747972</v>
      </c>
      <c r="BO73" s="57" t="n">
        <f aca="false">(1-EXP(-r_mi*rr_asa_mi*dt))</f>
        <v>0.00213413516393479</v>
      </c>
      <c r="BP73" s="57" t="n">
        <f aca="false">(1-EXP(-r_tia*rr_asa_tia*dt))</f>
        <v>0.00312764565589152</v>
      </c>
      <c r="BQ73" s="57" t="n">
        <f aca="false">(1-EXP(-r_minor*rr_asa_minor*dt))</f>
        <v>0.0278181950466747</v>
      </c>
      <c r="BR73" s="57" t="n">
        <f aca="false">BK73*BL73</f>
        <v>0.000164389740401061</v>
      </c>
      <c r="BS73" s="57" t="n">
        <f aca="false">BK73*BM73</f>
        <v>6.02125929569309E-006</v>
      </c>
      <c r="BT73" s="57" t="n">
        <f aca="false">BK73*BN73</f>
        <v>5.59907954502244E-005</v>
      </c>
      <c r="BU73" s="57" t="n">
        <f aca="false">BK73*BO73</f>
        <v>1.25541827161746E-005</v>
      </c>
      <c r="BV73" s="57" t="n">
        <f aca="false">BK73*BP73</f>
        <v>1.83985699214652E-005</v>
      </c>
      <c r="BW73" s="57" t="n">
        <f aca="false">BK73*BQ73</f>
        <v>0.000163642260973874</v>
      </c>
      <c r="BX73" s="57" t="n">
        <f aca="false">BR73*f_stroke_fatal_recur</f>
        <v>6.11677785058309E-005</v>
      </c>
      <c r="BY73" s="57" t="n">
        <f aca="false">BR73*(1-f_stroke_fatal_recur)*f_stroke_major</f>
        <v>3.43729133111117E-005</v>
      </c>
      <c r="BZ73" s="57" t="n">
        <f aca="false">BR73*(1-f_stroke_fatal_recur)*(1-f_stroke_major)</f>
        <v>6.88490485841187E-005</v>
      </c>
      <c r="CA73" s="57" t="n">
        <f aca="false">BS73*(1-f_bleed_fatal)</f>
        <v>5.51547351485487E-006</v>
      </c>
      <c r="CB73" s="57" t="n">
        <f aca="false">BT73*(1-f_bleed_fatal)</f>
        <v>5.12875686324056E-005</v>
      </c>
      <c r="CC73" s="57" t="n">
        <f aca="false">BU73*f_mi_fatal</f>
        <v>1.51905610865713E-006</v>
      </c>
      <c r="CD73" s="57" t="n">
        <f aca="false">BU73-CC73</f>
        <v>1.10351266075175E-005</v>
      </c>
      <c r="CE73" s="57" t="n">
        <f aca="false">BK73-BR73-BS73-BT73-CC73</f>
        <v>0.00565464128835504</v>
      </c>
      <c r="CF73" s="19" t="n">
        <f aca="false">BX73*c_stroke_fatal+BY73*c_stroke_major+BZ73*c_stroke_minor+BS73*c_ich+BT73*c_major_bleed+CC73*c_mi_fatal+CD73*c_mi_nonfatal+BV73*c_tia+BW73*c_minor_bleed</f>
        <v>6.46020457303196</v>
      </c>
      <c r="CG73" s="57" t="n">
        <f aca="false">dt*(CD73*dec_mi+CB73*dec_major_bleed+BW73*dec_minor_bleed+BV73*dec_tia)</f>
        <v>2.53006230867307E-006</v>
      </c>
      <c r="CH73" s="57" t="n">
        <f aca="false">I73*BJ73+BX73+BS73-CA73+BT73-CB73+CC73</f>
        <v>0.00076065425451807</v>
      </c>
      <c r="CI73" s="57" t="n">
        <f aca="false">1-EXP(LN(1-E73)*dt)</f>
        <v>0.0472519154398011</v>
      </c>
      <c r="CJ73" s="57" t="n">
        <f aca="false">J73*(1-CI73)</f>
        <v>0.0426678622346461</v>
      </c>
      <c r="CK73" s="57" t="n">
        <f aca="false">(1-EXP(-r_stroke*F73*rr_asa_stroke*dt))</f>
        <v>0.0128006212606785</v>
      </c>
      <c r="CL73" s="57" t="n">
        <f aca="false">(1-EXP(-r_ich*rr_asa_ich*dt))</f>
        <v>0.00102357767802375</v>
      </c>
      <c r="CM73" s="57" t="n">
        <f aca="false">(1-EXP(-r_mb*rr_asa_mb*dt))</f>
        <v>0.00951809672747972</v>
      </c>
      <c r="CN73" s="57" t="n">
        <f aca="false">(1-EXP(-r_mi*rr_asa_mi*dt))</f>
        <v>0.00213413516393479</v>
      </c>
      <c r="CO73" s="57" t="n">
        <f aca="false">(1-EXP(-r_tia*rr_asa_tia*dt))</f>
        <v>0.00312764565589152</v>
      </c>
      <c r="CP73" s="57" t="n">
        <f aca="false">(1-EXP(-r_minor*rr_asa_minor*dt))</f>
        <v>0.0278181950466747</v>
      </c>
      <c r="CQ73" s="57" t="n">
        <f aca="false">CJ73*CK73</f>
        <v>0.000546175144468512</v>
      </c>
      <c r="CR73" s="57" t="n">
        <f aca="false">CJ73*CL73</f>
        <v>4.36738713523762E-005</v>
      </c>
      <c r="CS73" s="57" t="n">
        <f aca="false">CJ73*CM73</f>
        <v>0.000406116839904141</v>
      </c>
      <c r="CT73" s="57" t="n">
        <f aca="false">CJ73*CN73</f>
        <v>9.10589851648837E-005</v>
      </c>
      <c r="CU73" s="57" t="n">
        <f aca="false">CJ73*CO73</f>
        <v>0.000133449953964369</v>
      </c>
      <c r="CV73" s="57" t="n">
        <f aca="false">CJ73*CP73</f>
        <v>0.00118694291386803</v>
      </c>
      <c r="CW73" s="57" t="n">
        <f aca="false">CQ73*f_stroke_fatal</f>
        <v>0.000129443509239037</v>
      </c>
      <c r="CX73" s="57" t="n">
        <f aca="false">CQ73*(1-f_stroke_fatal)*f_stroke_major</f>
        <v>0.000138771634531415</v>
      </c>
      <c r="CY73" s="57" t="n">
        <f aca="false">CQ73*(1-f_stroke_fatal)*(1-f_stroke_major)</f>
        <v>0.00027796000069806</v>
      </c>
      <c r="CZ73" s="57" t="n">
        <f aca="false">CR73*(1-f_bleed_fatal)</f>
        <v>4.00052661587766E-005</v>
      </c>
      <c r="DA73" s="57" t="n">
        <f aca="false">CS73*(1-f_bleed_fatal)</f>
        <v>0.000372003025352193</v>
      </c>
      <c r="DB73" s="57" t="n">
        <f aca="false">CT73*f_mi_fatal</f>
        <v>1.10181372049509E-005</v>
      </c>
      <c r="DC73" s="57" t="n">
        <f aca="false">CT73-DB73</f>
        <v>8.00408479599327E-005</v>
      </c>
      <c r="DD73" s="57" t="n">
        <f aca="false">CJ73-CQ73-CR73-CS73-DB73</f>
        <v>0.0416608782417162</v>
      </c>
      <c r="DE73" s="19" t="n">
        <f aca="false">CW73*c_stroke_fatal+CX73*c_stroke_major+CY73*c_stroke_minor+CR73*c_ich+CS73*c_major_bleed+DB73*c_mi_fatal+DC73*c_mi_nonfatal+CU73*c_tia+CV73*c_minor_bleed</f>
        <v>25.9254575175843</v>
      </c>
      <c r="DF73" s="57" t="n">
        <f aca="false">dt*(DC73*dec_mi+DA73*dec_major_bleed+CV73*dec_minor_bleed+CU73*dec_tia)</f>
        <v>1.83512468665019E-005</v>
      </c>
      <c r="DG73" s="57" t="n">
        <f aca="false">J73*CI73+CW73+CR73-CZ73+CS73-DA73+DB73</f>
        <v>0.0022943734512612</v>
      </c>
      <c r="DH73" s="57" t="n">
        <f aca="false">AG73</f>
        <v>0.0687326522932441</v>
      </c>
      <c r="DI73" s="57" t="n">
        <f aca="false">AB73+AC73+BF73+BA73+BB73+BC73+CY73+CZ73</f>
        <v>0.0126281725591254</v>
      </c>
      <c r="DJ73" s="57" t="n">
        <f aca="false">AA73+AZ73+BY73+CX73+CE73+BZ73+CA73+CB73</f>
        <v>0.00616512977443305</v>
      </c>
      <c r="DK73" s="57" t="n">
        <f aca="false">AD73+DD73+DA73</f>
        <v>0.042568741929986</v>
      </c>
      <c r="DL73" s="57" t="n">
        <f aca="false">K73+AJ73+BI73+CH73+DG73</f>
        <v>0.869905303443212</v>
      </c>
      <c r="DM73" s="58" t="n">
        <f aca="false">SUM(DH73:DL73)</f>
        <v>1</v>
      </c>
      <c r="DN73" s="19" t="n">
        <f aca="false">dt*(G73*Warfarin!$H$2+(H73+I73+J73)*c_aspirin)</f>
        <v>7.69343657314824</v>
      </c>
      <c r="DO73" s="19" t="n">
        <f aca="false">dt*(H73*c_lt_minor_stroke+I73*c_lt_major_stroke)</f>
        <v>79.5199433062111</v>
      </c>
      <c r="DP73" s="19" t="n">
        <f aca="false">AH73+BG73+CF73+DE73</f>
        <v>75.7163815704537</v>
      </c>
      <c r="DQ73" s="19" t="n">
        <f aca="false">DN73+DO73+DP73</f>
        <v>162.929761449813</v>
      </c>
      <c r="DR73" s="57" t="n">
        <f aca="false">dt*(G73*(u_af-dec_per_year_over_70*MAX(B73-ref_age,0))+H73*(u_minor_stroke-dec_per_year_over_70*MAX(B73-ref_age,0))+I73*(u_major_stroke-dec_per_year_over_70*MAX(B73-ref_age,0))+J73*(u_af-dec_per_year_over_70*MAX(B73-ref_age,0)))-AI73-BH73-CG73-DF73</f>
        <v>0.0268139654592237</v>
      </c>
      <c r="DS73" s="57" t="n">
        <f aca="false">dt*(G73+H73+I73+J73)</f>
        <v>0.0345984199323568</v>
      </c>
      <c r="DT73" s="19" t="n">
        <f aca="false">DQ73*C73</f>
        <v>126.967981095909</v>
      </c>
      <c r="DU73" s="19" t="n">
        <f aca="false">DN73*C73</f>
        <v>5.99534486940836</v>
      </c>
      <c r="DV73" s="19" t="n">
        <f aca="false">DP73*C73</f>
        <v>59.0042974245027</v>
      </c>
      <c r="DW73" s="19" t="n">
        <f aca="false">DO73*C73</f>
        <v>61.9683388019985</v>
      </c>
      <c r="DX73" s="57" t="n">
        <f aca="false">DR73*C73</f>
        <v>0.0208955996083121</v>
      </c>
      <c r="DY73" s="57" t="n">
        <f aca="false">DS73*C73</f>
        <v>0.0269618729496081</v>
      </c>
      <c r="DZ73" s="57" t="n">
        <f aca="false">T73+AS73+BR73+CQ73</f>
        <v>0.00160365423717682</v>
      </c>
      <c r="EA73" s="57" t="n">
        <f aca="false">U73+AT73+BS73+CR73</f>
        <v>0.000202563637585956</v>
      </c>
      <c r="EB73" s="57" t="n">
        <f aca="false">V73+AU73+BT73+CS73</f>
        <v>0.00116237037460057</v>
      </c>
      <c r="EC73" s="57" t="n">
        <f aca="false">G73*dt*C73</f>
        <v>0.0143189839475934</v>
      </c>
    </row>
    <row r="74" customFormat="false" ht="15" hidden="false" customHeight="false" outlineLevel="0" collapsed="false">
      <c r="A74" s="8" t="n">
        <v>68</v>
      </c>
      <c r="B74" s="54" t="n">
        <f aca="false">start_age+A74*dt</f>
        <v>87</v>
      </c>
      <c r="C74" s="16" t="n">
        <f aca="false">(1+disc_rate)^-(A74*dt)</f>
        <v>0.776385260413805</v>
      </c>
      <c r="D74" s="55" t="n">
        <f aca="false">IF(A74*dt&gt;=wane_start,(1-wane_decay)^(A74*dt-wane_start),1)</f>
        <v>1</v>
      </c>
      <c r="E74" s="25" t="n">
        <f aca="false">MIN(p_nonvasc_death*MIN(EXP(gomp_int+gomp_slope*INT(B74)),1)/qx_ref,0.999)</f>
        <v>0.195444778724258</v>
      </c>
      <c r="F74" s="55" t="n">
        <f aca="false">rr_stroke_per_decade^((B74-ref_age)/10)</f>
        <v>1.992301859915</v>
      </c>
      <c r="G74" s="57" t="n">
        <f aca="false">DH73</f>
        <v>0.0687326522932441</v>
      </c>
      <c r="H74" s="57" t="n">
        <f aca="false">DI73</f>
        <v>0.0126281725591254</v>
      </c>
      <c r="I74" s="57" t="n">
        <f aca="false">DJ73</f>
        <v>0.00616512977443305</v>
      </c>
      <c r="J74" s="57" t="n">
        <f aca="false">DK73</f>
        <v>0.042568741929986</v>
      </c>
      <c r="K74" s="57" t="n">
        <f aca="false">DL73</f>
        <v>0.869905303443212</v>
      </c>
      <c r="L74" s="57" t="n">
        <f aca="false">1-EXP(LN(1-E74)*dt)</f>
        <v>0.0529149866528664</v>
      </c>
      <c r="M74" s="57" t="n">
        <f aca="false">G74*(1-L74)</f>
        <v>0.065095664914531</v>
      </c>
      <c r="N74" s="57" t="n">
        <f aca="false">IF(Warfarin!$B$2=1,EXP(LN(or_apx_stroke)*D74)*(1-EXP(-r_stroke*F74*dt))/(1-(1-EXP(-r_stroke*F74*dt))+EXP(LN(or_apx_stroke)*D74)*(1-EXP(-r_stroke*F74*dt))),(1-EXP(-r_stroke*F74*dt)))</f>
        <v>0.00800146588454109</v>
      </c>
      <c r="O74" s="57" t="n">
        <f aca="false">IF(Warfarin!$B$2=1,EXP(LN(or_apx_ich)*D74)*(1-EXP(-r_ich*dt))/(1-(1-EXP(-r_ich*dt))+EXP(LN(or_apx_ich)*D74)*(1-EXP(-r_ich*dt))),(1-EXP(-r_ich*dt)))</f>
        <v>0.0020060281549299</v>
      </c>
      <c r="P74" s="57" t="n">
        <f aca="false">IF(Warfarin!$B$2=1,EXP(LN(or_apx_mb)*D74)*(1-EXP(-r_mb*dt))/(1-(1-EXP(-r_mb*dt))+EXP(LN(or_apx_mb)*D74)*(1-EXP(-r_mb*dt))),(1-EXP(-r_mb*dt)))</f>
        <v>0.00835410477572107</v>
      </c>
      <c r="Q74" s="57" t="n">
        <f aca="false">IF(Warfarin!$B$2=1,EXP(LN(or_apx_mi)*D74)*(1-EXP(-r_mi*dt))/(1-(1-EXP(-r_mi*dt))+EXP(LN(or_apx_mi)*D74)*(1-EXP(-r_mi*dt))),(1-EXP(-r_mi*dt)))</f>
        <v>0.00150338686144691</v>
      </c>
      <c r="R74" s="57" t="n">
        <f aca="false">(1-EXP(-r_tia*dt))</f>
        <v>0.0020060281549299</v>
      </c>
      <c r="S74" s="57" t="n">
        <f aca="false">(1-EXP(-r_minor*dt))</f>
        <v>0.0437937690785545</v>
      </c>
      <c r="T74" s="57" t="n">
        <f aca="false">M74*N74</f>
        <v>0.000520860742045138</v>
      </c>
      <c r="U74" s="57" t="n">
        <f aca="false">M74*O74</f>
        <v>0.000130583736582431</v>
      </c>
      <c r="V74" s="57" t="n">
        <f aca="false">M74*P74</f>
        <v>0.000543816005141222</v>
      </c>
      <c r="W74" s="57" t="n">
        <f aca="false">M74*Q74</f>
        <v>9.78639673696565E-005</v>
      </c>
      <c r="X74" s="57" t="n">
        <f aca="false">M74*R74</f>
        <v>0.000130583736582431</v>
      </c>
      <c r="Y74" s="57" t="n">
        <f aca="false">M74*S74</f>
        <v>0.00285078451728193</v>
      </c>
      <c r="Z74" s="57" t="n">
        <f aca="false">T74*f_stroke_fatal</f>
        <v>0.000123443995864698</v>
      </c>
      <c r="AA74" s="57" t="n">
        <f aca="false">T74*(1-f_stroke_fatal)*f_stroke_major</f>
        <v>0.000132339776478087</v>
      </c>
      <c r="AB74" s="57" t="n">
        <f aca="false">T74*(1-f_stroke_fatal)*(1-f_stroke_major)</f>
        <v>0.000265076969702354</v>
      </c>
      <c r="AC74" s="57" t="n">
        <f aca="false">U74*(1-f_bleed_fatal)</f>
        <v>0.000119614702709507</v>
      </c>
      <c r="AD74" s="57" t="n">
        <f aca="false">V74*(1-f_bleed_fatal)</f>
        <v>0.00049813546070936</v>
      </c>
      <c r="AE74" s="57" t="n">
        <f aca="false">W74*f_mi_fatal</f>
        <v>1.18415400517284E-005</v>
      </c>
      <c r="AF74" s="57" t="n">
        <f aca="false">W74-AE74</f>
        <v>8.6022427317928E-005</v>
      </c>
      <c r="AG74" s="57" t="n">
        <f aca="false">M74-T74-U74-V74-AE74</f>
        <v>0.0638885628907105</v>
      </c>
      <c r="AH74" s="19" t="n">
        <f aca="false">Z74*c_stroke_fatal+AA74*c_stroke_major+AB74*c_stroke_minor+U74*c_ich+V74*c_major_bleed+AE74*c_mi_fatal+AF74*c_mi_nonfatal+X74*c_tia+Y74*c_minor_bleed</f>
        <v>28.1108605519674</v>
      </c>
      <c r="AI74" s="57" t="n">
        <f aca="false">dt*(AF74*dec_mi+AD74*dec_major_bleed+Y74*dec_minor_bleed+X74*dec_tia)</f>
        <v>2.67728973481644E-005</v>
      </c>
      <c r="AJ74" s="57" t="n">
        <f aca="false">G74*L74+Z74+U74-AC74+V74-AD74+AE74</f>
        <v>0.00382892249293434</v>
      </c>
      <c r="AK74" s="57" t="n">
        <f aca="false">1-EXP(LN(1-E74)*hr_death_prior_stroke*dt)</f>
        <v>0.11754083463624</v>
      </c>
      <c r="AL74" s="57" t="n">
        <f aca="false">H74*(1-AK74)</f>
        <v>0.0111438466165954</v>
      </c>
      <c r="AM74" s="57" t="n">
        <f aca="false">(1-EXP(-r_stroke*F74*rr_stroke_prior*rr_asa_stroke*dt))</f>
        <v>0.0282259170428888</v>
      </c>
      <c r="AN74" s="57" t="n">
        <f aca="false">(1-EXP(-r_ich*rr_asa_ich*dt))</f>
        <v>0.00102357767802375</v>
      </c>
      <c r="AO74" s="57" t="n">
        <f aca="false">(1-EXP(-r_mb*rr_asa_mb*dt))</f>
        <v>0.00951809672747972</v>
      </c>
      <c r="AP74" s="57" t="n">
        <f aca="false">(1-EXP(-r_mi*rr_asa_mi*dt))</f>
        <v>0.00213413516393479</v>
      </c>
      <c r="AQ74" s="57" t="n">
        <f aca="false">(1-EXP(-r_tia*rr_asa_tia*dt))</f>
        <v>0.00312764565589152</v>
      </c>
      <c r="AR74" s="57" t="n">
        <f aca="false">(1-EXP(-r_minor*rr_asa_minor*dt))</f>
        <v>0.0278181950466747</v>
      </c>
      <c r="AS74" s="57" t="n">
        <f aca="false">AL74*AM74</f>
        <v>0.000314545290138698</v>
      </c>
      <c r="AT74" s="57" t="n">
        <f aca="false">AL74*AN74</f>
        <v>1.14065926440675E-005</v>
      </c>
      <c r="AU74" s="57" t="n">
        <f aca="false">AL74*AO74</f>
        <v>0.000106068210012952</v>
      </c>
      <c r="AV74" s="57" t="n">
        <f aca="false">AL74*AP74</f>
        <v>2.37824749259719E-005</v>
      </c>
      <c r="AW74" s="57" t="n">
        <f aca="false">AL74*AQ74</f>
        <v>3.48540034603159E-005</v>
      </c>
      <c r="AX74" s="57" t="n">
        <f aca="false">AL74*AR74</f>
        <v>0.000310001698750676</v>
      </c>
      <c r="AY74" s="57" t="n">
        <f aca="false">AS74*f_stroke_fatal_recur</f>
        <v>0.000117039157007708</v>
      </c>
      <c r="AZ74" s="57" t="n">
        <f aca="false">AS74*(1-f_stroke_fatal_recur)*f_stroke_major</f>
        <v>6.57695423326196E-005</v>
      </c>
      <c r="BA74" s="57" t="n">
        <f aca="false">AS74*(1-f_stroke_fatal_recur)*(1-f_stroke_major)</f>
        <v>0.00013173659079837</v>
      </c>
      <c r="BB74" s="57" t="n">
        <f aca="false">AT74*(1-f_bleed_fatal)</f>
        <v>1.04484388619658E-005</v>
      </c>
      <c r="BC74" s="57" t="n">
        <f aca="false">AU74*(1-f_bleed_fatal)</f>
        <v>9.71584803718644E-005</v>
      </c>
      <c r="BD74" s="57" t="n">
        <f aca="false">AV74*f_mi_fatal</f>
        <v>2.87767946604261E-006</v>
      </c>
      <c r="BE74" s="57" t="n">
        <f aca="false">AV74-BD74</f>
        <v>2.09047954599293E-005</v>
      </c>
      <c r="BF74" s="57" t="n">
        <f aca="false">AL74-AS74-AT74-AU74-BD74</f>
        <v>0.0107089488443336</v>
      </c>
      <c r="BG74" s="19" t="n">
        <f aca="false">AY74*c_stroke_fatal+AZ74*c_stroke_major+BA74*c_stroke_minor+AT74*c_ich+AU74*c_major_bleed+BD74*c_mi_fatal+BE74*c_mi_nonfatal+AW74*c_tia+AX74*c_minor_bleed</f>
        <v>12.3459618121162</v>
      </c>
      <c r="BH74" s="57" t="n">
        <f aca="false">dt*(BE74*dec_mi+BC74*dec_major_bleed+AX74*dec_minor_bleed+AW74*dec_tia)</f>
        <v>4.79291601671851E-006</v>
      </c>
      <c r="BI74" s="57" t="n">
        <f aca="false">H74*AK74+AY74+AT74-BB74+AU74-BC74+BD74</f>
        <v>0.00161411066242701</v>
      </c>
      <c r="BJ74" s="57" t="n">
        <f aca="false">1-EXP(LN(1-E74)*hr_death_prior_stroke*dt)</f>
        <v>0.11754083463624</v>
      </c>
      <c r="BK74" s="57" t="n">
        <f aca="false">I74*(1-BJ74)</f>
        <v>0.00544047527510545</v>
      </c>
      <c r="BL74" s="57" t="n">
        <f aca="false">(1-EXP(-r_stroke*F74*rr_stroke_prior*rr_asa_stroke*dt))</f>
        <v>0.0282259170428888</v>
      </c>
      <c r="BM74" s="57" t="n">
        <f aca="false">(1-EXP(-r_ich*rr_asa_ich*dt))</f>
        <v>0.00102357767802375</v>
      </c>
      <c r="BN74" s="57" t="n">
        <f aca="false">(1-EXP(-r_mb*rr_asa_mb*dt))</f>
        <v>0.00951809672747972</v>
      </c>
      <c r="BO74" s="57" t="n">
        <f aca="false">(1-EXP(-r_mi*rr_asa_mi*dt))</f>
        <v>0.00213413516393479</v>
      </c>
      <c r="BP74" s="57" t="n">
        <f aca="false">(1-EXP(-r_tia*rr_asa_tia*dt))</f>
        <v>0.00312764565589152</v>
      </c>
      <c r="BQ74" s="57" t="n">
        <f aca="false">(1-EXP(-r_minor*rr_asa_minor*dt))</f>
        <v>0.0278181950466747</v>
      </c>
      <c r="BR74" s="57" t="n">
        <f aca="false">BK74*BL74</f>
        <v>0.000153562403789014</v>
      </c>
      <c r="BS74" s="57" t="n">
        <f aca="false">BK74*BM74</f>
        <v>5.56874904943804E-006</v>
      </c>
      <c r="BT74" s="57" t="n">
        <f aca="false">BK74*BN74</f>
        <v>5.17829699119155E-005</v>
      </c>
      <c r="BU74" s="57" t="n">
        <f aca="false">BK74*BO74</f>
        <v>1.16107095931204E-005</v>
      </c>
      <c r="BV74" s="57" t="n">
        <f aca="false">BK74*BP74</f>
        <v>1.70158788601688E-005</v>
      </c>
      <c r="BW74" s="57" t="n">
        <f aca="false">BK74*BQ74</f>
        <v>0.000151344202349495</v>
      </c>
      <c r="BX74" s="57" t="n">
        <f aca="false">BR74*f_stroke_fatal_recur</f>
        <v>5.71390348258542E-005</v>
      </c>
      <c r="BY74" s="57" t="n">
        <f aca="false">BR74*(1-f_stroke_fatal_recur)*f_stroke_major</f>
        <v>3.21089818647322E-005</v>
      </c>
      <c r="BZ74" s="57" t="n">
        <f aca="false">BR74*(1-f_stroke_fatal_recur)*(1-f_stroke_major)</f>
        <v>6.43143870984276E-005</v>
      </c>
      <c r="CA74" s="57" t="n">
        <f aca="false">BS74*(1-f_bleed_fatal)</f>
        <v>5.10097412928524E-006</v>
      </c>
      <c r="CB74" s="57" t="n">
        <f aca="false">BT74*(1-f_bleed_fatal)</f>
        <v>4.74332004393146E-005</v>
      </c>
      <c r="CC74" s="57" t="n">
        <f aca="false">BU74*f_mi_fatal</f>
        <v>1.40489586076756E-006</v>
      </c>
      <c r="CD74" s="57" t="n">
        <f aca="false">BU74-CC74</f>
        <v>1.02058137323528E-005</v>
      </c>
      <c r="CE74" s="57" t="n">
        <f aca="false">BK74-BR74-BS74-BT74-CC74</f>
        <v>0.00522815625649432</v>
      </c>
      <c r="CF74" s="19" t="n">
        <f aca="false">BX74*c_stroke_fatal+BY74*c_stroke_major+BZ74*c_stroke_minor+BS74*c_ich+BT74*c_major_bleed+CC74*c_mi_fatal+CD74*c_mi_nonfatal+BV74*c_tia+BW74*c_minor_bleed</f>
        <v>6.02735323781179</v>
      </c>
      <c r="CG74" s="57" t="n">
        <f aca="false">dt*(CD74*dec_mi+CB74*dec_major_bleed+BW74*dec_minor_bleed+BV74*dec_tia)</f>
        <v>2.33992282752547E-006</v>
      </c>
      <c r="CH74" s="57" t="n">
        <f aca="false">I74*BJ74+BX74+BS74-CA74+BT74-CB74+CC74</f>
        <v>0.000788015974406971</v>
      </c>
      <c r="CI74" s="57" t="n">
        <f aca="false">1-EXP(LN(1-E74)*dt)</f>
        <v>0.0529149866528664</v>
      </c>
      <c r="CJ74" s="57" t="n">
        <f aca="false">J74*(1-CI74)</f>
        <v>0.0403162175189315</v>
      </c>
      <c r="CK74" s="57" t="n">
        <f aca="false">(1-EXP(-r_stroke*F74*rr_asa_stroke*dt))</f>
        <v>0.0129301894756496</v>
      </c>
      <c r="CL74" s="57" t="n">
        <f aca="false">(1-EXP(-r_ich*rr_asa_ich*dt))</f>
        <v>0.00102357767802375</v>
      </c>
      <c r="CM74" s="57" t="n">
        <f aca="false">(1-EXP(-r_mb*rr_asa_mb*dt))</f>
        <v>0.00951809672747972</v>
      </c>
      <c r="CN74" s="57" t="n">
        <f aca="false">(1-EXP(-r_mi*rr_asa_mi*dt))</f>
        <v>0.00213413516393479</v>
      </c>
      <c r="CO74" s="57" t="n">
        <f aca="false">(1-EXP(-r_tia*rr_asa_tia*dt))</f>
        <v>0.00312764565589152</v>
      </c>
      <c r="CP74" s="57" t="n">
        <f aca="false">(1-EXP(-r_minor*rr_asa_minor*dt))</f>
        <v>0.0278181950466747</v>
      </c>
      <c r="CQ74" s="57" t="n">
        <f aca="false">CJ74*CK74</f>
        <v>0.000521296331461288</v>
      </c>
      <c r="CR74" s="57" t="n">
        <f aca="false">CJ74*CL74</f>
        <v>4.12667803147282E-005</v>
      </c>
      <c r="CS74" s="57" t="n">
        <f aca="false">CJ74*CM74</f>
        <v>0.000383733658031302</v>
      </c>
      <c r="CT74" s="57" t="n">
        <f aca="false">CJ74*CN74</f>
        <v>8.60402574839956E-005</v>
      </c>
      <c r="CU74" s="57" t="n">
        <f aca="false">CJ74*CO74</f>
        <v>0.000126094842585064</v>
      </c>
      <c r="CV74" s="57" t="n">
        <f aca="false">CJ74*CP74</f>
        <v>0.0011215244024858</v>
      </c>
      <c r="CW74" s="57" t="n">
        <f aca="false">CQ74*f_stroke_fatal</f>
        <v>0.000123547230556325</v>
      </c>
      <c r="CX74" s="57" t="n">
        <f aca="false">CQ74*(1-f_stroke_fatal)*f_stroke_major</f>
        <v>0.000132450450601353</v>
      </c>
      <c r="CY74" s="57" t="n">
        <f aca="false">CQ74*(1-f_stroke_fatal)*(1-f_stroke_major)</f>
        <v>0.00026529865030361</v>
      </c>
      <c r="CZ74" s="57" t="n">
        <f aca="false">CR74*(1-f_bleed_fatal)</f>
        <v>3.7800370768291E-005</v>
      </c>
      <c r="DA74" s="57" t="n">
        <f aca="false">CS74*(1-f_bleed_fatal)</f>
        <v>0.000351500030756673</v>
      </c>
      <c r="DB74" s="57" t="n">
        <f aca="false">CT74*f_mi_fatal</f>
        <v>1.04108711555635E-005</v>
      </c>
      <c r="DC74" s="57" t="n">
        <f aca="false">CT74-DB74</f>
        <v>7.56293863284321E-005</v>
      </c>
      <c r="DD74" s="57" t="n">
        <f aca="false">CJ74-CQ74-CR74-CS74-DB74</f>
        <v>0.0393595098779686</v>
      </c>
      <c r="DE74" s="19" t="n">
        <f aca="false">CW74*c_stroke_fatal+CX74*c_stroke_major+CY74*c_stroke_minor+CR74*c_ich+CS74*c_major_bleed+DB74*c_mi_fatal+DC74*c_mi_nonfatal+CU74*c_tia+CV74*c_minor_bleed</f>
        <v>24.6895759432427</v>
      </c>
      <c r="DF74" s="57" t="n">
        <f aca="false">dt*(DC74*dec_mi+DA74*dec_major_bleed+CV74*dec_minor_bleed+CU74*dec_tia)</f>
        <v>1.73398155348112E-005</v>
      </c>
      <c r="DG74" s="57" t="n">
        <f aca="false">J74*CI74+CW74+CR74-CZ74+CS74-DA74+DB74</f>
        <v>0.00242218254958748</v>
      </c>
      <c r="DH74" s="57" t="n">
        <f aca="false">AG74</f>
        <v>0.0638885628907105</v>
      </c>
      <c r="DI74" s="57" t="n">
        <f aca="false">AB74+AC74+BF74+BA74+BB74+BC74+CY74+CZ74</f>
        <v>0.0116360830478496</v>
      </c>
      <c r="DJ74" s="57" t="n">
        <f aca="false">AA74+AZ74+BY74+CX74+CE74+BZ74+CA74+CB74</f>
        <v>0.00570767356943814</v>
      </c>
      <c r="DK74" s="57" t="n">
        <f aca="false">AD74+DD74+DA74</f>
        <v>0.0402091453694346</v>
      </c>
      <c r="DL74" s="57" t="n">
        <f aca="false">K74+AJ74+BI74+CH74+DG74</f>
        <v>0.878558535122568</v>
      </c>
      <c r="DM74" s="58" t="n">
        <f aca="false">SUM(DH74:DL74)</f>
        <v>1</v>
      </c>
      <c r="DN74" s="19" t="n">
        <f aca="false">dt*(G74*Warfarin!$H$2+(H74+I74+J74)*c_aspirin)</f>
        <v>7.20116023592712</v>
      </c>
      <c r="DO74" s="19" t="n">
        <f aca="false">dt*(H74*c_lt_minor_stroke+I74*c_lt_major_stroke)</f>
        <v>74.3881156257383</v>
      </c>
      <c r="DP74" s="19" t="n">
        <f aca="false">AH74+BG74+CF74+DE74</f>
        <v>71.173751545138</v>
      </c>
      <c r="DQ74" s="19" t="n">
        <f aca="false">DN74+DO74+DP74</f>
        <v>152.763027406803</v>
      </c>
      <c r="DR74" s="57" t="n">
        <f aca="false">dt*(G74*(u_af-dec_per_year_over_70*MAX(B74-ref_age,0))+H74*(u_minor_stroke-dec_per_year_over_70*MAX(B74-ref_age,0))+I74*(u_major_stroke-dec_per_year_over_70*MAX(B74-ref_age,0))+J74*(u_af-dec_per_year_over_70*MAX(B74-ref_age,0)))-AI74-BH74-CG74-DF74</f>
        <v>0.0252073579605508</v>
      </c>
      <c r="DS74" s="57" t="n">
        <f aca="false">dt*(G74+H74+I74+J74)</f>
        <v>0.0325236741391972</v>
      </c>
      <c r="DT74" s="19" t="n">
        <f aca="false">DQ74*C74</f>
        <v>118.602962814832</v>
      </c>
      <c r="DU74" s="19" t="n">
        <f aca="false">DN74*C74</f>
        <v>5.59087466505181</v>
      </c>
      <c r="DV74" s="19" t="n">
        <f aca="false">DP74*C74</f>
        <v>55.2582516279994</v>
      </c>
      <c r="DW74" s="19" t="n">
        <f aca="false">DO74*C74</f>
        <v>57.7538365217811</v>
      </c>
      <c r="DX74" s="57" t="n">
        <f aca="false">DR74*C74</f>
        <v>0.0195706211745462</v>
      </c>
      <c r="DY74" s="57" t="n">
        <f aca="false">DS74*C74</f>
        <v>0.0252509012161743</v>
      </c>
      <c r="DZ74" s="57" t="n">
        <f aca="false">T74+AS74+BR74+CQ74</f>
        <v>0.00151026476743414</v>
      </c>
      <c r="EA74" s="57" t="n">
        <f aca="false">U74+AT74+BS74+CR74</f>
        <v>0.000188825858590665</v>
      </c>
      <c r="EB74" s="57" t="n">
        <f aca="false">V74+AU74+BT74+CS74</f>
        <v>0.00108540084309739</v>
      </c>
      <c r="EC74" s="57" t="n">
        <f aca="false">G74*dt*C74</f>
        <v>0.0133407545374055</v>
      </c>
    </row>
    <row r="75" customFormat="false" ht="15" hidden="false" customHeight="false" outlineLevel="0" collapsed="false">
      <c r="A75" s="8" t="n">
        <v>69</v>
      </c>
      <c r="B75" s="54" t="n">
        <f aca="false">start_age+A75*dt</f>
        <v>87.25</v>
      </c>
      <c r="C75" s="16" t="n">
        <f aca="false">(1+disc_rate)^-(A75*dt)</f>
        <v>0.773500807110403</v>
      </c>
      <c r="D75" s="55" t="n">
        <f aca="false">IF(A75*dt&gt;=wane_start,(1-wane_decay)^(A75*dt-wane_start),1)</f>
        <v>1</v>
      </c>
      <c r="E75" s="25" t="n">
        <f aca="false">MIN(p_nonvasc_death*MIN(EXP(gomp_int+gomp_slope*INT(B75)),1)/qx_ref,0.999)</f>
        <v>0.195444778724258</v>
      </c>
      <c r="F75" s="55" t="n">
        <f aca="false">rr_stroke_per_decade^((B75-ref_age)/10)</f>
        <v>2.0125997845904</v>
      </c>
      <c r="G75" s="57" t="n">
        <f aca="false">DH74</f>
        <v>0.0638885628907105</v>
      </c>
      <c r="H75" s="57" t="n">
        <f aca="false">DI74</f>
        <v>0.0116360830478496</v>
      </c>
      <c r="I75" s="57" t="n">
        <f aca="false">DJ74</f>
        <v>0.00570767356943814</v>
      </c>
      <c r="J75" s="57" t="n">
        <f aca="false">DK74</f>
        <v>0.0402091453694346</v>
      </c>
      <c r="K75" s="57" t="n">
        <f aca="false">DL74</f>
        <v>0.878558535122568</v>
      </c>
      <c r="L75" s="57" t="n">
        <f aca="false">1-EXP(LN(1-E75)*dt)</f>
        <v>0.0529149866528664</v>
      </c>
      <c r="M75" s="57" t="n">
        <f aca="false">G75*(1-L75)</f>
        <v>0.0605079004380777</v>
      </c>
      <c r="N75" s="57" t="n">
        <f aca="false">IF(Warfarin!$B$2=1,EXP(LN(or_apx_stroke)*D75)*(1-EXP(-r_stroke*F75*dt))/(1-(1-EXP(-r_stroke*F75*dt))+EXP(LN(or_apx_stroke)*D75)*(1-EXP(-r_stroke*F75*dt))),(1-EXP(-r_stroke*F75*dt)))</f>
        <v>0.00808265590079493</v>
      </c>
      <c r="O75" s="57" t="n">
        <f aca="false">IF(Warfarin!$B$2=1,EXP(LN(or_apx_ich)*D75)*(1-EXP(-r_ich*dt))/(1-(1-EXP(-r_ich*dt))+EXP(LN(or_apx_ich)*D75)*(1-EXP(-r_ich*dt))),(1-EXP(-r_ich*dt)))</f>
        <v>0.0020060281549299</v>
      </c>
      <c r="P75" s="57" t="n">
        <f aca="false">IF(Warfarin!$B$2=1,EXP(LN(or_apx_mb)*D75)*(1-EXP(-r_mb*dt))/(1-(1-EXP(-r_mb*dt))+EXP(LN(or_apx_mb)*D75)*(1-EXP(-r_mb*dt))),(1-EXP(-r_mb*dt)))</f>
        <v>0.00835410477572107</v>
      </c>
      <c r="Q75" s="57" t="n">
        <f aca="false">IF(Warfarin!$B$2=1,EXP(LN(or_apx_mi)*D75)*(1-EXP(-r_mi*dt))/(1-(1-EXP(-r_mi*dt))+EXP(LN(or_apx_mi)*D75)*(1-EXP(-r_mi*dt))),(1-EXP(-r_mi*dt)))</f>
        <v>0.00150338686144691</v>
      </c>
      <c r="R75" s="57" t="n">
        <f aca="false">(1-EXP(-r_tia*dt))</f>
        <v>0.0020060281549299</v>
      </c>
      <c r="S75" s="57" t="n">
        <f aca="false">(1-EXP(-r_minor*dt))</f>
        <v>0.0437937690785545</v>
      </c>
      <c r="T75" s="57" t="n">
        <f aca="false">M75*N75</f>
        <v>0.000489064538520541</v>
      </c>
      <c r="U75" s="57" t="n">
        <f aca="false">M75*O75</f>
        <v>0.000121380551874479</v>
      </c>
      <c r="V75" s="57" t="n">
        <f aca="false">M75*P75</f>
        <v>0.0005054893400186</v>
      </c>
      <c r="W75" s="57" t="n">
        <f aca="false">M75*Q75</f>
        <v>9.09667825323437E-005</v>
      </c>
      <c r="X75" s="57" t="n">
        <f aca="false">M75*R75</f>
        <v>0.000121380551874479</v>
      </c>
      <c r="Y75" s="57" t="n">
        <f aca="false">M75*S75</f>
        <v>0.00264986901921334</v>
      </c>
      <c r="Z75" s="57" t="n">
        <f aca="false">T75*f_stroke_fatal</f>
        <v>0.000115908295629368</v>
      </c>
      <c r="AA75" s="57" t="n">
        <f aca="false">T75*(1-f_stroke_fatal)*f_stroke_major</f>
        <v>0.000124261028882761</v>
      </c>
      <c r="AB75" s="57" t="n">
        <f aca="false">T75*(1-f_stroke_fatal)*(1-f_stroke_major)</f>
        <v>0.000248895214008412</v>
      </c>
      <c r="AC75" s="57" t="n">
        <f aca="false">U75*(1-f_bleed_fatal)</f>
        <v>0.000111184585517023</v>
      </c>
      <c r="AD75" s="57" t="n">
        <f aca="false">V75*(1-f_bleed_fatal)</f>
        <v>0.000463028235457038</v>
      </c>
      <c r="AE75" s="57" t="n">
        <f aca="false">W75*f_mi_fatal</f>
        <v>1.10069806864136E-005</v>
      </c>
      <c r="AF75" s="57" t="n">
        <f aca="false">W75-AE75</f>
        <v>7.99598018459301E-005</v>
      </c>
      <c r="AG75" s="57" t="n">
        <f aca="false">M75-T75-U75-V75-AE75</f>
        <v>0.0593809590269777</v>
      </c>
      <c r="AH75" s="19" t="n">
        <f aca="false">Z75*c_stroke_fatal+AA75*c_stroke_major+AB75*c_stroke_minor+U75*c_ich+V75*c_major_bleed+AE75*c_mi_fatal+AF75*c_mi_nonfatal+X75*c_tia+Y75*c_minor_bleed</f>
        <v>26.3111942757444</v>
      </c>
      <c r="AI75" s="57" t="n">
        <f aca="false">dt*(AF75*dec_mi+AD75*dec_major_bleed+Y75*dec_minor_bleed+X75*dec_tia)</f>
        <v>2.48860167464084E-005</v>
      </c>
      <c r="AJ75" s="57" t="n">
        <f aca="false">G75*L75+Z75+U75-AC75+V75-AD75+AE75</f>
        <v>0.00356023479986756</v>
      </c>
      <c r="AK75" s="57" t="n">
        <f aca="false">1-EXP(LN(1-E75)*hr_death_prior_stroke*dt)</f>
        <v>0.11754083463624</v>
      </c>
      <c r="AL75" s="57" t="n">
        <f aca="false">H75*(1-AK75)</f>
        <v>0.0102683681345087</v>
      </c>
      <c r="AM75" s="57" t="n">
        <f aca="false">(1-EXP(-r_stroke*F75*rr_stroke_prior*rr_asa_stroke*dt))</f>
        <v>0.0285093491443379</v>
      </c>
      <c r="AN75" s="57" t="n">
        <f aca="false">(1-EXP(-r_ich*rr_asa_ich*dt))</f>
        <v>0.00102357767802375</v>
      </c>
      <c r="AO75" s="57" t="n">
        <f aca="false">(1-EXP(-r_mb*rr_asa_mb*dt))</f>
        <v>0.00951809672747972</v>
      </c>
      <c r="AP75" s="57" t="n">
        <f aca="false">(1-EXP(-r_mi*rr_asa_mi*dt))</f>
        <v>0.00213413516393479</v>
      </c>
      <c r="AQ75" s="57" t="n">
        <f aca="false">(1-EXP(-r_tia*rr_asa_tia*dt))</f>
        <v>0.00312764565589152</v>
      </c>
      <c r="AR75" s="57" t="n">
        <f aca="false">(1-EXP(-r_minor*rr_asa_minor*dt))</f>
        <v>0.0278181950466747</v>
      </c>
      <c r="AS75" s="57" t="n">
        <f aca="false">AL75*AM75</f>
        <v>0.000292744492289303</v>
      </c>
      <c r="AT75" s="57" t="n">
        <f aca="false">AL75*AN75</f>
        <v>1.05104724122135E-005</v>
      </c>
      <c r="AU75" s="57" t="n">
        <f aca="false">AL75*AO75</f>
        <v>9.77353211376246E-005</v>
      </c>
      <c r="AV75" s="57" t="n">
        <f aca="false">AL75*AP75</f>
        <v>2.19140855120826E-005</v>
      </c>
      <c r="AW75" s="57" t="n">
        <f aca="false">AL75*AQ75</f>
        <v>3.21158169889912E-005</v>
      </c>
      <c r="AX75" s="57" t="n">
        <f aca="false">AL75*AR75</f>
        <v>0.000285647467576823</v>
      </c>
      <c r="AY75" s="57" t="n">
        <f aca="false">AS75*f_stroke_fatal_recur</f>
        <v>0.000108927298135927</v>
      </c>
      <c r="AZ75" s="57" t="n">
        <f aca="false">AS75*(1-f_stroke_fatal_recur)*f_stroke_major</f>
        <v>6.12111256530743E-005</v>
      </c>
      <c r="BA75" s="57" t="n">
        <f aca="false">AS75*(1-f_stroke_fatal_recur)*(1-f_stroke_major)</f>
        <v>0.000122606068500302</v>
      </c>
      <c r="BB75" s="57" t="n">
        <f aca="false">AT75*(1-f_bleed_fatal)</f>
        <v>9.62759272958754E-006</v>
      </c>
      <c r="BC75" s="57" t="n">
        <f aca="false">AU75*(1-f_bleed_fatal)</f>
        <v>8.95255541620642E-005</v>
      </c>
      <c r="BD75" s="57" t="n">
        <f aca="false">AV75*f_mi_fatal</f>
        <v>2.65160434696199E-006</v>
      </c>
      <c r="BE75" s="57" t="n">
        <f aca="false">AV75-BD75</f>
        <v>1.92624811651206E-005</v>
      </c>
      <c r="BF75" s="57" t="n">
        <f aca="false">AL75-AS75-AT75-AU75-BD75</f>
        <v>0.00986472624432263</v>
      </c>
      <c r="BG75" s="19" t="n">
        <f aca="false">AY75*c_stroke_fatal+AZ75*c_stroke_major+BA75*c_stroke_minor+AT75*c_ich+AU75*c_major_bleed+BD75*c_mi_fatal+BE75*c_mi_nonfatal+AW75*c_tia+AX75*c_minor_bleed</f>
        <v>11.4763917306988</v>
      </c>
      <c r="BH75" s="57" t="n">
        <f aca="false">dt*(BE75*dec_mi+BC75*dec_major_bleed+AX75*dec_minor_bleed+AW75*dec_tia)</f>
        <v>4.41637683922869E-006</v>
      </c>
      <c r="BI75" s="57" t="n">
        <f aca="false">H75*AK75+AY75+AT75-BB75+AU75-BC75+BD75</f>
        <v>0.00148838646248192</v>
      </c>
      <c r="BJ75" s="57" t="n">
        <f aca="false">1-EXP(LN(1-E75)*hr_death_prior_stroke*dt)</f>
        <v>0.11754083463624</v>
      </c>
      <c r="BK75" s="57" t="n">
        <f aca="false">I75*(1-BJ75)</f>
        <v>0.00503678885425517</v>
      </c>
      <c r="BL75" s="57" t="n">
        <f aca="false">(1-EXP(-r_stroke*F75*rr_stroke_prior*rr_asa_stroke*dt))</f>
        <v>0.0285093491443379</v>
      </c>
      <c r="BM75" s="57" t="n">
        <f aca="false">(1-EXP(-r_ich*rr_asa_ich*dt))</f>
        <v>0.00102357767802375</v>
      </c>
      <c r="BN75" s="57" t="n">
        <f aca="false">(1-EXP(-r_mb*rr_asa_mb*dt))</f>
        <v>0.00951809672747972</v>
      </c>
      <c r="BO75" s="57" t="n">
        <f aca="false">(1-EXP(-r_mi*rr_asa_mi*dt))</f>
        <v>0.00213413516393479</v>
      </c>
      <c r="BP75" s="57" t="n">
        <f aca="false">(1-EXP(-r_tia*rr_asa_tia*dt))</f>
        <v>0.00312764565589152</v>
      </c>
      <c r="BQ75" s="57" t="n">
        <f aca="false">(1-EXP(-r_minor*rr_asa_minor*dt))</f>
        <v>0.0278181950466747</v>
      </c>
      <c r="BR75" s="57" t="n">
        <f aca="false">BK75*BL75</f>
        <v>0.00014359557201227</v>
      </c>
      <c r="BS75" s="57" t="n">
        <f aca="false">BK75*BM75</f>
        <v>5.15554464013439E-006</v>
      </c>
      <c r="BT75" s="57" t="n">
        <f aca="false">BK75*BN75</f>
        <v>4.79406435106924E-005</v>
      </c>
      <c r="BU75" s="57" t="n">
        <f aca="false">BK75*BO75</f>
        <v>1.07491882071808E-005</v>
      </c>
      <c r="BV75" s="57" t="n">
        <f aca="false">BK75*BP75</f>
        <v>1.5753290779654E-005</v>
      </c>
      <c r="BW75" s="57" t="n">
        <f aca="false">BK75*BQ75</f>
        <v>0.000140114374756588</v>
      </c>
      <c r="BX75" s="57" t="n">
        <f aca="false">BR75*f_stroke_fatal_recur</f>
        <v>5.34304763900456E-005</v>
      </c>
      <c r="BY75" s="57" t="n">
        <f aca="false">BR75*(1-f_stroke_fatal_recur)*f_stroke_major</f>
        <v>3.00249768422008E-005</v>
      </c>
      <c r="BZ75" s="57" t="n">
        <f aca="false">BR75*(1-f_stroke_fatal_recur)*(1-f_stroke_major)</f>
        <v>6.01401187800238E-005</v>
      </c>
      <c r="CA75" s="57" t="n">
        <f aca="false">BS75*(1-f_bleed_fatal)</f>
        <v>4.7224788903631E-006</v>
      </c>
      <c r="CB75" s="57" t="n">
        <f aca="false">BT75*(1-f_bleed_fatal)</f>
        <v>4.39136294557943E-005</v>
      </c>
      <c r="CC75" s="57" t="n">
        <f aca="false">BU75*f_mi_fatal</f>
        <v>1.30065177306888E-006</v>
      </c>
      <c r="CD75" s="57" t="n">
        <f aca="false">BU75-CC75</f>
        <v>9.44853643411191E-006</v>
      </c>
      <c r="CE75" s="57" t="n">
        <f aca="false">BK75-BR75-BS75-BT75-CC75</f>
        <v>0.004838796442319</v>
      </c>
      <c r="CF75" s="19" t="n">
        <f aca="false">BX75*c_stroke_fatal+BY75*c_stroke_major+BZ75*c_stroke_minor+BS75*c_ich+BT75*c_major_bleed+CC75*c_mi_fatal+CD75*c_mi_nonfatal+BV75*c_tia+BW75*c_minor_bleed</f>
        <v>5.62934257898177</v>
      </c>
      <c r="CG75" s="57" t="n">
        <f aca="false">dt*(CD75*dec_mi+CB75*dec_major_bleed+BW75*dec_minor_bleed+BV75*dec_tia)</f>
        <v>2.16629919658427E-006</v>
      </c>
      <c r="CH75" s="57" t="n">
        <f aca="false">I75*BJ75+BX75+BS75-CA75+BT75-CB75+CC75</f>
        <v>0.00073007592315075</v>
      </c>
      <c r="CI75" s="57" t="n">
        <f aca="false">1-EXP(LN(1-E75)*dt)</f>
        <v>0.0529149866528664</v>
      </c>
      <c r="CJ75" s="57" t="n">
        <f aca="false">J75*(1-CI75)</f>
        <v>0.0380814789788878</v>
      </c>
      <c r="CK75" s="57" t="n">
        <f aca="false">(1-EXP(-r_stroke*F75*rr_asa_stroke*dt))</f>
        <v>0.0130610604882095</v>
      </c>
      <c r="CL75" s="57" t="n">
        <f aca="false">(1-EXP(-r_ich*rr_asa_ich*dt))</f>
        <v>0.00102357767802375</v>
      </c>
      <c r="CM75" s="57" t="n">
        <f aca="false">(1-EXP(-r_mb*rr_asa_mb*dt))</f>
        <v>0.00951809672747972</v>
      </c>
      <c r="CN75" s="57" t="n">
        <f aca="false">(1-EXP(-r_mi*rr_asa_mi*dt))</f>
        <v>0.00213413516393479</v>
      </c>
      <c r="CO75" s="57" t="n">
        <f aca="false">(1-EXP(-r_tia*rr_asa_tia*dt))</f>
        <v>0.00312764565589152</v>
      </c>
      <c r="CP75" s="57" t="n">
        <f aca="false">(1-EXP(-r_minor*rr_asa_minor*dt))</f>
        <v>0.0278181950466747</v>
      </c>
      <c r="CQ75" s="57" t="n">
        <f aca="false">CJ75*CK75</f>
        <v>0.000497384500423734</v>
      </c>
      <c r="CR75" s="57" t="n">
        <f aca="false">CJ75*CL75</f>
        <v>3.89793518289201E-005</v>
      </c>
      <c r="CS75" s="57" t="n">
        <f aca="false">CJ75*CM75</f>
        <v>0.00036246320044654</v>
      </c>
      <c r="CT75" s="57" t="n">
        <f aca="false">CJ75*CN75</f>
        <v>8.12710233834881E-005</v>
      </c>
      <c r="CU75" s="57" t="n">
        <f aca="false">CJ75*CO75</f>
        <v>0.000119105372298243</v>
      </c>
      <c r="CV75" s="57" t="n">
        <f aca="false">CJ75*CP75</f>
        <v>0.00105935800990054</v>
      </c>
      <c r="CW75" s="57" t="n">
        <f aca="false">CQ75*f_stroke_fatal</f>
        <v>0.000117880126600425</v>
      </c>
      <c r="CX75" s="57" t="n">
        <f aca="false">CQ75*(1-f_stroke_fatal)*f_stroke_major</f>
        <v>0.000126374956483162</v>
      </c>
      <c r="CY75" s="57" t="n">
        <f aca="false">CQ75*(1-f_stroke_fatal)*(1-f_stroke_major)</f>
        <v>0.000253129417340147</v>
      </c>
      <c r="CZ75" s="57" t="n">
        <f aca="false">CR75*(1-f_bleed_fatal)</f>
        <v>3.57050862752908E-005</v>
      </c>
      <c r="DA75" s="57" t="n">
        <f aca="false">CS75*(1-f_bleed_fatal)</f>
        <v>0.000332016291609031</v>
      </c>
      <c r="DB75" s="57" t="n">
        <f aca="false">CT75*f_mi_fatal</f>
        <v>9.83379382940206E-006</v>
      </c>
      <c r="DC75" s="57" t="n">
        <f aca="false">CT75-DB75</f>
        <v>7.14372295540861E-005</v>
      </c>
      <c r="DD75" s="57" t="n">
        <f aca="false">CJ75-CQ75-CR75-CS75-DB75</f>
        <v>0.0371728181323592</v>
      </c>
      <c r="DE75" s="19" t="n">
        <f aca="false">CW75*c_stroke_fatal+CX75*c_stroke_major+CY75*c_stroke_minor+CR75*c_ich+CS75*c_major_bleed+DB75*c_mi_fatal+DC75*c_mi_nonfatal+CU75*c_tia+CV75*c_minor_bleed</f>
        <v>23.505164443451</v>
      </c>
      <c r="DF75" s="57" t="n">
        <f aca="false">dt*(DC75*dec_mi+DA75*dec_major_bleed+CV75*dec_minor_bleed+CU75*dec_tia)</f>
        <v>1.63786649994294E-005</v>
      </c>
      <c r="DG75" s="57" t="n">
        <f aca="false">J75*CI75+CW75+CR75-CZ75+CS75-DA75+DB75</f>
        <v>0.00228910148536777</v>
      </c>
      <c r="DH75" s="57" t="n">
        <f aca="false">AG75</f>
        <v>0.0593809590269777</v>
      </c>
      <c r="DI75" s="57" t="n">
        <f aca="false">AB75+AC75+BF75+BA75+BB75+BC75+CY75+CZ75</f>
        <v>0.0107353997628555</v>
      </c>
      <c r="DJ75" s="57" t="n">
        <f aca="false">AA75+AZ75+BY75+CX75+CE75+BZ75+CA75+CB75</f>
        <v>0.00528944475730638</v>
      </c>
      <c r="DK75" s="57" t="n">
        <f aca="false">AD75+DD75+DA75</f>
        <v>0.0379678626594253</v>
      </c>
      <c r="DL75" s="57" t="n">
        <f aca="false">K75+AJ75+BI75+CH75+DG75</f>
        <v>0.886626333793436</v>
      </c>
      <c r="DM75" s="58" t="n">
        <f aca="false">SUM(DH75:DL75)</f>
        <v>1</v>
      </c>
      <c r="DN75" s="19" t="n">
        <f aca="false">dt*(G75*Warfarin!$H$2+(H75+I75+J75)*c_aspirin)</f>
        <v>6.69867330355924</v>
      </c>
      <c r="DO75" s="19" t="n">
        <f aca="false">dt*(H75*c_lt_minor_stroke+I75*c_lt_major_stroke)</f>
        <v>68.7195963940863</v>
      </c>
      <c r="DP75" s="19" t="n">
        <f aca="false">AH75+BG75+CF75+DE75</f>
        <v>66.9220930288759</v>
      </c>
      <c r="DQ75" s="19" t="n">
        <f aca="false">DN75+DO75+DP75</f>
        <v>142.340362726521</v>
      </c>
      <c r="DR75" s="57" t="n">
        <f aca="false">dt*(G75*(u_af-dec_per_year_over_70*MAX(B75-ref_age,0))+H75*(u_minor_stroke-dec_per_year_over_70*MAX(B75-ref_age,0))+I75*(u_major_stroke-dec_per_year_over_70*MAX(B75-ref_age,0))+J75*(u_af-dec_per_year_over_70*MAX(B75-ref_age,0)))-AI75-BH75-CG75-DF75</f>
        <v>0.023536419461656</v>
      </c>
      <c r="DS75" s="57" t="n">
        <f aca="false">dt*(G75+H75+I75+J75)</f>
        <v>0.0303603662193582</v>
      </c>
      <c r="DT75" s="19" t="n">
        <f aca="false">DQ75*C75</f>
        <v>110.100385453352</v>
      </c>
      <c r="DU75" s="19" t="n">
        <f aca="false">DN75*C75</f>
        <v>5.18142920687198</v>
      </c>
      <c r="DV75" s="19" t="n">
        <f aca="false">DP75*C75</f>
        <v>51.764292971353</v>
      </c>
      <c r="DW75" s="19" t="n">
        <f aca="false">DO75*C75</f>
        <v>53.1546632751269</v>
      </c>
      <c r="DX75" s="57" t="n">
        <f aca="false">DR75*C75</f>
        <v>0.0182054394500799</v>
      </c>
      <c r="DY75" s="57" t="n">
        <f aca="false">DS75*C75</f>
        <v>0.023483767774841</v>
      </c>
      <c r="DZ75" s="57" t="n">
        <f aca="false">T75+AS75+BR75+CQ75</f>
        <v>0.00142278910324585</v>
      </c>
      <c r="EA75" s="57" t="n">
        <f aca="false">U75+AT75+BS75+CR75</f>
        <v>0.000176025920755747</v>
      </c>
      <c r="EB75" s="57" t="n">
        <f aca="false">V75+AU75+BT75+CS75</f>
        <v>0.00101362850511346</v>
      </c>
      <c r="EC75" s="57" t="n">
        <f aca="false">G75*dt*C75</f>
        <v>0.0123544637402721</v>
      </c>
    </row>
    <row r="76" customFormat="false" ht="15" hidden="false" customHeight="false" outlineLevel="0" collapsed="false">
      <c r="A76" s="8" t="n">
        <v>70</v>
      </c>
      <c r="B76" s="54" t="n">
        <f aca="false">start_age+A76*dt</f>
        <v>87.5</v>
      </c>
      <c r="C76" s="16" t="n">
        <f aca="false">(1+disc_rate)^-(A76*dt)</f>
        <v>0.770627070227423</v>
      </c>
      <c r="D76" s="55" t="n">
        <f aca="false">IF(A76*dt&gt;=wane_start,(1-wane_decay)^(A76*dt-wane_start),1)</f>
        <v>1</v>
      </c>
      <c r="E76" s="25" t="n">
        <f aca="false">MIN(p_nonvasc_death*MIN(EXP(gomp_int+gomp_slope*INT(B76)),1)/qx_ref,0.999)</f>
        <v>0.195444778724258</v>
      </c>
      <c r="F76" s="55" t="n">
        <f aca="false">rr_stroke_per_decade^((B76-ref_age)/10)</f>
        <v>2.03310450812215</v>
      </c>
      <c r="G76" s="57" t="n">
        <f aca="false">DH75</f>
        <v>0.0593809590269777</v>
      </c>
      <c r="H76" s="57" t="n">
        <f aca="false">DI75</f>
        <v>0.0107353997628555</v>
      </c>
      <c r="I76" s="57" t="n">
        <f aca="false">DJ75</f>
        <v>0.00528944475730638</v>
      </c>
      <c r="J76" s="57" t="n">
        <f aca="false">DK75</f>
        <v>0.0379678626594253</v>
      </c>
      <c r="K76" s="57" t="n">
        <f aca="false">DL75</f>
        <v>0.886626333793436</v>
      </c>
      <c r="L76" s="57" t="n">
        <f aca="false">1-EXP(LN(1-E76)*dt)</f>
        <v>0.0529149866528664</v>
      </c>
      <c r="M76" s="57" t="n">
        <f aca="false">G76*(1-L76)</f>
        <v>0.0562388163726308</v>
      </c>
      <c r="N76" s="57" t="n">
        <f aca="false">IF(Warfarin!$B$2=1,EXP(LN(or_apx_stroke)*D76)*(1-EXP(-r_stroke*F76*dt))/(1-(1-EXP(-r_stroke*F76*dt))+EXP(LN(or_apx_stroke)*D76)*(1-EXP(-r_stroke*F76*dt))),(1-EXP(-r_stroke*F76*dt)))</f>
        <v>0.00816466634845126</v>
      </c>
      <c r="O76" s="57" t="n">
        <f aca="false">IF(Warfarin!$B$2=1,EXP(LN(or_apx_ich)*D76)*(1-EXP(-r_ich*dt))/(1-(1-EXP(-r_ich*dt))+EXP(LN(or_apx_ich)*D76)*(1-EXP(-r_ich*dt))),(1-EXP(-r_ich*dt)))</f>
        <v>0.0020060281549299</v>
      </c>
      <c r="P76" s="57" t="n">
        <f aca="false">IF(Warfarin!$B$2=1,EXP(LN(or_apx_mb)*D76)*(1-EXP(-r_mb*dt))/(1-(1-EXP(-r_mb*dt))+EXP(LN(or_apx_mb)*D76)*(1-EXP(-r_mb*dt))),(1-EXP(-r_mb*dt)))</f>
        <v>0.00835410477572107</v>
      </c>
      <c r="Q76" s="57" t="n">
        <f aca="false">IF(Warfarin!$B$2=1,EXP(LN(or_apx_mi)*D76)*(1-EXP(-r_mi*dt))/(1-(1-EXP(-r_mi*dt))+EXP(LN(or_apx_mi)*D76)*(1-EXP(-r_mi*dt))),(1-EXP(-r_mi*dt)))</f>
        <v>0.00150338686144691</v>
      </c>
      <c r="R76" s="57" t="n">
        <f aca="false">(1-EXP(-r_tia*dt))</f>
        <v>0.0020060281549299</v>
      </c>
      <c r="S76" s="57" t="n">
        <f aca="false">(1-EXP(-r_minor*dt))</f>
        <v>0.0437937690785545</v>
      </c>
      <c r="T76" s="57" t="n">
        <f aca="false">M76*N76</f>
        <v>0.000459171171514348</v>
      </c>
      <c r="U76" s="57" t="n">
        <f aca="false">M76*O76</f>
        <v>0.00011281664904343</v>
      </c>
      <c r="V76" s="57" t="n">
        <f aca="false">M76*P76</f>
        <v>0.000469824964439495</v>
      </c>
      <c r="W76" s="57" t="n">
        <f aca="false">M76*Q76</f>
        <v>8.45486976379384E-005</v>
      </c>
      <c r="X76" s="57" t="n">
        <f aca="false">M76*R76</f>
        <v>0.00011281664904343</v>
      </c>
      <c r="Y76" s="57" t="n">
        <f aca="false">M76*S76</f>
        <v>0.00246290973747422</v>
      </c>
      <c r="Z76" s="57" t="n">
        <f aca="false">T76*f_stroke_fatal</f>
        <v>0.0001088235676489</v>
      </c>
      <c r="AA76" s="57" t="n">
        <f aca="false">T76*(1-f_stroke_fatal)*f_stroke_major</f>
        <v>0.000116665752087194</v>
      </c>
      <c r="AB76" s="57" t="n">
        <f aca="false">T76*(1-f_stroke_fatal)*(1-f_stroke_major)</f>
        <v>0.000233681851778253</v>
      </c>
      <c r="AC76" s="57" t="n">
        <f aca="false">U76*(1-f_bleed_fatal)</f>
        <v>0.000103340050523782</v>
      </c>
      <c r="AD76" s="57" t="n">
        <f aca="false">V76*(1-f_bleed_fatal)</f>
        <v>0.000430359667426577</v>
      </c>
      <c r="AE76" s="57" t="n">
        <f aca="false">W76*f_mi_fatal</f>
        <v>1.02303924141905E-005</v>
      </c>
      <c r="AF76" s="57" t="n">
        <f aca="false">W76-AE76</f>
        <v>7.43183052237479E-005</v>
      </c>
      <c r="AG76" s="57" t="n">
        <f aca="false">M76-T76-U76-V76-AE76</f>
        <v>0.0551867731952193</v>
      </c>
      <c r="AH76" s="19" t="n">
        <f aca="false">Z76*c_stroke_fatal+AA76*c_stroke_major+AB76*c_stroke_minor+U76*c_ich+V76*c_major_bleed+AE76*c_mi_fatal+AF76*c_mi_nonfatal+X76*c_tia+Y76*c_minor_bleed</f>
        <v>24.6252388483937</v>
      </c>
      <c r="AI76" s="57" t="n">
        <f aca="false">dt*(AF76*dec_mi+AD76*dec_major_bleed+Y76*dec_minor_bleed+X76*dec_tia)</f>
        <v>2.31302047487129E-005</v>
      </c>
      <c r="AJ76" s="57" t="n">
        <f aca="false">G76*L76+Z76+U76-AC76+V76-AD76+AE76</f>
        <v>0.00331013850994259</v>
      </c>
      <c r="AK76" s="57" t="n">
        <f aca="false">1-EXP(LN(1-E76)*hr_death_prior_stroke*dt)</f>
        <v>0.11754083463624</v>
      </c>
      <c r="AL76" s="57" t="n">
        <f aca="false">H76*(1-AK76)</f>
        <v>0.00947355191457573</v>
      </c>
      <c r="AM76" s="57" t="n">
        <f aca="false">(1-EXP(-r_stroke*F76*rr_stroke_prior*rr_asa_stroke*dt))</f>
        <v>0.028795584967643</v>
      </c>
      <c r="AN76" s="57" t="n">
        <f aca="false">(1-EXP(-r_ich*rr_asa_ich*dt))</f>
        <v>0.00102357767802375</v>
      </c>
      <c r="AO76" s="57" t="n">
        <f aca="false">(1-EXP(-r_mb*rr_asa_mb*dt))</f>
        <v>0.00951809672747972</v>
      </c>
      <c r="AP76" s="57" t="n">
        <f aca="false">(1-EXP(-r_mi*rr_asa_mi*dt))</f>
        <v>0.00213413516393479</v>
      </c>
      <c r="AQ76" s="57" t="n">
        <f aca="false">(1-EXP(-r_tia*rr_asa_tia*dt))</f>
        <v>0.00312764565589152</v>
      </c>
      <c r="AR76" s="57" t="n">
        <f aca="false">(1-EXP(-r_minor*rr_asa_minor*dt))</f>
        <v>0.0278181950466747</v>
      </c>
      <c r="AS76" s="57" t="n">
        <f aca="false">AL76*AM76</f>
        <v>0.000272796469101543</v>
      </c>
      <c r="AT76" s="57" t="n">
        <f aca="false">AL76*AN76</f>
        <v>9.69691627135884E-006</v>
      </c>
      <c r="AU76" s="57" t="n">
        <f aca="false">AL76*AO76</f>
        <v>9.01701834757325E-005</v>
      </c>
      <c r="AV76" s="57" t="n">
        <f aca="false">AL76*AP76</f>
        <v>2.02178402682578E-005</v>
      </c>
      <c r="AW76" s="57" t="n">
        <f aca="false">AL76*AQ76</f>
        <v>2.96299134914856E-005</v>
      </c>
      <c r="AX76" s="57" t="n">
        <f aca="false">AL76*AR76</f>
        <v>0.000263537114944466</v>
      </c>
      <c r="AY76" s="57" t="n">
        <f aca="false">AS76*f_stroke_fatal_recur</f>
        <v>0.000101504838187993</v>
      </c>
      <c r="AZ76" s="57" t="n">
        <f aca="false">AS76*(1-f_stroke_fatal_recur)*f_stroke_major</f>
        <v>5.7040113094212E-005</v>
      </c>
      <c r="BA76" s="57" t="n">
        <f aca="false">AS76*(1-f_stroke_fatal_recur)*(1-f_stroke_major)</f>
        <v>0.000114251517819338</v>
      </c>
      <c r="BB76" s="57" t="n">
        <f aca="false">AT76*(1-f_bleed_fatal)</f>
        <v>8.8823753045647E-006</v>
      </c>
      <c r="BC76" s="57" t="n">
        <f aca="false">AU76*(1-f_bleed_fatal)</f>
        <v>8.2595888063771E-005</v>
      </c>
      <c r="BD76" s="57" t="n">
        <f aca="false">AV76*f_mi_fatal</f>
        <v>2.4463586724592E-006</v>
      </c>
      <c r="BE76" s="57" t="n">
        <f aca="false">AV76-BD76</f>
        <v>1.77714815957986E-005</v>
      </c>
      <c r="BF76" s="57" t="n">
        <f aca="false">AL76-AS76-AT76-AU76-BD76</f>
        <v>0.00909844198705464</v>
      </c>
      <c r="BG76" s="19" t="n">
        <f aca="false">AY76*c_stroke_fatal+AZ76*c_stroke_major+BA76*c_stroke_minor+AT76*c_ich+AU76*c_major_bleed+BD76*c_mi_fatal+BE76*c_mi_nonfatal+AW76*c_tia+AX76*c_minor_bleed</f>
        <v>10.6815661534296</v>
      </c>
      <c r="BH76" s="57" t="n">
        <f aca="false">dt*(BE76*dec_mi+BC76*dec_major_bleed+AX76*dec_minor_bleed+AW76*dec_tia)</f>
        <v>4.07453012131071E-006</v>
      </c>
      <c r="BI76" s="57" t="n">
        <f aca="false">H76*AK76+AY76+AT76-BB76+AU76-BC76+BD76</f>
        <v>0.00137418788151893</v>
      </c>
      <c r="BJ76" s="57" t="n">
        <f aca="false">1-EXP(LN(1-E76)*hr_death_prior_stroke*dt)</f>
        <v>0.11754083463624</v>
      </c>
      <c r="BK76" s="57" t="n">
        <f aca="false">I76*(1-BJ76)</f>
        <v>0.00466771900577031</v>
      </c>
      <c r="BL76" s="57" t="n">
        <f aca="false">(1-EXP(-r_stroke*F76*rr_stroke_prior*rr_asa_stroke*dt))</f>
        <v>0.028795584967643</v>
      </c>
      <c r="BM76" s="57" t="n">
        <f aca="false">(1-EXP(-r_ich*rr_asa_ich*dt))</f>
        <v>0.00102357767802375</v>
      </c>
      <c r="BN76" s="57" t="n">
        <f aca="false">(1-EXP(-r_mb*rr_asa_mb*dt))</f>
        <v>0.00951809672747972</v>
      </c>
      <c r="BO76" s="57" t="n">
        <f aca="false">(1-EXP(-r_mi*rr_asa_mi*dt))</f>
        <v>0.00213413516393479</v>
      </c>
      <c r="BP76" s="57" t="n">
        <f aca="false">(1-EXP(-r_tia*rr_asa_tia*dt))</f>
        <v>0.00312764565589152</v>
      </c>
      <c r="BQ76" s="57" t="n">
        <f aca="false">(1-EXP(-r_minor*rr_asa_minor*dt))</f>
        <v>0.0278181950466747</v>
      </c>
      <c r="BR76" s="57" t="n">
        <f aca="false">BK76*BL76</f>
        <v>0.000134409699235741</v>
      </c>
      <c r="BS76" s="57" t="n">
        <f aca="false">BK76*BM76</f>
        <v>4.77777298159368E-006</v>
      </c>
      <c r="BT76" s="57" t="n">
        <f aca="false">BK76*BN76</f>
        <v>4.44278009936172E-005</v>
      </c>
      <c r="BU76" s="57" t="n">
        <f aca="false">BK76*BO76</f>
        <v>9.96154326558115E-006</v>
      </c>
      <c r="BV76" s="57" t="n">
        <f aca="false">BK76*BP76</f>
        <v>1.45989710713198E-005</v>
      </c>
      <c r="BW76" s="57" t="n">
        <f aca="false">BK76*BQ76</f>
        <v>0.000129847517725589</v>
      </c>
      <c r="BX76" s="57" t="n">
        <f aca="false">BR76*f_stroke_fatal_recur</f>
        <v>5.00125049886269E-005</v>
      </c>
      <c r="BY76" s="57" t="n">
        <f aca="false">BR76*(1-f_stroke_fatal_recur)*f_stroke_major</f>
        <v>2.8104265684289E-005</v>
      </c>
      <c r="BZ76" s="57" t="n">
        <f aca="false">BR76*(1-f_stroke_fatal_recur)*(1-f_stroke_major)</f>
        <v>5.62929285628251E-005</v>
      </c>
      <c r="CA76" s="57" t="n">
        <f aca="false">BS76*(1-f_bleed_fatal)</f>
        <v>4.37644005113981E-006</v>
      </c>
      <c r="CB76" s="57" t="n">
        <f aca="false">BT76*(1-f_bleed_fatal)</f>
        <v>4.06958657101534E-005</v>
      </c>
      <c r="CC76" s="57" t="n">
        <f aca="false">BU76*f_mi_fatal</f>
        <v>1.20534673513532E-006</v>
      </c>
      <c r="CD76" s="57" t="n">
        <f aca="false">BU76-CC76</f>
        <v>8.75619653044583E-006</v>
      </c>
      <c r="CE76" s="57" t="n">
        <f aca="false">BK76-BR76-BS76-BT76-CC76</f>
        <v>0.00448289838582422</v>
      </c>
      <c r="CF76" s="19" t="n">
        <f aca="false">BX76*c_stroke_fatal+BY76*c_stroke_major+BZ76*c_stroke_minor+BS76*c_ich+BT76*c_major_bleed+CC76*c_mi_fatal+CD76*c_mi_nonfatal+BV76*c_tia+BW76*c_minor_bleed</f>
        <v>5.26292036981876</v>
      </c>
      <c r="CG76" s="57" t="n">
        <f aca="false">dt*(CD76*dec_mi+CB76*dec_major_bleed+BW76*dec_minor_bleed+BV76*dec_tia)</f>
        <v>2.00756399060461E-006</v>
      </c>
      <c r="CH76" s="57" t="n">
        <f aca="false">I76*BJ76+BX76+BS76-CA76+BT76-CB76+CC76</f>
        <v>0.000677076871473756</v>
      </c>
      <c r="CI76" s="57" t="n">
        <f aca="false">1-EXP(LN(1-E76)*dt)</f>
        <v>0.0529149866528664</v>
      </c>
      <c r="CJ76" s="57" t="n">
        <f aca="false">J76*(1-CI76)</f>
        <v>0.035958793713564</v>
      </c>
      <c r="CK76" s="57" t="n">
        <f aca="false">(1-EXP(-r_stroke*F76*rr_asa_stroke*dt))</f>
        <v>0.0131932472202096</v>
      </c>
      <c r="CL76" s="57" t="n">
        <f aca="false">(1-EXP(-r_ich*rr_asa_ich*dt))</f>
        <v>0.00102357767802375</v>
      </c>
      <c r="CM76" s="57" t="n">
        <f aca="false">(1-EXP(-r_mb*rr_asa_mb*dt))</f>
        <v>0.00951809672747972</v>
      </c>
      <c r="CN76" s="57" t="n">
        <f aca="false">(1-EXP(-r_mi*rr_asa_mi*dt))</f>
        <v>0.00213413516393479</v>
      </c>
      <c r="CO76" s="57" t="n">
        <f aca="false">(1-EXP(-r_tia*rr_asa_tia*dt))</f>
        <v>0.00312764565589152</v>
      </c>
      <c r="CP76" s="57" t="n">
        <f aca="false">(1-EXP(-r_minor*rr_asa_minor*dt))</f>
        <v>0.0278181950466747</v>
      </c>
      <c r="CQ76" s="57" t="n">
        <f aca="false">CJ76*CK76</f>
        <v>0.00047441325520357</v>
      </c>
      <c r="CR76" s="57" t="n">
        <f aca="false">CJ76*CL76</f>
        <v>3.68066185738647E-005</v>
      </c>
      <c r="CS76" s="57" t="n">
        <f aca="false">CJ76*CM76</f>
        <v>0.000342259276769191</v>
      </c>
      <c r="CT76" s="57" t="n">
        <f aca="false">CJ76*CN76</f>
        <v>7.67409261167942E-005</v>
      </c>
      <c r="CU76" s="57" t="n">
        <f aca="false">CJ76*CO76</f>
        <v>0.000112466364949328</v>
      </c>
      <c r="CV76" s="57" t="n">
        <f aca="false">CJ76*CP76</f>
        <v>0.00100030873716706</v>
      </c>
      <c r="CW76" s="57" t="n">
        <f aca="false">CQ76*f_stroke_fatal</f>
        <v>0.000112435941483246</v>
      </c>
      <c r="CX76" s="57" t="n">
        <f aca="false">CQ76*(1-f_stroke_fatal)*f_stroke_major</f>
        <v>0.000120538445468868</v>
      </c>
      <c r="CY76" s="57" t="n">
        <f aca="false">CQ76*(1-f_stroke_fatal)*(1-f_stroke_major)</f>
        <v>0.000241438868251456</v>
      </c>
      <c r="CZ76" s="57" t="n">
        <f aca="false">CR76*(1-f_bleed_fatal)</f>
        <v>3.371486261366E-005</v>
      </c>
      <c r="DA76" s="57" t="n">
        <f aca="false">CS76*(1-f_bleed_fatal)</f>
        <v>0.000313509497520579</v>
      </c>
      <c r="DB76" s="57" t="n">
        <f aca="false">CT76*f_mi_fatal</f>
        <v>9.28565206013209E-006</v>
      </c>
      <c r="DC76" s="57" t="n">
        <f aca="false">CT76-DB76</f>
        <v>6.74552740566621E-005</v>
      </c>
      <c r="DD76" s="57" t="n">
        <f aca="false">CJ76-CQ76-CR76-CS76-DB76</f>
        <v>0.0350960289109572</v>
      </c>
      <c r="DE76" s="19" t="n">
        <f aca="false">CW76*c_stroke_fatal+CX76*c_stroke_major+CY76*c_stroke_minor+CR76*c_ich+CS76*c_major_bleed+DB76*c_mi_fatal+DC76*c_mi_nonfatal+CU76*c_tia+CV76*c_minor_bleed</f>
        <v>22.3705942597415</v>
      </c>
      <c r="DF76" s="57" t="n">
        <f aca="false">dt*(DC76*dec_mi+DA76*dec_major_bleed+CV76*dec_minor_bleed+CU76*dec_tia)</f>
        <v>1.54657080504822E-005</v>
      </c>
      <c r="DG76" s="57" t="n">
        <f aca="false">J76*CI76+CW76+CR76-CZ76+CS76-DA76+DB76</f>
        <v>0.00216263207461355</v>
      </c>
      <c r="DH76" s="57" t="n">
        <f aca="false">AG76</f>
        <v>0.0551867731952193</v>
      </c>
      <c r="DI76" s="57" t="n">
        <f aca="false">AB76+AC76+BF76+BA76+BB76+BC76+CY76+CZ76</f>
        <v>0.00991634740140946</v>
      </c>
      <c r="DJ76" s="57" t="n">
        <f aca="false">AA76+AZ76+BY76+CX76+CE76+BZ76+CA76+CB76</f>
        <v>0.0049066121964829</v>
      </c>
      <c r="DK76" s="57" t="n">
        <f aca="false">AD76+DD76+DA76</f>
        <v>0.0358398980759044</v>
      </c>
      <c r="DL76" s="57" t="n">
        <f aca="false">K76+AJ76+BI76+CH76+DG76</f>
        <v>0.894150369130985</v>
      </c>
      <c r="DM76" s="58" t="n">
        <f aca="false">SUM(DH76:DL76)</f>
        <v>1</v>
      </c>
      <c r="DN76" s="19" t="n">
        <f aca="false">dt*(G76*Warfarin!$H$2+(H76+I76+J76)*c_aspirin)</f>
        <v>6.23093795991539</v>
      </c>
      <c r="DO76" s="19" t="n">
        <f aca="false">dt*(H76*c_lt_minor_stroke+I76*c_lt_major_stroke)</f>
        <v>63.5542805647881</v>
      </c>
      <c r="DP76" s="19" t="n">
        <f aca="false">AH76+BG76+CF76+DE76</f>
        <v>62.9403196313835</v>
      </c>
      <c r="DQ76" s="19" t="n">
        <f aca="false">DN76+DO76+DP76</f>
        <v>132.725538156087</v>
      </c>
      <c r="DR76" s="57" t="n">
        <f aca="false">dt*(G76*(u_af-dec_per_year_over_70*MAX(B76-ref_age,0))+H76*(u_minor_stroke-dec_per_year_over_70*MAX(B76-ref_age,0))+I76*(u_major_stroke-dec_per_year_over_70*MAX(B76-ref_age,0))+J76*(u_af-dec_per_year_over_70*MAX(B76-ref_age,0)))-AI76-BH76-CG76-DF76</f>
        <v>0.0219773203326913</v>
      </c>
      <c r="DS76" s="57" t="n">
        <f aca="false">dt*(G76+H76+I76+J76)</f>
        <v>0.0283434165516412</v>
      </c>
      <c r="DT76" s="19" t="n">
        <f aca="false">DQ76*C76</f>
        <v>102.281892613583</v>
      </c>
      <c r="DU76" s="19" t="n">
        <f aca="false">DN76*C76</f>
        <v>4.80172946481843</v>
      </c>
      <c r="DV76" s="19" t="n">
        <f aca="false">DP76*C76</f>
        <v>48.5035141167106</v>
      </c>
      <c r="DW76" s="19" t="n">
        <f aca="false">DO76*C76</f>
        <v>48.9766490320543</v>
      </c>
      <c r="DX76" s="57" t="n">
        <f aca="false">DR76*C76</f>
        <v>0.0169363179794315</v>
      </c>
      <c r="DY76" s="57" t="n">
        <f aca="false">DS76*C76</f>
        <v>0.0218422040574267</v>
      </c>
      <c r="DZ76" s="57" t="n">
        <f aca="false">T76+AS76+BR76+CQ76</f>
        <v>0.0013407905950552</v>
      </c>
      <c r="EA76" s="57" t="n">
        <f aca="false">U76+AT76+BS76+CR76</f>
        <v>0.000164097956870247</v>
      </c>
      <c r="EB76" s="57" t="n">
        <f aca="false">V76+AU76+BT76+CS76</f>
        <v>0.000946682225678036</v>
      </c>
      <c r="EC76" s="57" t="n">
        <f aca="false">G76*dt*C76</f>
        <v>0.0114401436205636</v>
      </c>
    </row>
    <row r="77" customFormat="false" ht="15" hidden="false" customHeight="false" outlineLevel="0" collapsed="false">
      <c r="A77" s="8" t="n">
        <v>71</v>
      </c>
      <c r="B77" s="54" t="n">
        <f aca="false">start_age+A77*dt</f>
        <v>87.75</v>
      </c>
      <c r="C77" s="16" t="n">
        <f aca="false">(1+disc_rate)^-(A77*dt)</f>
        <v>0.76776400995085</v>
      </c>
      <c r="D77" s="55" t="n">
        <f aca="false">IF(A77*dt&gt;=wane_start,(1-wane_decay)^(A77*dt-wane_start),1)</f>
        <v>1</v>
      </c>
      <c r="E77" s="25" t="n">
        <f aca="false">MIN(p_nonvasc_death*MIN(EXP(gomp_int+gomp_slope*INT(B77)),1)/qx_ref,0.999)</f>
        <v>0.195444778724258</v>
      </c>
      <c r="F77" s="55" t="n">
        <f aca="false">rr_stroke_per_decade^((B77-ref_age)/10)</f>
        <v>2.05381813741367</v>
      </c>
      <c r="G77" s="57" t="n">
        <f aca="false">DH76</f>
        <v>0.0551867731952193</v>
      </c>
      <c r="H77" s="57" t="n">
        <f aca="false">DI76</f>
        <v>0.00991634740140946</v>
      </c>
      <c r="I77" s="57" t="n">
        <f aca="false">DJ76</f>
        <v>0.0049066121964829</v>
      </c>
      <c r="J77" s="57" t="n">
        <f aca="false">DK76</f>
        <v>0.0358398980759044</v>
      </c>
      <c r="K77" s="57" t="n">
        <f aca="false">DL76</f>
        <v>0.894150369130985</v>
      </c>
      <c r="L77" s="57" t="n">
        <f aca="false">1-EXP(LN(1-E77)*dt)</f>
        <v>0.0529149866528664</v>
      </c>
      <c r="M77" s="57" t="n">
        <f aca="false">G77*(1-L77)</f>
        <v>0.0522665658281795</v>
      </c>
      <c r="N77" s="57" t="n">
        <f aca="false">IF(Warfarin!$B$2=1,EXP(LN(or_apx_stroke)*D77)*(1-EXP(-r_stroke*F77*dt))/(1-(1-EXP(-r_stroke*F77*dt))+EXP(LN(or_apx_stroke)*D77)*(1-EXP(-r_stroke*F77*dt))),(1-EXP(-r_stroke*F77*dt)))</f>
        <v>0.00824750544860275</v>
      </c>
      <c r="O77" s="57" t="n">
        <f aca="false">IF(Warfarin!$B$2=1,EXP(LN(or_apx_ich)*D77)*(1-EXP(-r_ich*dt))/(1-(1-EXP(-r_ich*dt))+EXP(LN(or_apx_ich)*D77)*(1-EXP(-r_ich*dt))),(1-EXP(-r_ich*dt)))</f>
        <v>0.0020060281549299</v>
      </c>
      <c r="P77" s="57" t="n">
        <f aca="false">IF(Warfarin!$B$2=1,EXP(LN(or_apx_mb)*D77)*(1-EXP(-r_mb*dt))/(1-(1-EXP(-r_mb*dt))+EXP(LN(or_apx_mb)*D77)*(1-EXP(-r_mb*dt))),(1-EXP(-r_mb*dt)))</f>
        <v>0.00835410477572107</v>
      </c>
      <c r="Q77" s="57" t="n">
        <f aca="false">IF(Warfarin!$B$2=1,EXP(LN(or_apx_mi)*D77)*(1-EXP(-r_mi*dt))/(1-(1-EXP(-r_mi*dt))+EXP(LN(or_apx_mi)*D77)*(1-EXP(-r_mi*dt))),(1-EXP(-r_mi*dt)))</f>
        <v>0.00150338686144691</v>
      </c>
      <c r="R77" s="57" t="n">
        <f aca="false">(1-EXP(-r_tia*dt))</f>
        <v>0.0020060281549299</v>
      </c>
      <c r="S77" s="57" t="n">
        <f aca="false">(1-EXP(-r_minor*dt))</f>
        <v>0.0437937690785545</v>
      </c>
      <c r="T77" s="57" t="n">
        <f aca="false">M77*N77</f>
        <v>0.000431068786447665</v>
      </c>
      <c r="U77" s="57" t="n">
        <f aca="false">M77*O77</f>
        <v>0.000104848202612825</v>
      </c>
      <c r="V77" s="57" t="n">
        <f aca="false">M77*P77</f>
        <v>0.000436640367195734</v>
      </c>
      <c r="W77" s="57" t="n">
        <f aca="false">M77*Q77</f>
        <v>7.85768683590351E-005</v>
      </c>
      <c r="X77" s="57" t="n">
        <f aca="false">M77*R77</f>
        <v>0.000104848202612825</v>
      </c>
      <c r="Y77" s="57" t="n">
        <f aca="false">M77*S77</f>
        <v>0.00228894991440836</v>
      </c>
      <c r="Z77" s="57" t="n">
        <f aca="false">T77*f_stroke_fatal</f>
        <v>0.000102163302388097</v>
      </c>
      <c r="AA77" s="57" t="n">
        <f aca="false">T77*(1-f_stroke_fatal)*f_stroke_major</f>
        <v>0.000109525526191836</v>
      </c>
      <c r="AB77" s="57" t="n">
        <f aca="false">T77*(1-f_stroke_fatal)*(1-f_stroke_major)</f>
        <v>0.000219379957867732</v>
      </c>
      <c r="AC77" s="57" t="n">
        <f aca="false">U77*(1-f_bleed_fatal)</f>
        <v>9.60409535933476E-005</v>
      </c>
      <c r="AD77" s="57" t="n">
        <f aca="false">V77*(1-f_bleed_fatal)</f>
        <v>0.000399962576351293</v>
      </c>
      <c r="AE77" s="57" t="n">
        <f aca="false">W77*f_mi_fatal</f>
        <v>9.50780107144324E-006</v>
      </c>
      <c r="AF77" s="57" t="n">
        <f aca="false">W77-AE77</f>
        <v>6.90690672875918E-005</v>
      </c>
      <c r="AG77" s="57" t="n">
        <f aca="false">M77-T77-U77-V77-AE77</f>
        <v>0.0512845006708518</v>
      </c>
      <c r="AH77" s="19" t="n">
        <f aca="false">Z77*c_stroke_fatal+AA77*c_stroke_major+AB77*c_stroke_minor+U77*c_ich+V77*c_major_bleed+AE77*c_mi_fatal+AF77*c_mi_nonfatal+X77*c_tia+Y77*c_minor_bleed</f>
        <v>23.0458858743551</v>
      </c>
      <c r="AI77" s="57" t="n">
        <f aca="false">dt*(AF77*dec_mi+AD77*dec_major_bleed+Y77*dec_minor_bleed+X77*dec_tia)</f>
        <v>2.14964760479244E-005</v>
      </c>
      <c r="AJ77" s="57" t="n">
        <f aca="false">G77*L77+Z77+U77-AC77+V77-AD77+AE77</f>
        <v>0.00307736351036325</v>
      </c>
      <c r="AK77" s="57" t="n">
        <f aca="false">1-EXP(LN(1-E77)*hr_death_prior_stroke*dt)</f>
        <v>0.11754083463624</v>
      </c>
      <c r="AL77" s="57" t="n">
        <f aca="false">H77*(1-AK77)</f>
        <v>0.00875077165130488</v>
      </c>
      <c r="AM77" s="57" t="n">
        <f aca="false">(1-EXP(-r_stroke*F77*rr_stroke_prior*rr_asa_stroke*dt))</f>
        <v>0.0290846513838623</v>
      </c>
      <c r="AN77" s="57" t="n">
        <f aca="false">(1-EXP(-r_ich*rr_asa_ich*dt))</f>
        <v>0.00102357767802375</v>
      </c>
      <c r="AO77" s="57" t="n">
        <f aca="false">(1-EXP(-r_mb*rr_asa_mb*dt))</f>
        <v>0.00951809672747972</v>
      </c>
      <c r="AP77" s="57" t="n">
        <f aca="false">(1-EXP(-r_mi*rr_asa_mi*dt))</f>
        <v>0.00213413516393479</v>
      </c>
      <c r="AQ77" s="57" t="n">
        <f aca="false">(1-EXP(-r_tia*rr_asa_tia*dt))</f>
        <v>0.00312764565589152</v>
      </c>
      <c r="AR77" s="57" t="n">
        <f aca="false">(1-EXP(-r_minor*rr_asa_minor*dt))</f>
        <v>0.0278181950466747</v>
      </c>
      <c r="AS77" s="57" t="n">
        <f aca="false">AL77*AM77</f>
        <v>0.000254513142817988</v>
      </c>
      <c r="AT77" s="57" t="n">
        <f aca="false">AL77*AN77</f>
        <v>8.95709452775868E-006</v>
      </c>
      <c r="AU77" s="57" t="n">
        <f aca="false">AL77*AO77</f>
        <v>8.32906910172073E-005</v>
      </c>
      <c r="AV77" s="57" t="n">
        <f aca="false">AL77*AP77</f>
        <v>1.86753294926135E-005</v>
      </c>
      <c r="AW77" s="57" t="n">
        <f aca="false">AL77*AQ77</f>
        <v>2.73693129409024E-005</v>
      </c>
      <c r="AX77" s="57" t="n">
        <f aca="false">AL77*AR77</f>
        <v>0.000243430672604911</v>
      </c>
      <c r="AY77" s="57" t="n">
        <f aca="false">AS77*f_stroke_fatal_recur</f>
        <v>9.4701795311145E-005</v>
      </c>
      <c r="AZ77" s="57" t="n">
        <f aca="false">AS77*(1-f_stroke_fatal_recur)*f_stroke_major</f>
        <v>5.32171787197786E-005</v>
      </c>
      <c r="BA77" s="57" t="n">
        <f aca="false">AS77*(1-f_stroke_fatal_recur)*(1-f_stroke_major)</f>
        <v>0.000106594168787064</v>
      </c>
      <c r="BB77" s="57" t="n">
        <f aca="false">AT77*(1-f_bleed_fatal)</f>
        <v>8.20469858742695E-006</v>
      </c>
      <c r="BC77" s="57" t="n">
        <f aca="false">AU77*(1-f_bleed_fatal)</f>
        <v>7.62942729717619E-005</v>
      </c>
      <c r="BD77" s="57" t="n">
        <f aca="false">AV77*f_mi_fatal</f>
        <v>2.25971486860623E-006</v>
      </c>
      <c r="BE77" s="57" t="n">
        <f aca="false">AV77-BD77</f>
        <v>1.64156146240072E-005</v>
      </c>
      <c r="BF77" s="57" t="n">
        <f aca="false">AL77-AS77-AT77-AU77-BD77</f>
        <v>0.00840175100807332</v>
      </c>
      <c r="BG77" s="19" t="n">
        <f aca="false">AY77*c_stroke_fatal+AZ77*c_stroke_major+BA77*c_stroke_minor+AT77*c_ich+AU77*c_major_bleed+BD77*c_mi_fatal+BE77*c_mi_nonfatal+AW77*c_tia+AX77*c_minor_bleed</f>
        <v>9.95383865807264</v>
      </c>
      <c r="BH77" s="57" t="n">
        <f aca="false">dt*(BE77*dec_mi+BC77*dec_major_bleed+AX77*dec_minor_bleed+AW77*dec_tia)</f>
        <v>3.76366572954495E-006</v>
      </c>
      <c r="BI77" s="57" t="n">
        <f aca="false">H77*AK77+AY77+AT77-BB77+AU77-BC77+BD77</f>
        <v>0.00127028607427011</v>
      </c>
      <c r="BJ77" s="57" t="n">
        <f aca="false">1-EXP(LN(1-E77)*hr_death_prior_stroke*dt)</f>
        <v>0.11754083463624</v>
      </c>
      <c r="BK77" s="57" t="n">
        <f aca="false">I77*(1-BJ77)</f>
        <v>0.00432988490367194</v>
      </c>
      <c r="BL77" s="57" t="n">
        <f aca="false">(1-EXP(-r_stroke*F77*rr_stroke_prior*rr_asa_stroke*dt))</f>
        <v>0.0290846513838623</v>
      </c>
      <c r="BM77" s="57" t="n">
        <f aca="false">(1-EXP(-r_ich*rr_asa_ich*dt))</f>
        <v>0.00102357767802375</v>
      </c>
      <c r="BN77" s="57" t="n">
        <f aca="false">(1-EXP(-r_mb*rr_asa_mb*dt))</f>
        <v>0.00951809672747972</v>
      </c>
      <c r="BO77" s="57" t="n">
        <f aca="false">(1-EXP(-r_mi*rr_asa_mi*dt))</f>
        <v>0.00213413516393479</v>
      </c>
      <c r="BP77" s="57" t="n">
        <f aca="false">(1-EXP(-r_tia*rr_asa_tia*dt))</f>
        <v>0.00312764565589152</v>
      </c>
      <c r="BQ77" s="57" t="n">
        <f aca="false">(1-EXP(-r_minor*rr_asa_minor*dt))</f>
        <v>0.0278181950466747</v>
      </c>
      <c r="BR77" s="57" t="n">
        <f aca="false">BK77*BL77</f>
        <v>0.000125933192955547</v>
      </c>
      <c r="BS77" s="57" t="n">
        <f aca="false">BK77*BM77</f>
        <v>4.4319735358106E-006</v>
      </c>
      <c r="BT77" s="57" t="n">
        <f aca="false">BK77*BN77</f>
        <v>4.12122633320038E-005</v>
      </c>
      <c r="BU77" s="57" t="n">
        <f aca="false">BK77*BO77</f>
        <v>9.2405596287167E-006</v>
      </c>
      <c r="BV77" s="57" t="n">
        <f aca="false">BK77*BP77</f>
        <v>1.35423457094798E-005</v>
      </c>
      <c r="BW77" s="57" t="n">
        <f aca="false">BK77*BQ77</f>
        <v>0.000120449582779998</v>
      </c>
      <c r="BX77" s="57" t="n">
        <f aca="false">BR77*f_stroke_fatal_recur</f>
        <v>4.68584817668294E-005</v>
      </c>
      <c r="BY77" s="57" t="n">
        <f aca="false">BR77*(1-f_stroke_fatal_recur)*f_stroke_major</f>
        <v>2.63318788258429E-005</v>
      </c>
      <c r="BZ77" s="57" t="n">
        <f aca="false">BR77*(1-f_stroke_fatal_recur)*(1-f_stroke_major)</f>
        <v>5.27428323628744E-005</v>
      </c>
      <c r="CA77" s="57" t="n">
        <f aca="false">BS77*(1-f_bleed_fatal)</f>
        <v>4.05968775880251E-006</v>
      </c>
      <c r="CB77" s="57" t="n">
        <f aca="false">BT77*(1-f_bleed_fatal)</f>
        <v>3.77504332121155E-005</v>
      </c>
      <c r="CC77" s="57" t="n">
        <f aca="false">BU77*f_mi_fatal</f>
        <v>1.11810771507472E-006</v>
      </c>
      <c r="CD77" s="57" t="n">
        <f aca="false">BU77-CC77</f>
        <v>8.12245191364198E-006</v>
      </c>
      <c r="CE77" s="57" t="n">
        <f aca="false">BK77-BR77-BS77-BT77-CC77</f>
        <v>0.00415718936613351</v>
      </c>
      <c r="CF77" s="19" t="n">
        <f aca="false">BX77*c_stroke_fatal+BY77*c_stroke_major+BZ77*c_stroke_minor+BS77*c_ich+BT77*c_major_bleed+CC77*c_mi_fatal+CD77*c_mi_nonfatal+BV77*c_tia+BW77*c_minor_bleed</f>
        <v>4.92516288352104</v>
      </c>
      <c r="CG77" s="57" t="n">
        <f aca="false">dt*(CD77*dec_mi+CB77*dec_major_bleed+BW77*dec_minor_bleed+BV77*dec_tia)</f>
        <v>1.86226313223407E-006</v>
      </c>
      <c r="CH77" s="57" t="n">
        <f aca="false">I77*BJ77+BX77+BS77-CA77+BT77-CB77+CC77</f>
        <v>0.000628537998189756</v>
      </c>
      <c r="CI77" s="57" t="n">
        <f aca="false">1-EXP(LN(1-E77)*dt)</f>
        <v>0.0529149866528664</v>
      </c>
      <c r="CJ77" s="57" t="n">
        <f aca="false">J77*(1-CI77)</f>
        <v>0.0339434303475778</v>
      </c>
      <c r="CK77" s="57" t="n">
        <f aca="false">(1-EXP(-r_stroke*F77*rr_asa_stroke*dt))</f>
        <v>0.0133267627180289</v>
      </c>
      <c r="CL77" s="57" t="n">
        <f aca="false">(1-EXP(-r_ich*rr_asa_ich*dt))</f>
        <v>0.00102357767802375</v>
      </c>
      <c r="CM77" s="57" t="n">
        <f aca="false">(1-EXP(-r_mb*rr_asa_mb*dt))</f>
        <v>0.00951809672747972</v>
      </c>
      <c r="CN77" s="57" t="n">
        <f aca="false">(1-EXP(-r_mi*rr_asa_mi*dt))</f>
        <v>0.00213413516393479</v>
      </c>
      <c r="CO77" s="57" t="n">
        <f aca="false">(1-EXP(-r_tia*rr_asa_tia*dt))</f>
        <v>0.00312764565589152</v>
      </c>
      <c r="CP77" s="57" t="n">
        <f aca="false">(1-EXP(-r_minor*rr_asa_minor*dt))</f>
        <v>0.0278181950466747</v>
      </c>
      <c r="CQ77" s="57" t="n">
        <f aca="false">CJ77*CK77</f>
        <v>0.000452356042078111</v>
      </c>
      <c r="CR77" s="57" t="n">
        <f aca="false">CJ77*CL77</f>
        <v>3.47437376193344E-005</v>
      </c>
      <c r="CS77" s="57" t="n">
        <f aca="false">CJ77*CM77</f>
        <v>0.000323076853310716</v>
      </c>
      <c r="CT77" s="57" t="n">
        <f aca="false">CJ77*CN77</f>
        <v>7.24398682893371E-005</v>
      </c>
      <c r="CU77" s="57" t="n">
        <f aca="false">CJ77*CO77</f>
        <v>0.000106163022472658</v>
      </c>
      <c r="CV77" s="57" t="n">
        <f aca="false">CJ77*CP77</f>
        <v>0.000944244965962136</v>
      </c>
      <c r="CW77" s="57" t="n">
        <f aca="false">CQ77*f_stroke_fatal</f>
        <v>0.000107208381972512</v>
      </c>
      <c r="CX77" s="57" t="n">
        <f aca="false">CQ77*(1-f_stroke_fatal)*f_stroke_major</f>
        <v>0.000114934170815164</v>
      </c>
      <c r="CY77" s="57" t="n">
        <f aca="false">CQ77*(1-f_stroke_fatal)*(1-f_stroke_major)</f>
        <v>0.000230213489290434</v>
      </c>
      <c r="CZ77" s="57" t="n">
        <f aca="false">CR77*(1-f_bleed_fatal)</f>
        <v>3.18252636593103E-005</v>
      </c>
      <c r="DA77" s="57" t="n">
        <f aca="false">CS77*(1-f_bleed_fatal)</f>
        <v>0.000295938397632616</v>
      </c>
      <c r="DB77" s="57" t="n">
        <f aca="false">CT77*f_mi_fatal</f>
        <v>8.76522406300979E-006</v>
      </c>
      <c r="DC77" s="57" t="n">
        <f aca="false">CT77-DB77</f>
        <v>6.36746442263273E-005</v>
      </c>
      <c r="DD77" s="57" t="n">
        <f aca="false">CJ77-CQ77-CR77-CS77-DB77</f>
        <v>0.0331244884905066</v>
      </c>
      <c r="DE77" s="19" t="n">
        <f aca="false">CW77*c_stroke_fatal+CX77*c_stroke_major+CY77*c_stroke_minor+CR77*c_ich+CS77*c_major_bleed+DB77*c_mi_fatal+DC77*c_mi_nonfatal+CU77*c_tia+CV77*c_minor_bleed</f>
        <v>21.2842471762145</v>
      </c>
      <c r="DF77" s="57" t="n">
        <f aca="false">dt*(DC77*dec_mi+DA77*dec_major_bleed+CV77*dec_minor_bleed+CU77*dec_tia)</f>
        <v>1.45989097456708E-005</v>
      </c>
      <c r="DG77" s="57" t="n">
        <f aca="false">J77*CI77+CW77+CR77-CZ77+CS77-DA77+DB77</f>
        <v>0.00204249826400022</v>
      </c>
      <c r="DH77" s="57" t="n">
        <f aca="false">AG77</f>
        <v>0.0512845006708518</v>
      </c>
      <c r="DI77" s="57" t="n">
        <f aca="false">AB77+AC77+BF77+BA77+BB77+BC77+CY77+CZ77</f>
        <v>0.0091703038128304</v>
      </c>
      <c r="DJ77" s="57" t="n">
        <f aca="false">AA77+AZ77+BY77+CX77+CE77+BZ77+CA77+CB77</f>
        <v>0.00455575107401992</v>
      </c>
      <c r="DK77" s="57" t="n">
        <f aca="false">AD77+DD77+DA77</f>
        <v>0.0338203894644905</v>
      </c>
      <c r="DL77" s="57" t="n">
        <f aca="false">K77+AJ77+BI77+CH77+DG77</f>
        <v>0.901169054977808</v>
      </c>
      <c r="DM77" s="58" t="n">
        <f aca="false">SUM(DH77:DL77)</f>
        <v>1</v>
      </c>
      <c r="DN77" s="19" t="n">
        <f aca="false">dt*(G77*Warfarin!$H$2+(H77+I77+J77)*c_aspirin)</f>
        <v>5.79555684752921</v>
      </c>
      <c r="DO77" s="19" t="n">
        <f aca="false">dt*(H77*c_lt_minor_stroke+I77*c_lt_major_stroke)</f>
        <v>58.8407300472021</v>
      </c>
      <c r="DP77" s="19" t="n">
        <f aca="false">AH77+BG77+CF77+DE77</f>
        <v>59.2091345921633</v>
      </c>
      <c r="DQ77" s="19" t="n">
        <f aca="false">DN77+DO77+DP77</f>
        <v>123.845421486895</v>
      </c>
      <c r="DR77" s="57" t="n">
        <f aca="false">dt*(G77*(u_af-dec_per_year_over_70*MAX(B77-ref_age,0))+H77*(u_minor_stroke-dec_per_year_over_70*MAX(B77-ref_age,0))+I77*(u_major_stroke-dec_per_year_over_70*MAX(B77-ref_age,0))+J77*(u_af-dec_per_year_over_70*MAX(B77-ref_age,0)))-AI77-BH77-CG77-DF77</f>
        <v>0.0205222643159244</v>
      </c>
      <c r="DS77" s="57" t="n">
        <f aca="false">dt*(G77+H77+I77+J77)</f>
        <v>0.026462407717254</v>
      </c>
      <c r="DT77" s="19" t="n">
        <f aca="false">DQ77*C77</f>
        <v>95.0840574148314</v>
      </c>
      <c r="DU77" s="19" t="n">
        <f aca="false">DN77*C77</f>
        <v>4.44961996515713</v>
      </c>
      <c r="DV77" s="19" t="n">
        <f aca="false">DP77*C77</f>
        <v>45.4586426001989</v>
      </c>
      <c r="DW77" s="19" t="n">
        <f aca="false">DO77*C77</f>
        <v>45.1757948494753</v>
      </c>
      <c r="DX77" s="57" t="n">
        <f aca="false">DR77*C77</f>
        <v>0.0157562559444654</v>
      </c>
      <c r="DY77" s="57" t="n">
        <f aca="false">DS77*C77</f>
        <v>0.0203168842619532</v>
      </c>
      <c r="DZ77" s="57" t="n">
        <f aca="false">T77+AS77+BR77+CQ77</f>
        <v>0.00126387116429931</v>
      </c>
      <c r="EA77" s="57" t="n">
        <f aca="false">U77+AT77+BS77+CR77</f>
        <v>0.000152981008295729</v>
      </c>
      <c r="EB77" s="57" t="n">
        <f aca="false">V77+AU77+BT77+CS77</f>
        <v>0.000884220174855661</v>
      </c>
      <c r="EC77" s="57" t="n">
        <f aca="false">G77*dt*C77</f>
        <v>0.0105926045711524</v>
      </c>
    </row>
    <row r="78" customFormat="false" ht="15" hidden="false" customHeight="false" outlineLevel="0" collapsed="false">
      <c r="A78" s="8" t="n">
        <v>72</v>
      </c>
      <c r="B78" s="54" t="n">
        <f aca="false">start_age+A78*dt</f>
        <v>88</v>
      </c>
      <c r="C78" s="16" t="n">
        <f aca="false">(1+disc_rate)^-(A78*dt)</f>
        <v>0.764911586614586</v>
      </c>
      <c r="D78" s="55" t="n">
        <f aca="false">IF(A78*dt&gt;=wane_start,(1-wane_decay)^(A78*dt-wane_start),1)</f>
        <v>1</v>
      </c>
      <c r="E78" s="25" t="n">
        <f aca="false">MIN(p_nonvasc_death*MIN(EXP(gomp_int+gomp_slope*INT(B78)),1)/qx_ref,0.999)</f>
        <v>0.217003053696202</v>
      </c>
      <c r="F78" s="55" t="n">
        <f aca="false">rr_stroke_per_decade^((B78-ref_age)/10)</f>
        <v>2.07474280083389</v>
      </c>
      <c r="G78" s="57" t="n">
        <f aca="false">DH77</f>
        <v>0.0512845006708518</v>
      </c>
      <c r="H78" s="57" t="n">
        <f aca="false">DI77</f>
        <v>0.0091703038128304</v>
      </c>
      <c r="I78" s="57" t="n">
        <f aca="false">DJ77</f>
        <v>0.00455575107401992</v>
      </c>
      <c r="J78" s="57" t="n">
        <f aca="false">DK77</f>
        <v>0.0338203894644905</v>
      </c>
      <c r="K78" s="57" t="n">
        <f aca="false">DL77</f>
        <v>0.901169054977808</v>
      </c>
      <c r="L78" s="57" t="n">
        <f aca="false">1-EXP(LN(1-E78)*dt)</f>
        <v>0.0593241011254088</v>
      </c>
      <c r="M78" s="57" t="n">
        <f aca="false">G78*(1-L78)</f>
        <v>0.0482420937668881</v>
      </c>
      <c r="N78" s="57" t="n">
        <f aca="false">IF(Warfarin!$B$2=1,EXP(LN(or_apx_stroke)*D78)*(1-EXP(-r_stroke*F78*dt))/(1-(1-EXP(-r_stroke*F78*dt))+EXP(LN(or_apx_stroke)*D78)*(1-EXP(-r_stroke*F78*dt))),(1-EXP(-r_stroke*F78*dt)))</f>
        <v>0.00833118150329937</v>
      </c>
      <c r="O78" s="57" t="n">
        <f aca="false">IF(Warfarin!$B$2=1,EXP(LN(or_apx_ich)*D78)*(1-EXP(-r_ich*dt))/(1-(1-EXP(-r_ich*dt))+EXP(LN(or_apx_ich)*D78)*(1-EXP(-r_ich*dt))),(1-EXP(-r_ich*dt)))</f>
        <v>0.0020060281549299</v>
      </c>
      <c r="P78" s="57" t="n">
        <f aca="false">IF(Warfarin!$B$2=1,EXP(LN(or_apx_mb)*D78)*(1-EXP(-r_mb*dt))/(1-(1-EXP(-r_mb*dt))+EXP(LN(or_apx_mb)*D78)*(1-EXP(-r_mb*dt))),(1-EXP(-r_mb*dt)))</f>
        <v>0.00835410477572107</v>
      </c>
      <c r="Q78" s="57" t="n">
        <f aca="false">IF(Warfarin!$B$2=1,EXP(LN(or_apx_mi)*D78)*(1-EXP(-r_mi*dt))/(1-(1-EXP(-r_mi*dt))+EXP(LN(or_apx_mi)*D78)*(1-EXP(-r_mi*dt))),(1-EXP(-r_mi*dt)))</f>
        <v>0.00150338686144691</v>
      </c>
      <c r="R78" s="57" t="n">
        <f aca="false">(1-EXP(-r_tia*dt))</f>
        <v>0.0020060281549299</v>
      </c>
      <c r="S78" s="57" t="n">
        <f aca="false">(1-EXP(-r_minor*dt))</f>
        <v>0.0437937690785545</v>
      </c>
      <c r="T78" s="57" t="n">
        <f aca="false">M78*N78</f>
        <v>0.000401913639271132</v>
      </c>
      <c r="U78" s="57" t="n">
        <f aca="false">M78*O78</f>
        <v>9.67749983491456E-005</v>
      </c>
      <c r="V78" s="57" t="n">
        <f aca="false">M78*P78</f>
        <v>0.000403019505928744</v>
      </c>
      <c r="W78" s="57" t="n">
        <f aca="false">M78*Q78</f>
        <v>7.25265299378294E-005</v>
      </c>
      <c r="X78" s="57" t="n">
        <f aca="false">M78*R78</f>
        <v>9.67749983491456E-005</v>
      </c>
      <c r="Y78" s="57" t="n">
        <f aca="false">M78*S78</f>
        <v>0.00211270311429307</v>
      </c>
      <c r="Z78" s="57" t="n">
        <f aca="false">T78*f_stroke_fatal</f>
        <v>9.52535325072583E-005</v>
      </c>
      <c r="AA78" s="57" t="n">
        <f aca="false">T78*(1-f_stroke_fatal)*f_stroke_major</f>
        <v>0.00010211781555237</v>
      </c>
      <c r="AB78" s="57" t="n">
        <f aca="false">T78*(1-f_stroke_fatal)*(1-f_stroke_major)</f>
        <v>0.000204542291211504</v>
      </c>
      <c r="AC78" s="57" t="n">
        <f aca="false">U78*(1-f_bleed_fatal)</f>
        <v>8.86458984878174E-005</v>
      </c>
      <c r="AD78" s="57" t="n">
        <f aca="false">V78*(1-f_bleed_fatal)</f>
        <v>0.000369165867430729</v>
      </c>
      <c r="AE78" s="57" t="n">
        <f aca="false">W78*f_mi_fatal</f>
        <v>8.77571012247736E-006</v>
      </c>
      <c r="AF78" s="57" t="n">
        <f aca="false">W78-AE78</f>
        <v>6.37508198153521E-005</v>
      </c>
      <c r="AG78" s="57" t="n">
        <f aca="false">M78-T78-U78-V78-AE78</f>
        <v>0.0473316099132166</v>
      </c>
      <c r="AH78" s="19" t="n">
        <f aca="false">Z78*c_stroke_fatal+AA78*c_stroke_major+AB78*c_stroke_minor+U78*c_ich+V78*c_major_bleed+AE78*c_mi_fatal+AF78*c_mi_nonfatal+X78*c_tia+Y78*c_minor_bleed</f>
        <v>21.4205230548876</v>
      </c>
      <c r="AI78" s="57" t="n">
        <f aca="false">dt*(AF78*dec_mi+AD78*dec_major_bleed+Y78*dec_minor_bleed+X78*dec_tia)</f>
        <v>1.98412693990795E-005</v>
      </c>
      <c r="AJ78" s="57" t="n">
        <f aca="false">G78*L78+Z78+U78-AC78+V78-AD78+AE78</f>
        <v>0.00318841888495279</v>
      </c>
      <c r="AK78" s="57" t="n">
        <f aca="false">1-EXP(LN(1-E78)*hr_death_prior_stroke*dt)</f>
        <v>0.131215549572992</v>
      </c>
      <c r="AL78" s="57" t="n">
        <f aca="false">H78*(1-AK78)</f>
        <v>0.00796701735827856</v>
      </c>
      <c r="AM78" s="57" t="n">
        <f aca="false">(1-EXP(-r_stroke*F78*rr_stroke_prior*rr_asa_stroke*dt))</f>
        <v>0.0293765755039042</v>
      </c>
      <c r="AN78" s="57" t="n">
        <f aca="false">(1-EXP(-r_ich*rr_asa_ich*dt))</f>
        <v>0.00102357767802375</v>
      </c>
      <c r="AO78" s="57" t="n">
        <f aca="false">(1-EXP(-r_mb*rr_asa_mb*dt))</f>
        <v>0.00951809672747972</v>
      </c>
      <c r="AP78" s="57" t="n">
        <f aca="false">(1-EXP(-r_mi*rr_asa_mi*dt))</f>
        <v>0.00213413516393479</v>
      </c>
      <c r="AQ78" s="57" t="n">
        <f aca="false">(1-EXP(-r_tia*rr_asa_tia*dt))</f>
        <v>0.00312764565589152</v>
      </c>
      <c r="AR78" s="57" t="n">
        <f aca="false">(1-EXP(-r_minor*rr_asa_minor*dt))</f>
        <v>0.0278181950466747</v>
      </c>
      <c r="AS78" s="57" t="n">
        <f aca="false">AL78*AM78</f>
        <v>0.000234043686966385</v>
      </c>
      <c r="AT78" s="57" t="n">
        <f aca="false">AL78*AN78</f>
        <v>8.15486112836165E-006</v>
      </c>
      <c r="AU78" s="57" t="n">
        <f aca="false">AL78*AO78</f>
        <v>7.58308418456053E-005</v>
      </c>
      <c r="AV78" s="57" t="n">
        <f aca="false">AL78*AP78</f>
        <v>1.70026918959811E-005</v>
      </c>
      <c r="AW78" s="57" t="n">
        <f aca="false">AL78*AQ78</f>
        <v>2.49180072310323E-005</v>
      </c>
      <c r="AX78" s="57" t="n">
        <f aca="false">AL78*AR78</f>
        <v>0.000221628042812836</v>
      </c>
      <c r="AY78" s="57" t="n">
        <f aca="false">AS78*f_stroke_fatal_recur</f>
        <v>8.70853154833222E-005</v>
      </c>
      <c r="AZ78" s="57" t="n">
        <f aca="false">AS78*(1-f_stroke_fatal_recur)*f_stroke_major</f>
        <v>4.89371377038599E-005</v>
      </c>
      <c r="BA78" s="57" t="n">
        <f aca="false">AS78*(1-f_stroke_fatal_recur)*(1-f_stroke_major)</f>
        <v>9.8021233779203E-005</v>
      </c>
      <c r="BB78" s="57" t="n">
        <f aca="false">AT78*(1-f_bleed_fatal)</f>
        <v>7.46985279357927E-006</v>
      </c>
      <c r="BC78" s="57" t="n">
        <f aca="false">AU78*(1-f_bleed_fatal)</f>
        <v>6.94610511305744E-005</v>
      </c>
      <c r="BD78" s="57" t="n">
        <f aca="false">AV78*f_mi_fatal</f>
        <v>2.05732571941372E-006</v>
      </c>
      <c r="BE78" s="57" t="n">
        <f aca="false">AV78-BD78</f>
        <v>1.49453661765674E-005</v>
      </c>
      <c r="BF78" s="57" t="n">
        <f aca="false">AL78-AS78-AT78-AU78-BD78</f>
        <v>0.00764693064261879</v>
      </c>
      <c r="BG78" s="19" t="n">
        <f aca="false">AY78*c_stroke_fatal+AZ78*c_stroke_major+BA78*c_stroke_minor+AT78*c_ich+AU78*c_major_bleed+BD78*c_mi_fatal+BE78*c_mi_nonfatal+AW78*c_tia+AX78*c_minor_bleed</f>
        <v>9.14252394537915</v>
      </c>
      <c r="BH78" s="57" t="n">
        <f aca="false">dt*(BE78*dec_mi+BC78*dec_major_bleed+AX78*dec_minor_bleed+AW78*dec_tia)</f>
        <v>3.42657669436174E-006</v>
      </c>
      <c r="BI78" s="57" t="n">
        <f aca="false">H78*AK78+AY78+AT78-BB78+AU78-BC78+BD78</f>
        <v>0.00129948389480439</v>
      </c>
      <c r="BJ78" s="57" t="n">
        <f aca="false">1-EXP(LN(1-E78)*hr_death_prior_stroke*dt)</f>
        <v>0.131215549572992</v>
      </c>
      <c r="BK78" s="57" t="n">
        <f aca="false">I78*(1-BJ78)</f>
        <v>0.00395796569312465</v>
      </c>
      <c r="BL78" s="57" t="n">
        <f aca="false">(1-EXP(-r_stroke*F78*rr_stroke_prior*rr_asa_stroke*dt))</f>
        <v>0.0293765755039042</v>
      </c>
      <c r="BM78" s="57" t="n">
        <f aca="false">(1-EXP(-r_ich*rr_asa_ich*dt))</f>
        <v>0.00102357767802375</v>
      </c>
      <c r="BN78" s="57" t="n">
        <f aca="false">(1-EXP(-r_mb*rr_asa_mb*dt))</f>
        <v>0.00951809672747972</v>
      </c>
      <c r="BO78" s="57" t="n">
        <f aca="false">(1-EXP(-r_mi*rr_asa_mi*dt))</f>
        <v>0.00213413516393479</v>
      </c>
      <c r="BP78" s="57" t="n">
        <f aca="false">(1-EXP(-r_tia*rr_asa_tia*dt))</f>
        <v>0.00312764565589152</v>
      </c>
      <c r="BQ78" s="57" t="n">
        <f aca="false">(1-EXP(-r_minor*rr_asa_minor*dt))</f>
        <v>0.0278181950466747</v>
      </c>
      <c r="BR78" s="57" t="n">
        <f aca="false">BK78*BL78</f>
        <v>0.000116271478025939</v>
      </c>
      <c r="BS78" s="57" t="n">
        <f aca="false">BK78*BM78</f>
        <v>4.05128533386618E-006</v>
      </c>
      <c r="BT78" s="57" t="n">
        <f aca="false">BK78*BN78</f>
        <v>3.76723003112068E-005</v>
      </c>
      <c r="BU78" s="57" t="n">
        <f aca="false">BK78*BO78</f>
        <v>8.44683376334486E-006</v>
      </c>
      <c r="BV78" s="57" t="n">
        <f aca="false">BK78*BP78</f>
        <v>1.2379114206269E-005</v>
      </c>
      <c r="BW78" s="57" t="n">
        <f aca="false">BK78*BQ78</f>
        <v>0.000110103461639389</v>
      </c>
      <c r="BX78" s="57" t="n">
        <f aca="false">BR78*f_stroke_fatal_recur</f>
        <v>4.32634542586715E-005</v>
      </c>
      <c r="BY78" s="57" t="n">
        <f aca="false">BR78*(1-f_stroke_fatal_recur)*f_stroke_major</f>
        <v>2.43116719145E-005</v>
      </c>
      <c r="BZ78" s="57" t="n">
        <f aca="false">BR78*(1-f_stroke_fatal_recur)*(1-f_stroke_major)</f>
        <v>4.86963518527672E-005</v>
      </c>
      <c r="CA78" s="57" t="n">
        <f aca="false">BS78*(1-f_bleed_fatal)</f>
        <v>3.71097736582142E-006</v>
      </c>
      <c r="CB78" s="57" t="n">
        <f aca="false">BT78*(1-f_bleed_fatal)</f>
        <v>3.45078270850654E-005</v>
      </c>
      <c r="CC78" s="57" t="n">
        <f aca="false">BU78*f_mi_fatal</f>
        <v>1.02206688536473E-006</v>
      </c>
      <c r="CD78" s="57" t="n">
        <f aca="false">BU78-CC78</f>
        <v>7.42476687798013E-006</v>
      </c>
      <c r="CE78" s="57" t="n">
        <f aca="false">BK78-BR78-BS78-BT78-CC78</f>
        <v>0.00379894856256828</v>
      </c>
      <c r="CF78" s="19" t="n">
        <f aca="false">BX78*c_stroke_fatal+BY78*c_stroke_major+BZ78*c_stroke_minor+BS78*c_ich+BT78*c_major_bleed+CC78*c_mi_fatal+CD78*c_mi_nonfatal+BV78*c_tia+BW78*c_minor_bleed</f>
        <v>4.54195020508905</v>
      </c>
      <c r="CG78" s="57" t="n">
        <f aca="false">dt*(CD78*dec_mi+CB78*dec_major_bleed+BW78*dec_minor_bleed+BV78*dec_tia)</f>
        <v>1.70230242903282E-006</v>
      </c>
      <c r="CH78" s="57" t="n">
        <f aca="false">I78*BJ78+BX78+BS78-CA78+BT78-CB78+CC78</f>
        <v>0.000645575683233494</v>
      </c>
      <c r="CI78" s="57" t="n">
        <f aca="false">1-EXP(LN(1-E78)*dt)</f>
        <v>0.0593241011254088</v>
      </c>
      <c r="CJ78" s="57" t="n">
        <f aca="false">J78*(1-CI78)</f>
        <v>0.0318140252597984</v>
      </c>
      <c r="CK78" s="57" t="n">
        <f aca="false">(1-EXP(-r_stroke*F78*rr_asa_stroke*dt))</f>
        <v>0.0134616201536988</v>
      </c>
      <c r="CL78" s="57" t="n">
        <f aca="false">(1-EXP(-r_ich*rr_asa_ich*dt))</f>
        <v>0.00102357767802375</v>
      </c>
      <c r="CM78" s="57" t="n">
        <f aca="false">(1-EXP(-r_mb*rr_asa_mb*dt))</f>
        <v>0.00951809672747972</v>
      </c>
      <c r="CN78" s="57" t="n">
        <f aca="false">(1-EXP(-r_mi*rr_asa_mi*dt))</f>
        <v>0.00213413516393479</v>
      </c>
      <c r="CO78" s="57" t="n">
        <f aca="false">(1-EXP(-r_tia*rr_asa_tia*dt))</f>
        <v>0.00312764565589152</v>
      </c>
      <c r="CP78" s="57" t="n">
        <f aca="false">(1-EXP(-r_minor*rr_asa_minor*dt))</f>
        <v>0.0278181950466747</v>
      </c>
      <c r="CQ78" s="57" t="n">
        <f aca="false">CJ78*CK78</f>
        <v>0.000428268323607584</v>
      </c>
      <c r="CR78" s="57" t="n">
        <f aca="false">CJ78*CL78</f>
        <v>3.25641261040132E-005</v>
      </c>
      <c r="CS78" s="57" t="n">
        <f aca="false">CJ78*CM78</f>
        <v>0.000302808969713244</v>
      </c>
      <c r="CT78" s="57" t="n">
        <f aca="false">CJ78*CN78</f>
        <v>6.78954300132454E-005</v>
      </c>
      <c r="CU78" s="57" t="n">
        <f aca="false">CJ78*CO78</f>
        <v>9.95029979002315E-005</v>
      </c>
      <c r="CV78" s="57" t="n">
        <f aca="false">CJ78*CP78</f>
        <v>0.000885008759896907</v>
      </c>
      <c r="CW78" s="57" t="n">
        <f aca="false">CQ78*f_stroke_fatal</f>
        <v>0.000101499592694997</v>
      </c>
      <c r="CX78" s="57" t="n">
        <f aca="false">CQ78*(1-f_stroke_fatal)*f_stroke_major</f>
        <v>0.000108813987393891</v>
      </c>
      <c r="CY78" s="57" t="n">
        <f aca="false">CQ78*(1-f_stroke_fatal)*(1-f_stroke_major)</f>
        <v>0.000217954743518695</v>
      </c>
      <c r="CZ78" s="57" t="n">
        <f aca="false">CR78*(1-f_bleed_fatal)</f>
        <v>2.98287395112761E-005</v>
      </c>
      <c r="DA78" s="57" t="n">
        <f aca="false">CS78*(1-f_bleed_fatal)</f>
        <v>0.000277373016257331</v>
      </c>
      <c r="DB78" s="57" t="n">
        <f aca="false">CT78*f_mi_fatal</f>
        <v>8.21534703160269E-006</v>
      </c>
      <c r="DC78" s="57" t="n">
        <f aca="false">CT78-DB78</f>
        <v>5.96800829816427E-005</v>
      </c>
      <c r="DD78" s="57" t="n">
        <f aca="false">CJ78-CQ78-CR78-CS78-DB78</f>
        <v>0.0310421684933419</v>
      </c>
      <c r="DE78" s="19" t="n">
        <f aca="false">CW78*c_stroke_fatal+CX78*c_stroke_major+CY78*c_stroke_minor+CR78*c_ich+CS78*c_major_bleed+DB78*c_mi_fatal+DC78*c_mi_nonfatal+CU78*c_tia+CV78*c_minor_bleed</f>
        <v>20.1075210714397</v>
      </c>
      <c r="DF78" s="57" t="n">
        <f aca="false">dt*(DC78*dec_mi+DA78*dec_major_bleed+CV78*dec_minor_bleed+CU78*dec_tia)</f>
        <v>1.36830626326909E-005</v>
      </c>
      <c r="DG78" s="57" t="n">
        <f aca="false">J78*CI78+CW78+CR78-CZ78+CS78-DA78+DB78</f>
        <v>0.00214425048446739</v>
      </c>
      <c r="DH78" s="57" t="n">
        <f aca="false">AG78</f>
        <v>0.0473316099132166</v>
      </c>
      <c r="DI78" s="57" t="n">
        <f aca="false">AB78+AC78+BF78+BA78+BB78+BC78+CY78+CZ78</f>
        <v>0.00836285445305144</v>
      </c>
      <c r="DJ78" s="57" t="n">
        <f aca="false">AA78+AZ78+BY78+CX78+CE78+BZ78+CA78+CB78</f>
        <v>0.00417004433143655</v>
      </c>
      <c r="DK78" s="57" t="n">
        <f aca="false">AD78+DD78+DA78</f>
        <v>0.03168870737703</v>
      </c>
      <c r="DL78" s="57" t="n">
        <f aca="false">K78+AJ78+BI78+CH78+DG78</f>
        <v>0.908446783925266</v>
      </c>
      <c r="DM78" s="58" t="n">
        <f aca="false">SUM(DH78:DL78)</f>
        <v>1</v>
      </c>
      <c r="DN78" s="19" t="n">
        <f aca="false">dt*(G78*Warfarin!$H$2+(H78+I78+J78)*c_aspirin)</f>
        <v>5.3902992496047</v>
      </c>
      <c r="DO78" s="19" t="n">
        <f aca="false">dt*(H78*c_lt_minor_stroke+I78*c_lt_major_stroke)</f>
        <v>54.5332768841302</v>
      </c>
      <c r="DP78" s="19" t="n">
        <f aca="false">AH78+BG78+CF78+DE78</f>
        <v>55.2125182767955</v>
      </c>
      <c r="DQ78" s="19" t="n">
        <f aca="false">DN78+DO78+DP78</f>
        <v>115.13609441053</v>
      </c>
      <c r="DR78" s="57" t="n">
        <f aca="false">dt*(G78*(u_af-dec_per_year_over_70*MAX(B78-ref_age,0))+H78*(u_minor_stroke-dec_per_year_over_70*MAX(B78-ref_age,0))+I78*(u_major_stroke-dec_per_year_over_70*MAX(B78-ref_age,0))+J78*(u_af-dec_per_year_over_70*MAX(B78-ref_age,0)))-AI78-BH78-CG78-DF78</f>
        <v>0.0191643553247082</v>
      </c>
      <c r="DS78" s="57" t="n">
        <f aca="false">dt*(G78+H78+I78+J78)</f>
        <v>0.0247077362555482</v>
      </c>
      <c r="DT78" s="19" t="n">
        <f aca="false">DQ78*C78</f>
        <v>88.0689326521656</v>
      </c>
      <c r="DU78" s="19" t="n">
        <f aca="false">DN78*C78</f>
        <v>4.12310235134254</v>
      </c>
      <c r="DV78" s="19" t="n">
        <f aca="false">DP78*C78</f>
        <v>42.2326949560905</v>
      </c>
      <c r="DW78" s="19" t="n">
        <f aca="false">DO78*C78</f>
        <v>41.7131353447326</v>
      </c>
      <c r="DX78" s="57" t="n">
        <f aca="false">DR78*C78</f>
        <v>0.0146590374378682</v>
      </c>
      <c r="DY78" s="57" t="n">
        <f aca="false">DS78*C78</f>
        <v>0.0188992337408861</v>
      </c>
      <c r="DZ78" s="57" t="n">
        <f aca="false">T78+AS78+BR78+CQ78</f>
        <v>0.00118049712787104</v>
      </c>
      <c r="EA78" s="57" t="n">
        <f aca="false">U78+AT78+BS78+CR78</f>
        <v>0.000141545270915387</v>
      </c>
      <c r="EB78" s="57" t="n">
        <f aca="false">V78+AU78+BT78+CS78</f>
        <v>0.0008193316177988</v>
      </c>
      <c r="EC78" s="57" t="n">
        <f aca="false">G78*dt*C78</f>
        <v>0.00980702719421952</v>
      </c>
    </row>
    <row r="79" customFormat="false" ht="15" hidden="false" customHeight="false" outlineLevel="0" collapsed="false">
      <c r="A79" s="8" t="n">
        <v>73</v>
      </c>
      <c r="B79" s="54" t="n">
        <f aca="false">start_age+A79*dt</f>
        <v>88.25</v>
      </c>
      <c r="C79" s="16" t="n">
        <f aca="false">(1+disc_rate)^-(A79*dt)</f>
        <v>0.762069760699905</v>
      </c>
      <c r="D79" s="55" t="n">
        <f aca="false">IF(A79*dt&gt;=wane_start,(1-wane_decay)^(A79*dt-wane_start),1)</f>
        <v>1</v>
      </c>
      <c r="E79" s="25" t="n">
        <f aca="false">MIN(p_nonvasc_death*MIN(EXP(gomp_int+gomp_slope*INT(B79)),1)/qx_ref,0.999)</f>
        <v>0.217003053696202</v>
      </c>
      <c r="F79" s="55" t="n">
        <f aca="false">rr_stroke_per_decade^((B79-ref_age)/10)</f>
        <v>2.09588064843593</v>
      </c>
      <c r="G79" s="57" t="n">
        <f aca="false">DH78</f>
        <v>0.0473316099132166</v>
      </c>
      <c r="H79" s="57" t="n">
        <f aca="false">DI78</f>
        <v>0.00836285445305144</v>
      </c>
      <c r="I79" s="57" t="n">
        <f aca="false">DJ78</f>
        <v>0.00417004433143655</v>
      </c>
      <c r="J79" s="57" t="n">
        <f aca="false">DK78</f>
        <v>0.03168870737703</v>
      </c>
      <c r="K79" s="57" t="n">
        <f aca="false">DL78</f>
        <v>0.908446783925266</v>
      </c>
      <c r="L79" s="57" t="n">
        <f aca="false">1-EXP(LN(1-E79)*dt)</f>
        <v>0.0593241011254088</v>
      </c>
      <c r="M79" s="57" t="n">
        <f aca="false">G79*(1-L79)</f>
        <v>0.0445237047002966</v>
      </c>
      <c r="N79" s="57" t="n">
        <f aca="false">IF(Warfarin!$B$2=1,EXP(LN(or_apx_stroke)*D79)*(1-EXP(-r_stroke*F79*dt))/(1-(1-EXP(-r_stroke*F79*dt))+EXP(LN(or_apx_stroke)*D79)*(1-EXP(-r_stroke*F79*dt))),(1-EXP(-r_stroke*F79*dt)))</f>
        <v>0.00841570289631632</v>
      </c>
      <c r="O79" s="57" t="n">
        <f aca="false">IF(Warfarin!$B$2=1,EXP(LN(or_apx_ich)*D79)*(1-EXP(-r_ich*dt))/(1-(1-EXP(-r_ich*dt))+EXP(LN(or_apx_ich)*D79)*(1-EXP(-r_ich*dt))),(1-EXP(-r_ich*dt)))</f>
        <v>0.0020060281549299</v>
      </c>
      <c r="P79" s="57" t="n">
        <f aca="false">IF(Warfarin!$B$2=1,EXP(LN(or_apx_mb)*D79)*(1-EXP(-r_mb*dt))/(1-(1-EXP(-r_mb*dt))+EXP(LN(or_apx_mb)*D79)*(1-EXP(-r_mb*dt))),(1-EXP(-r_mb*dt)))</f>
        <v>0.00835410477572107</v>
      </c>
      <c r="Q79" s="57" t="n">
        <f aca="false">IF(Warfarin!$B$2=1,EXP(LN(or_apx_mi)*D79)*(1-EXP(-r_mi*dt))/(1-(1-EXP(-r_mi*dt))+EXP(LN(or_apx_mi)*D79)*(1-EXP(-r_mi*dt))),(1-EXP(-r_mi*dt)))</f>
        <v>0.00150338686144691</v>
      </c>
      <c r="R79" s="57" t="n">
        <f aca="false">(1-EXP(-r_tia*dt))</f>
        <v>0.0020060281549299</v>
      </c>
      <c r="S79" s="57" t="n">
        <f aca="false">(1-EXP(-r_minor*dt))</f>
        <v>0.0437937690785545</v>
      </c>
      <c r="T79" s="57" t="n">
        <f aca="false">M79*N79</f>
        <v>0.000374698270601019</v>
      </c>
      <c r="U79" s="57" t="n">
        <f aca="false">M79*O79</f>
        <v>8.93158051905794E-005</v>
      </c>
      <c r="V79" s="57" t="n">
        <f aca="false">M79*P79</f>
        <v>0.000371955694069542</v>
      </c>
      <c r="W79" s="57" t="n">
        <f aca="false">M79*Q79</f>
        <v>6.69363526693679E-005</v>
      </c>
      <c r="X79" s="57" t="n">
        <f aca="false">M79*R79</f>
        <v>8.93158051905794E-005</v>
      </c>
      <c r="Y79" s="57" t="n">
        <f aca="false">M79*S79</f>
        <v>0.00194986084216654</v>
      </c>
      <c r="Z79" s="57" t="n">
        <f aca="false">T79*f_stroke_fatal</f>
        <v>8.88034901324414E-005</v>
      </c>
      <c r="AA79" s="57" t="n">
        <f aca="false">T79*(1-f_stroke_fatal)*f_stroke_major</f>
        <v>9.52029618960362E-005</v>
      </c>
      <c r="AB79" s="57" t="n">
        <f aca="false">T79*(1-f_stroke_fatal)*(1-f_stroke_major)</f>
        <v>0.000190691818572541</v>
      </c>
      <c r="AC79" s="57" t="n">
        <f aca="false">U79*(1-f_bleed_fatal)</f>
        <v>8.18132775545708E-005</v>
      </c>
      <c r="AD79" s="57" t="n">
        <f aca="false">V79*(1-f_bleed_fatal)</f>
        <v>0.000340711415767701</v>
      </c>
      <c r="AE79" s="57" t="n">
        <f aca="false">W79*f_mi_fatal</f>
        <v>8.09929867299351E-006</v>
      </c>
      <c r="AF79" s="57" t="n">
        <f aca="false">W79-AE79</f>
        <v>5.88370539963744E-005</v>
      </c>
      <c r="AG79" s="57" t="n">
        <f aca="false">M79-T79-U79-V79-AE79</f>
        <v>0.0436796356317624</v>
      </c>
      <c r="AH79" s="19" t="n">
        <f aca="false">Z79*c_stroke_fatal+AA79*c_stroke_major+AB79*c_stroke_minor+U79*c_ich+V79*c_major_bleed+AE79*c_mi_fatal+AF79*c_mi_nonfatal+X79*c_tia+Y79*c_minor_bleed</f>
        <v>19.9085201847</v>
      </c>
      <c r="AI79" s="57" t="n">
        <f aca="false">dt*(AF79*dec_mi+AD79*dec_major_bleed+Y79*dec_minor_bleed+X79*dec_tia)</f>
        <v>1.83119502207425E-005</v>
      </c>
      <c r="AJ79" s="57" t="n">
        <f aca="false">G79*L79+Z79+U79-AC79+V79-AD79+AE79</f>
        <v>0.00294355480766335</v>
      </c>
      <c r="AK79" s="57" t="n">
        <f aca="false">1-EXP(LN(1-E79)*hr_death_prior_stroke*dt)</f>
        <v>0.131215549572992</v>
      </c>
      <c r="AL79" s="57" t="n">
        <f aca="false">H79*(1-AK79)</f>
        <v>0.00726551790999536</v>
      </c>
      <c r="AM79" s="57" t="n">
        <f aca="false">(1-EXP(-r_stroke*F79*rr_stroke_prior*rr_asa_stroke*dt))</f>
        <v>0.0296713846803001</v>
      </c>
      <c r="AN79" s="57" t="n">
        <f aca="false">(1-EXP(-r_ich*rr_asa_ich*dt))</f>
        <v>0.00102357767802375</v>
      </c>
      <c r="AO79" s="57" t="n">
        <f aca="false">(1-EXP(-r_mb*rr_asa_mb*dt))</f>
        <v>0.00951809672747972</v>
      </c>
      <c r="AP79" s="57" t="n">
        <f aca="false">(1-EXP(-r_mi*rr_asa_mi*dt))</f>
        <v>0.00213413516393479</v>
      </c>
      <c r="AQ79" s="57" t="n">
        <f aca="false">(1-EXP(-r_tia*rr_asa_tia*dt))</f>
        <v>0.00312764565589152</v>
      </c>
      <c r="AR79" s="57" t="n">
        <f aca="false">(1-EXP(-r_minor*rr_asa_minor*dt))</f>
        <v>0.0278181950466747</v>
      </c>
      <c r="AS79" s="57" t="n">
        <f aca="false">AL79*AM79</f>
        <v>0.000215577976809082</v>
      </c>
      <c r="AT79" s="57" t="n">
        <f aca="false">AL79*AN79</f>
        <v>7.43682195195299E-006</v>
      </c>
      <c r="AU79" s="57" t="n">
        <f aca="false">AL79*AO79</f>
        <v>6.91539022425721E-005</v>
      </c>
      <c r="AV79" s="57" t="n">
        <f aca="false">AL79*AP79</f>
        <v>1.55055972559191E-005</v>
      </c>
      <c r="AW79" s="57" t="n">
        <f aca="false">AL79*AQ79</f>
        <v>2.2723965528999E-005</v>
      </c>
      <c r="AX79" s="57" t="n">
        <f aca="false">AL79*AR79</f>
        <v>0.000202113594335359</v>
      </c>
      <c r="AY79" s="57" t="n">
        <f aca="false">AS79*f_stroke_fatal_recur</f>
        <v>8.02144093908913E-005</v>
      </c>
      <c r="AZ79" s="57" t="n">
        <f aca="false">AS79*(1-f_stroke_fatal_recur)*f_stroke_major</f>
        <v>4.50760679502575E-005</v>
      </c>
      <c r="BA79" s="57" t="n">
        <f aca="false">AS79*(1-f_stroke_fatal_recur)*(1-f_stroke_major)</f>
        <v>9.02874994679332E-005</v>
      </c>
      <c r="BB79" s="57" t="n">
        <f aca="false">AT79*(1-f_bleed_fatal)</f>
        <v>6.81212890798894E-006</v>
      </c>
      <c r="BC79" s="57" t="n">
        <f aca="false">AU79*(1-f_bleed_fatal)</f>
        <v>6.3344974454196E-005</v>
      </c>
      <c r="BD79" s="57" t="n">
        <f aca="false">AV79*f_mi_fatal</f>
        <v>1.87617726796621E-006</v>
      </c>
      <c r="BE79" s="57" t="n">
        <f aca="false">AV79-BD79</f>
        <v>1.36294199879529E-005</v>
      </c>
      <c r="BF79" s="57" t="n">
        <f aca="false">AL79-AS79-AT79-AU79-BD79</f>
        <v>0.00697147303172378</v>
      </c>
      <c r="BG79" s="19" t="n">
        <f aca="false">AY79*c_stroke_fatal+AZ79*c_stroke_major+BA79*c_stroke_minor+AT79*c_ich+AU79*c_major_bleed+BD79*c_mi_fatal+BE79*c_mi_nonfatal+AW79*c_tia+AX79*c_minor_bleed</f>
        <v>8.41137359048446</v>
      </c>
      <c r="BH79" s="57" t="n">
        <f aca="false">dt*(BE79*dec_mi+BC79*dec_major_bleed+AX79*dec_minor_bleed+AW79*dec_tia)</f>
        <v>3.12486508103168E-006</v>
      </c>
      <c r="BI79" s="57" t="n">
        <f aca="false">H79*AK79+AY79+AT79-BB79+AU79-BC79+BD79</f>
        <v>0.00118586075054728</v>
      </c>
      <c r="BJ79" s="57" t="n">
        <f aca="false">1-EXP(LN(1-E79)*hr_death_prior_stroke*dt)</f>
        <v>0.131215549572992</v>
      </c>
      <c r="BK79" s="57" t="n">
        <f aca="false">I79*(1-BJ79)</f>
        <v>0.00362286967274337</v>
      </c>
      <c r="BL79" s="57" t="n">
        <f aca="false">(1-EXP(-r_stroke*F79*rr_stroke_prior*rr_asa_stroke*dt))</f>
        <v>0.0296713846803001</v>
      </c>
      <c r="BM79" s="57" t="n">
        <f aca="false">(1-EXP(-r_ich*rr_asa_ich*dt))</f>
        <v>0.00102357767802375</v>
      </c>
      <c r="BN79" s="57" t="n">
        <f aca="false">(1-EXP(-r_mb*rr_asa_mb*dt))</f>
        <v>0.00951809672747972</v>
      </c>
      <c r="BO79" s="57" t="n">
        <f aca="false">(1-EXP(-r_mi*rr_asa_mi*dt))</f>
        <v>0.00213413516393479</v>
      </c>
      <c r="BP79" s="57" t="n">
        <f aca="false">(1-EXP(-r_tia*rr_asa_tia*dt))</f>
        <v>0.00312764565589152</v>
      </c>
      <c r="BQ79" s="57" t="n">
        <f aca="false">(1-EXP(-r_minor*rr_asa_minor*dt))</f>
        <v>0.0278181950466747</v>
      </c>
      <c r="BR79" s="57" t="n">
        <f aca="false">BK79*BL79</f>
        <v>0.000107495559706561</v>
      </c>
      <c r="BS79" s="57" t="n">
        <f aca="false">BK79*BM79</f>
        <v>3.7082885274093E-006</v>
      </c>
      <c r="BT79" s="57" t="n">
        <f aca="false">BK79*BN79</f>
        <v>3.44828239762242E-005</v>
      </c>
      <c r="BU79" s="57" t="n">
        <f aca="false">BK79*BO79</f>
        <v>7.73169356295455E-006</v>
      </c>
      <c r="BV79" s="57" t="n">
        <f aca="false">BK79*BP79</f>
        <v>1.13310525938169E-005</v>
      </c>
      <c r="BW79" s="57" t="n">
        <f aca="false">BK79*BQ79</f>
        <v>0.000100781695185058</v>
      </c>
      <c r="BX79" s="57" t="n">
        <f aca="false">BR79*f_stroke_fatal_recur</f>
        <v>3.99980228112144E-005</v>
      </c>
      <c r="BY79" s="57" t="n">
        <f aca="false">BR79*(1-f_stroke_fatal_recur)*f_stroke_major</f>
        <v>2.24766797861505E-005</v>
      </c>
      <c r="BZ79" s="57" t="n">
        <f aca="false">BR79*(1-f_stroke_fatal_recur)*(1-f_stroke_major)</f>
        <v>4.50208571091963E-005</v>
      </c>
      <c r="CA79" s="57" t="n">
        <f aca="false">BS79*(1-f_bleed_fatal)</f>
        <v>3.39679229110692E-006</v>
      </c>
      <c r="CB79" s="57" t="n">
        <f aca="false">BT79*(1-f_bleed_fatal)</f>
        <v>3.15862667622213E-005</v>
      </c>
      <c r="CC79" s="57" t="n">
        <f aca="false">BU79*f_mi_fatal</f>
        <v>9.355349211175E-007</v>
      </c>
      <c r="CD79" s="57" t="n">
        <f aca="false">BU79-CC79</f>
        <v>6.79615864183705E-006</v>
      </c>
      <c r="CE79" s="57" t="n">
        <f aca="false">BK79-BR79-BS79-BT79-CC79</f>
        <v>0.00347624746561205</v>
      </c>
      <c r="CF79" s="19" t="n">
        <f aca="false">BX79*c_stroke_fatal+BY79*c_stroke_major+BZ79*c_stroke_minor+BS79*c_ich+BT79*c_major_bleed+CC79*c_mi_fatal+CD79*c_mi_nonfatal+BV79*c_tia+BW79*c_minor_bleed</f>
        <v>4.19423785951414</v>
      </c>
      <c r="CG79" s="57" t="n">
        <f aca="false">dt*(CD79*dec_mi+CB79*dec_major_bleed+BW79*dec_minor_bleed+BV79*dec_tia)</f>
        <v>1.55817920673072E-006</v>
      </c>
      <c r="CH79" s="57" t="n">
        <f aca="false">I79*BJ79+BX79+BS79-CA79+BT79-CB79+CC79</f>
        <v>0.000591316269875823</v>
      </c>
      <c r="CI79" s="57" t="n">
        <f aca="false">1-EXP(LN(1-E79)*dt)</f>
        <v>0.0593241011254088</v>
      </c>
      <c r="CJ79" s="57" t="n">
        <f aca="false">J79*(1-CI79)</f>
        <v>0.0298088032960616</v>
      </c>
      <c r="CK79" s="57" t="n">
        <f aca="false">(1-EXP(-r_stroke*F79*rr_asa_stroke*dt))</f>
        <v>0.0135978328260374</v>
      </c>
      <c r="CL79" s="57" t="n">
        <f aca="false">(1-EXP(-r_ich*rr_asa_ich*dt))</f>
        <v>0.00102357767802375</v>
      </c>
      <c r="CM79" s="57" t="n">
        <f aca="false">(1-EXP(-r_mb*rr_asa_mb*dt))</f>
        <v>0.00951809672747972</v>
      </c>
      <c r="CN79" s="57" t="n">
        <f aca="false">(1-EXP(-r_mi*rr_asa_mi*dt))</f>
        <v>0.00213413516393479</v>
      </c>
      <c r="CO79" s="57" t="n">
        <f aca="false">(1-EXP(-r_tia*rr_asa_tia*dt))</f>
        <v>0.00312764565589152</v>
      </c>
      <c r="CP79" s="57" t="n">
        <f aca="false">(1-EXP(-r_minor*rr_asa_minor*dt))</f>
        <v>0.0278181950466747</v>
      </c>
      <c r="CQ79" s="57" t="n">
        <f aca="false">CJ79*CK79</f>
        <v>0.000405335123964079</v>
      </c>
      <c r="CR79" s="57" t="n">
        <f aca="false">CJ79*CL79</f>
        <v>3.05116256624493E-005</v>
      </c>
      <c r="CS79" s="57" t="n">
        <f aca="false">CJ79*CM79</f>
        <v>0.00028372307310233</v>
      </c>
      <c r="CT79" s="57" t="n">
        <f aca="false">CJ79*CN79</f>
        <v>6.36160153089403E-005</v>
      </c>
      <c r="CU79" s="57" t="n">
        <f aca="false">CJ79*CO79</f>
        <v>9.32313741362518E-005</v>
      </c>
      <c r="CV79" s="57" t="n">
        <f aca="false">CJ79*CP79</f>
        <v>0.000829227104197801</v>
      </c>
      <c r="CW79" s="57" t="n">
        <f aca="false">CQ79*f_stroke_fatal</f>
        <v>9.60644243794867E-005</v>
      </c>
      <c r="CX79" s="57" t="n">
        <f aca="false">CQ79*(1-f_stroke_fatal)*f_stroke_major</f>
        <v>0.000102987142961669</v>
      </c>
      <c r="CY79" s="57" t="n">
        <f aca="false">CQ79*(1-f_stroke_fatal)*(1-f_stroke_major)</f>
        <v>0.000206283556622923</v>
      </c>
      <c r="CZ79" s="57" t="n">
        <f aca="false">CR79*(1-f_bleed_fatal)</f>
        <v>2.79486491068036E-005</v>
      </c>
      <c r="DA79" s="57" t="n">
        <f aca="false">CS79*(1-f_bleed_fatal)</f>
        <v>0.000259890334961735</v>
      </c>
      <c r="DB79" s="57" t="n">
        <f aca="false">CT79*f_mi_fatal</f>
        <v>7.69753785238178E-006</v>
      </c>
      <c r="DC79" s="57" t="n">
        <f aca="false">CT79-DB79</f>
        <v>5.59184774565585E-005</v>
      </c>
      <c r="DD79" s="57" t="n">
        <f aca="false">CJ79-CQ79-CR79-CS79-DB79</f>
        <v>0.0290815359354803</v>
      </c>
      <c r="DE79" s="19" t="n">
        <f aca="false">CW79*c_stroke_fatal+CX79*c_stroke_major+CY79*c_stroke_minor+CR79*c_ich+CS79*c_major_bleed+DB79*c_mi_fatal+DC79*c_mi_nonfatal+CU79*c_tia+CV79*c_minor_bleed</f>
        <v>18.9901739849639</v>
      </c>
      <c r="DF79" s="57" t="n">
        <f aca="false">dt*(DC79*dec_mi+DA79*dec_major_bleed+CV79*dec_minor_bleed+CU79*dec_tia)</f>
        <v>1.28206260972887E-005</v>
      </c>
      <c r="DG79" s="57" t="n">
        <f aca="false">J79*CI79+CW79+CR79-CZ79+CS79-DA79+DB79</f>
        <v>0.00201006175789652</v>
      </c>
      <c r="DH79" s="57" t="n">
        <f aca="false">AG79</f>
        <v>0.0436796356317624</v>
      </c>
      <c r="DI79" s="57" t="n">
        <f aca="false">AB79+AC79+BF79+BA79+BB79+BC79+CY79+CZ79</f>
        <v>0.00763865493641074</v>
      </c>
      <c r="DJ79" s="57" t="n">
        <f aca="false">AA79+AZ79+BY79+CX79+CE79+BZ79+CA79+CB79</f>
        <v>0.00382199423436869</v>
      </c>
      <c r="DK79" s="57" t="n">
        <f aca="false">AD79+DD79+DA79</f>
        <v>0.0296821376862098</v>
      </c>
      <c r="DL79" s="57" t="n">
        <f aca="false">K79+AJ79+BI79+CH79+DG79</f>
        <v>0.915177577511249</v>
      </c>
      <c r="DM79" s="58" t="n">
        <f aca="false">SUM(DH79:DL79)</f>
        <v>1</v>
      </c>
      <c r="DN79" s="19" t="n">
        <f aca="false">dt*(G79*Warfarin!$H$2+(H79+I79+J79)*c_aspirin)</f>
        <v>4.97814517880853</v>
      </c>
      <c r="DO79" s="19" t="n">
        <f aca="false">dt*(H79*c_lt_minor_stroke+I79*c_lt_major_stroke)</f>
        <v>49.8323287950095</v>
      </c>
      <c r="DP79" s="19" t="n">
        <f aca="false">AH79+BG79+CF79+DE79</f>
        <v>51.5043056196625</v>
      </c>
      <c r="DQ79" s="19" t="n">
        <f aca="false">DN79+DO79+DP79</f>
        <v>106.314779593481</v>
      </c>
      <c r="DR79" s="57" t="n">
        <f aca="false">dt*(G79*(u_af-dec_per_year_over_70*MAX(B79-ref_age,0))+H79*(u_minor_stroke-dec_per_year_over_70*MAX(B79-ref_age,0))+I79*(u_major_stroke-dec_per_year_over_70*MAX(B79-ref_age,0))+J79*(u_af-dec_per_year_over_70*MAX(B79-ref_age,0)))-AI79-BH79-CG79-DF79</f>
        <v>0.0177594366777564</v>
      </c>
      <c r="DS79" s="57" t="n">
        <f aca="false">dt*(G79+H79+I79+J79)</f>
        <v>0.0228883040186837</v>
      </c>
      <c r="DT79" s="19" t="n">
        <f aca="false">DQ79*C79</f>
        <v>81.0192786436668</v>
      </c>
      <c r="DU79" s="19" t="n">
        <f aca="false">DN79*C79</f>
        <v>3.793693905144</v>
      </c>
      <c r="DV79" s="19" t="n">
        <f aca="false">DP79*C79</f>
        <v>39.2498738585909</v>
      </c>
      <c r="DW79" s="19" t="n">
        <f aca="false">DO79*C79</f>
        <v>37.9757108799319</v>
      </c>
      <c r="DX79" s="57" t="n">
        <f aca="false">DR79*C79</f>
        <v>0.0135339296591829</v>
      </c>
      <c r="DY79" s="57" t="n">
        <f aca="false">DS79*C79</f>
        <v>0.0174424843663449</v>
      </c>
      <c r="DZ79" s="57" t="n">
        <f aca="false">T79+AS79+BR79+CQ79</f>
        <v>0.00110310693108074</v>
      </c>
      <c r="EA79" s="57" t="n">
        <f aca="false">U79+AT79+BS79+CR79</f>
        <v>0.000130972541332391</v>
      </c>
      <c r="EB79" s="57" t="n">
        <f aca="false">V79+AU79+BT79+CS79</f>
        <v>0.000759315493390669</v>
      </c>
      <c r="EC79" s="57" t="n">
        <f aca="false">G79*dt*C79</f>
        <v>0.00901749716002656</v>
      </c>
    </row>
    <row r="80" customFormat="false" ht="15" hidden="false" customHeight="false" outlineLevel="0" collapsed="false">
      <c r="A80" s="8" t="n">
        <v>74</v>
      </c>
      <c r="B80" s="54" t="n">
        <f aca="false">start_age+A80*dt</f>
        <v>88.5</v>
      </c>
      <c r="C80" s="16" t="n">
        <f aca="false">(1+disc_rate)^-(A80*dt)</f>
        <v>0.7592384928349</v>
      </c>
      <c r="D80" s="55" t="n">
        <f aca="false">IF(A80*dt&gt;=wane_start,(1-wane_decay)^(A80*dt-wane_start),1)</f>
        <v>1</v>
      </c>
      <c r="E80" s="25" t="n">
        <f aca="false">MIN(p_nonvasc_death*MIN(EXP(gomp_int+gomp_slope*INT(B80)),1)/qx_ref,0.999)</f>
        <v>0.217003053696202</v>
      </c>
      <c r="F80" s="55" t="n">
        <f aca="false">rr_stroke_per_decade^((B80-ref_age)/10)</f>
        <v>2.11723385217806</v>
      </c>
      <c r="G80" s="57" t="n">
        <f aca="false">DH79</f>
        <v>0.0436796356317624</v>
      </c>
      <c r="H80" s="57" t="n">
        <f aca="false">DI79</f>
        <v>0.00763865493641074</v>
      </c>
      <c r="I80" s="57" t="n">
        <f aca="false">DJ79</f>
        <v>0.00382199423436869</v>
      </c>
      <c r="J80" s="57" t="n">
        <f aca="false">DK79</f>
        <v>0.0296821376862098</v>
      </c>
      <c r="K80" s="57" t="n">
        <f aca="false">DL79</f>
        <v>0.915177577511249</v>
      </c>
      <c r="L80" s="57" t="n">
        <f aca="false">1-EXP(LN(1-E80)*dt)</f>
        <v>0.0593241011254088</v>
      </c>
      <c r="M80" s="57" t="n">
        <f aca="false">G80*(1-L80)</f>
        <v>0.0410883805104227</v>
      </c>
      <c r="N80" s="57" t="n">
        <f aca="false">IF(Warfarin!$B$2=1,EXP(LN(or_apx_stroke)*D80)*(1-EXP(-r_stroke*F80*dt))/(1-(1-EXP(-r_stroke*F80*dt))+EXP(LN(or_apx_stroke)*D80)*(1-EXP(-r_stroke*F80*dt))),(1-EXP(-r_stroke*F80*dt)))</f>
        <v>0.00850107809392875</v>
      </c>
      <c r="O80" s="57" t="n">
        <f aca="false">IF(Warfarin!$B$2=1,EXP(LN(or_apx_ich)*D80)*(1-EXP(-r_ich*dt))/(1-(1-EXP(-r_ich*dt))+EXP(LN(or_apx_ich)*D80)*(1-EXP(-r_ich*dt))),(1-EXP(-r_ich*dt)))</f>
        <v>0.0020060281549299</v>
      </c>
      <c r="P80" s="57" t="n">
        <f aca="false">IF(Warfarin!$B$2=1,EXP(LN(or_apx_mb)*D80)*(1-EXP(-r_mb*dt))/(1-(1-EXP(-r_mb*dt))+EXP(LN(or_apx_mb)*D80)*(1-EXP(-r_mb*dt))),(1-EXP(-r_mb*dt)))</f>
        <v>0.00835410477572107</v>
      </c>
      <c r="Q80" s="57" t="n">
        <f aca="false">IF(Warfarin!$B$2=1,EXP(LN(or_apx_mi)*D80)*(1-EXP(-r_mi*dt))/(1-(1-EXP(-r_mi*dt))+EXP(LN(or_apx_mi)*D80)*(1-EXP(-r_mi*dt))),(1-EXP(-r_mi*dt)))</f>
        <v>0.00150338686144691</v>
      </c>
      <c r="R80" s="57" t="n">
        <f aca="false">(1-EXP(-r_tia*dt))</f>
        <v>0.0020060281549299</v>
      </c>
      <c r="S80" s="57" t="n">
        <f aca="false">(1-EXP(-r_minor*dt))</f>
        <v>0.0437937690785545</v>
      </c>
      <c r="T80" s="57" t="n">
        <f aca="false">M80*N80</f>
        <v>0.000349295531472164</v>
      </c>
      <c r="U80" s="57" t="n">
        <f aca="false">M80*O80</f>
        <v>8.24244481443808E-005</v>
      </c>
      <c r="V80" s="57" t="n">
        <f aca="false">M80*P80</f>
        <v>0.000343256635848767</v>
      </c>
      <c r="W80" s="57" t="n">
        <f aca="false">M80*Q80</f>
        <v>6.17717314175008E-005</v>
      </c>
      <c r="X80" s="57" t="n">
        <f aca="false">M80*R80</f>
        <v>8.24244481443808E-005</v>
      </c>
      <c r="Y80" s="57" t="n">
        <f aca="false">M80*S80</f>
        <v>0.00179941504788523</v>
      </c>
      <c r="Z80" s="57" t="n">
        <f aca="false">T80*f_stroke_fatal</f>
        <v>8.27830409589028E-005</v>
      </c>
      <c r="AA80" s="57" t="n">
        <f aca="false">T80*(1-f_stroke_fatal)*f_stroke_major</f>
        <v>8.87486593409159E-005</v>
      </c>
      <c r="AB80" s="57" t="n">
        <f aca="false">T80*(1-f_stroke_fatal)*(1-f_stroke_major)</f>
        <v>0.000177763831172345</v>
      </c>
      <c r="AC80" s="57" t="n">
        <f aca="false">U80*(1-f_bleed_fatal)</f>
        <v>7.55007945002528E-005</v>
      </c>
      <c r="AD80" s="57" t="n">
        <f aca="false">V80*(1-f_bleed_fatal)</f>
        <v>0.000314423078437471</v>
      </c>
      <c r="AE80" s="57" t="n">
        <f aca="false">W80*f_mi_fatal</f>
        <v>7.4743795015176E-006</v>
      </c>
      <c r="AF80" s="57" t="n">
        <f aca="false">W80-AE80</f>
        <v>5.42973519159832E-005</v>
      </c>
      <c r="AG80" s="57" t="n">
        <f aca="false">M80-T80-U80-V80-AE80</f>
        <v>0.0403059295154559</v>
      </c>
      <c r="AH80" s="19" t="n">
        <f aca="false">Z80*c_stroke_fatal+AA80*c_stroke_major+AB80*c_stroke_minor+U80*c_ich+V80*c_major_bleed+AE80*c_mi_fatal+AF80*c_mi_nonfatal+X80*c_tia+Y80*c_minor_bleed</f>
        <v>18.5020442509563</v>
      </c>
      <c r="AI80" s="57" t="n">
        <f aca="false">dt*(AF80*dec_mi+AD80*dec_major_bleed+Y80*dec_minor_bleed+X80*dec_tia)</f>
        <v>1.68990514967811E-005</v>
      </c>
      <c r="AJ80" s="57" t="n">
        <f aca="false">G80*L80+Z80+U80-AC80+V80-AD80+AE80</f>
        <v>0.00271726975285553</v>
      </c>
      <c r="AK80" s="57" t="n">
        <f aca="false">1-EXP(LN(1-E80)*hr_death_prior_stroke*dt)</f>
        <v>0.131215549572992</v>
      </c>
      <c r="AL80" s="57" t="n">
        <f aca="false">H80*(1-AK80)</f>
        <v>0.00663634463093116</v>
      </c>
      <c r="AM80" s="57" t="n">
        <f aca="false">(1-EXP(-r_stroke*F80*rr_stroke_prior*rr_asa_stroke*dt))</f>
        <v>0.0299691065089814</v>
      </c>
      <c r="AN80" s="57" t="n">
        <f aca="false">(1-EXP(-r_ich*rr_asa_ich*dt))</f>
        <v>0.00102357767802375</v>
      </c>
      <c r="AO80" s="57" t="n">
        <f aca="false">(1-EXP(-r_mb*rr_asa_mb*dt))</f>
        <v>0.00951809672747972</v>
      </c>
      <c r="AP80" s="57" t="n">
        <f aca="false">(1-EXP(-r_mi*rr_asa_mi*dt))</f>
        <v>0.00213413516393479</v>
      </c>
      <c r="AQ80" s="57" t="n">
        <f aca="false">(1-EXP(-r_tia*rr_asa_tia*dt))</f>
        <v>0.00312764565589152</v>
      </c>
      <c r="AR80" s="57" t="n">
        <f aca="false">(1-EXP(-r_minor*rr_asa_minor*dt))</f>
        <v>0.0278181950466747</v>
      </c>
      <c r="AS80" s="57" t="n">
        <f aca="false">AL80*AM80</f>
        <v>0.000198885319074683</v>
      </c>
      <c r="AT80" s="57" t="n">
        <f aca="false">AL80*AN80</f>
        <v>6.79281422789387E-006</v>
      </c>
      <c r="AU80" s="57" t="n">
        <f aca="false">AL80*AO80</f>
        <v>6.31653701140935E-005</v>
      </c>
      <c r="AV80" s="57" t="n">
        <f aca="false">AL80*AP80</f>
        <v>1.416285643686E-005</v>
      </c>
      <c r="AW80" s="57" t="n">
        <f aca="false">AL80*AQ80</f>
        <v>2.07561344559309E-005</v>
      </c>
      <c r="AX80" s="57" t="n">
        <f aca="false">AL80*AR80</f>
        <v>0.000184611129340195</v>
      </c>
      <c r="AY80" s="57" t="n">
        <f aca="false">AS80*f_stroke_fatal_recur</f>
        <v>7.40032383744988E-005</v>
      </c>
      <c r="AZ80" s="57" t="n">
        <f aca="false">AS80*(1-f_stroke_fatal_recur)*f_stroke_major</f>
        <v>4.15857328731613E-005</v>
      </c>
      <c r="BA80" s="57" t="n">
        <f aca="false">AS80*(1-f_stroke_fatal_recur)*(1-f_stroke_major)</f>
        <v>8.32963478270229E-005</v>
      </c>
      <c r="BB80" s="57" t="n">
        <f aca="false">AT80*(1-f_bleed_fatal)</f>
        <v>6.22221783275078E-006</v>
      </c>
      <c r="BC80" s="57" t="n">
        <f aca="false">AU80*(1-f_bleed_fatal)</f>
        <v>5.78594790245096E-005</v>
      </c>
      <c r="BD80" s="57" t="n">
        <f aca="false">AV80*f_mi_fatal</f>
        <v>1.71370562886007E-006</v>
      </c>
      <c r="BE80" s="57" t="n">
        <f aca="false">AV80-BD80</f>
        <v>1.2449150808E-005</v>
      </c>
      <c r="BF80" s="57" t="n">
        <f aca="false">AL80-AS80-AT80-AU80-BD80</f>
        <v>0.00636578742188563</v>
      </c>
      <c r="BG80" s="19" t="n">
        <f aca="false">AY80*c_stroke_fatal+AZ80*c_stroke_major+BA80*c_stroke_minor+AT80*c_ich+AU80*c_major_bleed+BD80*c_mi_fatal+BE80*c_mi_nonfatal+AW80*c_tia+AX80*c_minor_bleed</f>
        <v>7.75109643648632</v>
      </c>
      <c r="BH80" s="57" t="n">
        <f aca="false">dt*(BE80*dec_mi+BC80*dec_major_bleed+AX80*dec_minor_bleed+AW80*dec_tia)</f>
        <v>2.85426061290957E-006</v>
      </c>
      <c r="BI80" s="57" t="n">
        <f aca="false">H80*AK80+AY80+AT80-BB80+AU80-BC80+BD80</f>
        <v>0.00108390373696767</v>
      </c>
      <c r="BJ80" s="57" t="n">
        <f aca="false">1-EXP(LN(1-E80)*hr_death_prior_stroke*dt)</f>
        <v>0.131215549572992</v>
      </c>
      <c r="BK80" s="57" t="n">
        <f aca="false">I80*(1-BJ80)</f>
        <v>0.0033204891604412</v>
      </c>
      <c r="BL80" s="57" t="n">
        <f aca="false">(1-EXP(-r_stroke*F80*rr_stroke_prior*rr_asa_stroke*dt))</f>
        <v>0.0299691065089814</v>
      </c>
      <c r="BM80" s="57" t="n">
        <f aca="false">(1-EXP(-r_ich*rr_asa_ich*dt))</f>
        <v>0.00102357767802375</v>
      </c>
      <c r="BN80" s="57" t="n">
        <f aca="false">(1-EXP(-r_mb*rr_asa_mb*dt))</f>
        <v>0.00951809672747972</v>
      </c>
      <c r="BO80" s="57" t="n">
        <f aca="false">(1-EXP(-r_mi*rr_asa_mi*dt))</f>
        <v>0.00213413516393479</v>
      </c>
      <c r="BP80" s="57" t="n">
        <f aca="false">(1-EXP(-r_tia*rr_asa_tia*dt))</f>
        <v>0.00312764565589152</v>
      </c>
      <c r="BQ80" s="57" t="n">
        <f aca="false">(1-EXP(-r_minor*rr_asa_minor*dt))</f>
        <v>0.0278181950466747</v>
      </c>
      <c r="BR80" s="57" t="n">
        <f aca="false">BK80*BL80</f>
        <v>9.95120933111806E-005</v>
      </c>
      <c r="BS80" s="57" t="n">
        <f aca="false">BK80*BM80</f>
        <v>3.39877858474742E-006</v>
      </c>
      <c r="BT80" s="57" t="n">
        <f aca="false">BK80*BN80</f>
        <v>3.16047370116273E-005</v>
      </c>
      <c r="BU80" s="57" t="n">
        <f aca="false">BK80*BO80</f>
        <v>7.08637267876188E-006</v>
      </c>
      <c r="BV80" s="57" t="n">
        <f aca="false">BK80*BP80</f>
        <v>1.03853134980888E-005</v>
      </c>
      <c r="BW80" s="57" t="n">
        <f aca="false">BK80*BQ80</f>
        <v>9.23700151155224E-005</v>
      </c>
      <c r="BX80" s="57" t="n">
        <f aca="false">BR80*f_stroke_fatal_recur</f>
        <v>3.70274548001572E-005</v>
      </c>
      <c r="BY80" s="57" t="n">
        <f aca="false">BR80*(1-f_stroke_fatal_recur)*f_stroke_major</f>
        <v>2.08073846241708E-005</v>
      </c>
      <c r="BZ80" s="57" t="n">
        <f aca="false">BR80*(1-f_stroke_fatal_recur)*(1-f_stroke_major)</f>
        <v>4.16772538868526E-005</v>
      </c>
      <c r="CA80" s="57" t="n">
        <f aca="false">BS80*(1-f_bleed_fatal)</f>
        <v>3.11328118362864E-006</v>
      </c>
      <c r="CB80" s="57" t="n">
        <f aca="false">BT80*(1-f_bleed_fatal)</f>
        <v>2.89499391026506E-005</v>
      </c>
      <c r="CC80" s="57" t="n">
        <f aca="false">BU80*f_mi_fatal</f>
        <v>8.57451094130187E-007</v>
      </c>
      <c r="CD80" s="57" t="n">
        <f aca="false">BU80-CC80</f>
        <v>6.22892158463169E-006</v>
      </c>
      <c r="CE80" s="57" t="n">
        <f aca="false">BK80-BR80-BS80-BT80-CC80</f>
        <v>0.00318511610043951</v>
      </c>
      <c r="CF80" s="19" t="n">
        <f aca="false">BX80*c_stroke_fatal+BY80*c_stroke_major+BZ80*c_stroke_minor+BS80*c_ich+BT80*c_major_bleed+CC80*c_mi_fatal+CD80*c_mi_nonfatal+BV80*c_tia+BW80*c_minor_bleed</f>
        <v>3.87825423937876</v>
      </c>
      <c r="CG80" s="57" t="n">
        <f aca="false">dt*(CD80*dec_mi+CB80*dec_major_bleed+BW80*dec_minor_bleed+BV80*dec_tia)</f>
        <v>1.42812677058194E-006</v>
      </c>
      <c r="CH80" s="57" t="n">
        <f aca="false">I80*BJ80+BX80+BS80-CA80+BT80-CB80+CC80</f>
        <v>0.000542330275131876</v>
      </c>
      <c r="CI80" s="57" t="n">
        <f aca="false">1-EXP(LN(1-E80)*dt)</f>
        <v>0.0593241011254088</v>
      </c>
      <c r="CJ80" s="57" t="n">
        <f aca="false">J80*(1-CI80)</f>
        <v>0.0279212715484948</v>
      </c>
      <c r="CK80" s="57" t="n">
        <f aca="false">(1-EXP(-r_stroke*F80*rr_asa_stroke*dt))</f>
        <v>0.0137354141617912</v>
      </c>
      <c r="CL80" s="57" t="n">
        <f aca="false">(1-EXP(-r_ich*rr_asa_ich*dt))</f>
        <v>0.00102357767802375</v>
      </c>
      <c r="CM80" s="57" t="n">
        <f aca="false">(1-EXP(-r_mb*rr_asa_mb*dt))</f>
        <v>0.00951809672747972</v>
      </c>
      <c r="CN80" s="57" t="n">
        <f aca="false">(1-EXP(-r_mi*rr_asa_mi*dt))</f>
        <v>0.00213413516393479</v>
      </c>
      <c r="CO80" s="57" t="n">
        <f aca="false">(1-EXP(-r_tia*rr_asa_tia*dt))</f>
        <v>0.00312764565589152</v>
      </c>
      <c r="CP80" s="57" t="n">
        <f aca="false">(1-EXP(-r_minor*rr_asa_minor*dt))</f>
        <v>0.0278181950466747</v>
      </c>
      <c r="CQ80" s="57" t="n">
        <f aca="false">CJ80*CK80</f>
        <v>0.000383510228642414</v>
      </c>
      <c r="CR80" s="57" t="n">
        <f aca="false">CJ80*CL80</f>
        <v>2.85795902990787E-005</v>
      </c>
      <c r="CS80" s="57" t="n">
        <f aca="false">CJ80*CM80</f>
        <v>0.000265757363352801</v>
      </c>
      <c r="CT80" s="57" t="n">
        <f aca="false">CJ80*CN80</f>
        <v>5.95877674334147E-005</v>
      </c>
      <c r="CU80" s="57" t="n">
        <f aca="false">CJ80*CO80</f>
        <v>8.73278436656171E-005</v>
      </c>
      <c r="CV80" s="57" t="n">
        <f aca="false">CJ80*CP80</f>
        <v>0.000776719377887196</v>
      </c>
      <c r="CW80" s="57" t="n">
        <f aca="false">CQ80*f_stroke_fatal</f>
        <v>9.08919241882521E-005</v>
      </c>
      <c r="CX80" s="57" t="n">
        <f aca="false">CQ80*(1-f_stroke_fatal)*f_stroke_major</f>
        <v>9.74418953832359E-005</v>
      </c>
      <c r="CY80" s="57" t="n">
        <f aca="false">CQ80*(1-f_stroke_fatal)*(1-f_stroke_major)</f>
        <v>0.000195176409070926</v>
      </c>
      <c r="CZ80" s="57" t="n">
        <f aca="false">CR80*(1-f_bleed_fatal)</f>
        <v>2.61789047139561E-005</v>
      </c>
      <c r="DA80" s="57" t="n">
        <f aca="false">CS80*(1-f_bleed_fatal)</f>
        <v>0.000243433744831165</v>
      </c>
      <c r="DB80" s="57" t="n">
        <f aca="false">CT80*f_mi_fatal</f>
        <v>7.21011985944318E-006</v>
      </c>
      <c r="DC80" s="57" t="n">
        <f aca="false">CT80-DB80</f>
        <v>5.23776475739715E-005</v>
      </c>
      <c r="DD80" s="57" t="n">
        <f aca="false">CJ80-CQ80-CR80-CS80-DB80</f>
        <v>0.027236214246341</v>
      </c>
      <c r="DE80" s="19" t="n">
        <f aca="false">CW80*c_stroke_fatal+CX80*c_stroke_major+CY80*c_stroke_minor+CR80*c_ich+CS80*c_major_bleed+DB80*c_mi_fatal+DC80*c_mi_nonfatal+CU80*c_tia+CV80*c_minor_bleed</f>
        <v>17.929624076661</v>
      </c>
      <c r="DF80" s="57" t="n">
        <f aca="false">dt*(DC80*dec_mi+DA80*dec_major_bleed+CV80*dec_minor_bleed+CU80*dec_tia)</f>
        <v>1.20088075703264E-005</v>
      </c>
      <c r="DG80" s="57" t="n">
        <f aca="false">J80*CI80+CW80+CR80-CZ80+CS80-DA80+DB80</f>
        <v>0.00188369248586947</v>
      </c>
      <c r="DH80" s="57" t="n">
        <f aca="false">AG80</f>
        <v>0.0403059295154559</v>
      </c>
      <c r="DI80" s="57" t="n">
        <f aca="false">AB80+AC80+BF80+BA80+BB80+BC80+CY80+CZ80</f>
        <v>0.00698778540602739</v>
      </c>
      <c r="DJ80" s="57" t="n">
        <f aca="false">AA80+AZ80+BY80+CX80+CE80+BZ80+CA80+CB80</f>
        <v>0.00350744024683413</v>
      </c>
      <c r="DK80" s="57" t="n">
        <f aca="false">AD80+DD80+DA80</f>
        <v>0.0277940710696097</v>
      </c>
      <c r="DL80" s="57" t="n">
        <f aca="false">K80+AJ80+BI80+CH80+DG80</f>
        <v>0.921404773762074</v>
      </c>
      <c r="DM80" s="58" t="n">
        <f aca="false">SUM(DH80:DL80)</f>
        <v>1</v>
      </c>
      <c r="DN80" s="19" t="n">
        <f aca="false">dt*(G80*Warfarin!$H$2+(H80+I80+J80)*c_aspirin)</f>
        <v>4.59729744890308</v>
      </c>
      <c r="DO80" s="19" t="n">
        <f aca="false">dt*(H80*c_lt_minor_stroke+I80*c_lt_major_stroke)</f>
        <v>45.6022797842182</v>
      </c>
      <c r="DP80" s="19" t="n">
        <f aca="false">AH80+BG80+CF80+DE80</f>
        <v>48.0610190034823</v>
      </c>
      <c r="DQ80" s="19" t="n">
        <f aca="false">DN80+DO80+DP80</f>
        <v>98.2605962366036</v>
      </c>
      <c r="DR80" s="57" t="n">
        <f aca="false">dt*(G80*(u_af-dec_per_year_over_70*MAX(B80-ref_age,0))+H80*(u_minor_stroke-dec_per_year_over_70*MAX(B80-ref_age,0))+I80*(u_major_stroke-dec_per_year_over_70*MAX(B80-ref_age,0))+J80*(u_af-dec_per_year_over_70*MAX(B80-ref_age,0)))-AI80-BH80-CG80-DF80</f>
        <v>0.0164588473974405</v>
      </c>
      <c r="DS80" s="57" t="n">
        <f aca="false">dt*(G80+H80+I80+J80)</f>
        <v>0.0212056056221879</v>
      </c>
      <c r="DT80" s="19" t="n">
        <f aca="false">DQ80*C80</f>
        <v>74.6032269917375</v>
      </c>
      <c r="DU80" s="19" t="n">
        <f aca="false">DN80*C80</f>
        <v>3.4904451862189</v>
      </c>
      <c r="DV80" s="19" t="n">
        <f aca="false">DP80*C80</f>
        <v>36.4897756323134</v>
      </c>
      <c r="DW80" s="19" t="n">
        <f aca="false">DO80*C80</f>
        <v>34.6230061732052</v>
      </c>
      <c r="DX80" s="57" t="n">
        <f aca="false">DR80*C80</f>
        <v>0.0124961904918323</v>
      </c>
      <c r="DY80" s="57" t="n">
        <f aca="false">DS80*C80</f>
        <v>0.0161001120522412</v>
      </c>
      <c r="DZ80" s="57" t="n">
        <f aca="false">T80+AS80+BR80+CQ80</f>
        <v>0.00103120317250044</v>
      </c>
      <c r="EA80" s="57" t="n">
        <f aca="false">U80+AT80+BS80+CR80</f>
        <v>0.000121195631256101</v>
      </c>
      <c r="EB80" s="57" t="n">
        <f aca="false">V80+AU80+BT80+CS80</f>
        <v>0.000703784106327288</v>
      </c>
      <c r="EC80" s="57" t="n">
        <f aca="false">G80*dt*C80</f>
        <v>0.00829081518115922</v>
      </c>
    </row>
    <row r="81" customFormat="false" ht="15" hidden="false" customHeight="false" outlineLevel="0" collapsed="false">
      <c r="A81" s="8" t="n">
        <v>75</v>
      </c>
      <c r="B81" s="54" t="n">
        <f aca="false">start_age+A81*dt</f>
        <v>88.75</v>
      </c>
      <c r="C81" s="16" t="n">
        <f aca="false">(1+disc_rate)^-(A81*dt)</f>
        <v>0.75641774379394</v>
      </c>
      <c r="D81" s="55" t="n">
        <f aca="false">IF(A81*dt&gt;=wane_start,(1-wane_decay)^(A81*dt-wane_start),1)</f>
        <v>1</v>
      </c>
      <c r="E81" s="25" t="n">
        <f aca="false">MIN(p_nonvasc_death*MIN(EXP(gomp_int+gomp_slope*INT(B81)),1)/qx_ref,0.999)</f>
        <v>0.217003053696202</v>
      </c>
      <c r="F81" s="55" t="n">
        <f aca="false">rr_stroke_per_decade^((B81-ref_age)/10)</f>
        <v>2.13880460614682</v>
      </c>
      <c r="G81" s="57" t="n">
        <f aca="false">DH80</f>
        <v>0.0403059295154559</v>
      </c>
      <c r="H81" s="57" t="n">
        <f aca="false">DI80</f>
        <v>0.00698778540602739</v>
      </c>
      <c r="I81" s="57" t="n">
        <f aca="false">DJ80</f>
        <v>0.00350744024683413</v>
      </c>
      <c r="J81" s="57" t="n">
        <f aca="false">DK80</f>
        <v>0.0277940710696097</v>
      </c>
      <c r="K81" s="57" t="n">
        <f aca="false">DL80</f>
        <v>0.921404773762074</v>
      </c>
      <c r="L81" s="57" t="n">
        <f aca="false">1-EXP(LN(1-E81)*dt)</f>
        <v>0.0593241011254088</v>
      </c>
      <c r="M81" s="57" t="n">
        <f aca="false">G81*(1-L81)</f>
        <v>0.0379148164769274</v>
      </c>
      <c r="N81" s="57" t="n">
        <f aca="false">IF(Warfarin!$B$2=1,EXP(LN(or_apx_stroke)*D81)*(1-EXP(-r_stroke*F81*dt))/(1-(1-EXP(-r_stroke*F81*dt))+EXP(LN(or_apx_stroke)*D81)*(1-EXP(-r_stroke*F81*dt))),(1-EXP(-r_stroke*F81*dt)))</f>
        <v>0.00858731564569293</v>
      </c>
      <c r="O81" s="57" t="n">
        <f aca="false">IF(Warfarin!$B$2=1,EXP(LN(or_apx_ich)*D81)*(1-EXP(-r_ich*dt))/(1-(1-EXP(-r_ich*dt))+EXP(LN(or_apx_ich)*D81)*(1-EXP(-r_ich*dt))),(1-EXP(-r_ich*dt)))</f>
        <v>0.0020060281549299</v>
      </c>
      <c r="P81" s="57" t="n">
        <f aca="false">IF(Warfarin!$B$2=1,EXP(LN(or_apx_mb)*D81)*(1-EXP(-r_mb*dt))/(1-(1-EXP(-r_mb*dt))+EXP(LN(or_apx_mb)*D81)*(1-EXP(-r_mb*dt))),(1-EXP(-r_mb*dt)))</f>
        <v>0.00835410477572107</v>
      </c>
      <c r="Q81" s="57" t="n">
        <f aca="false">IF(Warfarin!$B$2=1,EXP(LN(or_apx_mi)*D81)*(1-EXP(-r_mi*dt))/(1-(1-EXP(-r_mi*dt))+EXP(LN(or_apx_mi)*D81)*(1-EXP(-r_mi*dt))),(1-EXP(-r_mi*dt)))</f>
        <v>0.00150338686144691</v>
      </c>
      <c r="R81" s="57" t="n">
        <f aca="false">(1-EXP(-r_tia*dt))</f>
        <v>0.0020060281549299</v>
      </c>
      <c r="S81" s="57" t="n">
        <f aca="false">(1-EXP(-r_minor*dt))</f>
        <v>0.0437937690785545</v>
      </c>
      <c r="T81" s="57" t="n">
        <f aca="false">M81*N81</f>
        <v>0.000325586496735895</v>
      </c>
      <c r="U81" s="57" t="n">
        <f aca="false">M81*O81</f>
        <v>7.60581893417163E-005</v>
      </c>
      <c r="V81" s="57" t="n">
        <f aca="false">M81*P81</f>
        <v>0.000316744349400487</v>
      </c>
      <c r="W81" s="57" t="n">
        <f aca="false">M81*Q81</f>
        <v>5.70006369455834E-005</v>
      </c>
      <c r="X81" s="57" t="n">
        <f aca="false">M81*R81</f>
        <v>7.60581893417163E-005</v>
      </c>
      <c r="Y81" s="57" t="n">
        <f aca="false">M81*S81</f>
        <v>0.00166043271744633</v>
      </c>
      <c r="Z81" s="57" t="n">
        <f aca="false">T81*f_stroke_fatal</f>
        <v>7.7163999726407E-005</v>
      </c>
      <c r="AA81" s="57" t="n">
        <f aca="false">T81*(1-f_stroke_fatal)*f_stroke_major</f>
        <v>8.27246915041594E-005</v>
      </c>
      <c r="AB81" s="57" t="n">
        <f aca="false">T81*(1-f_stroke_fatal)*(1-f_stroke_major)</f>
        <v>0.000165697805505328</v>
      </c>
      <c r="AC81" s="57" t="n">
        <f aca="false">U81*(1-f_bleed_fatal)</f>
        <v>6.96693014370121E-005</v>
      </c>
      <c r="AD81" s="57" t="n">
        <f aca="false">V81*(1-f_bleed_fatal)</f>
        <v>0.000290137824050846</v>
      </c>
      <c r="AE81" s="57" t="n">
        <f aca="false">W81*f_mi_fatal</f>
        <v>6.8970770704156E-006</v>
      </c>
      <c r="AF81" s="57" t="n">
        <f aca="false">W81-AE81</f>
        <v>5.01035598751678E-005</v>
      </c>
      <c r="AG81" s="57" t="n">
        <f aca="false">M81-T81-U81-V81-AE81</f>
        <v>0.0371895303643789</v>
      </c>
      <c r="AH81" s="19" t="n">
        <f aca="false">Z81*c_stroke_fatal+AA81*c_stroke_major+AB81*c_stroke_minor+U81*c_ich+V81*c_major_bleed+AE81*c_mi_fatal+AF81*c_mi_nonfatal+X81*c_tia+Y81*c_minor_bleed</f>
        <v>17.1937994629737</v>
      </c>
      <c r="AI81" s="57" t="n">
        <f aca="false">dt*(AF81*dec_mi+AD81*dec_major_bleed+Y81*dec_minor_bleed+X81*dec_tia)</f>
        <v>1.55938109065182E-005</v>
      </c>
      <c r="AJ81" s="57" t="n">
        <f aca="false">G81*L81+Z81+U81-AC81+V81-AD81+AE81</f>
        <v>0.00250816952857967</v>
      </c>
      <c r="AK81" s="57" t="n">
        <f aca="false">1-EXP(LN(1-E81)*hr_death_prior_stroke*dt)</f>
        <v>0.131215549572992</v>
      </c>
      <c r="AL81" s="57" t="n">
        <f aca="false">H81*(1-AK81)</f>
        <v>0.00607087930367738</v>
      </c>
      <c r="AM81" s="57" t="n">
        <f aca="false">(1-EXP(-r_stroke*F81*rr_stroke_prior*rr_asa_stroke*dt))</f>
        <v>0.0302697688310627</v>
      </c>
      <c r="AN81" s="57" t="n">
        <f aca="false">(1-EXP(-r_ich*rr_asa_ich*dt))</f>
        <v>0.00102357767802375</v>
      </c>
      <c r="AO81" s="57" t="n">
        <f aca="false">(1-EXP(-r_mb*rr_asa_mb*dt))</f>
        <v>0.00951809672747972</v>
      </c>
      <c r="AP81" s="57" t="n">
        <f aca="false">(1-EXP(-r_mi*rr_asa_mi*dt))</f>
        <v>0.00213413516393479</v>
      </c>
      <c r="AQ81" s="57" t="n">
        <f aca="false">(1-EXP(-r_tia*rr_asa_tia*dt))</f>
        <v>0.00312764565589152</v>
      </c>
      <c r="AR81" s="57" t="n">
        <f aca="false">(1-EXP(-r_minor*rr_asa_minor*dt))</f>
        <v>0.0278181950466747</v>
      </c>
      <c r="AS81" s="57" t="n">
        <f aca="false">AL81*AM81</f>
        <v>0.000183764113123597</v>
      </c>
      <c r="AT81" s="57" t="n">
        <f aca="false">AL81*AN81</f>
        <v>6.21401654122051E-006</v>
      </c>
      <c r="AU81" s="57" t="n">
        <f aca="false">AL81*AO81</f>
        <v>5.7783216433256E-005</v>
      </c>
      <c r="AV81" s="57" t="n">
        <f aca="false">AL81*AP81</f>
        <v>1.29560769979819E-005</v>
      </c>
      <c r="AW81" s="57" t="n">
        <f aca="false">AL81*AQ81</f>
        <v>1.89875592815883E-005</v>
      </c>
      <c r="AX81" s="57" t="n">
        <f aca="false">AL81*AR81</f>
        <v>0.000168880904574518</v>
      </c>
      <c r="AY81" s="57" t="n">
        <f aca="false">AS81*f_stroke_fatal_recur</f>
        <v>6.83767888521592E-005</v>
      </c>
      <c r="AZ81" s="57" t="n">
        <f aca="false">AS81*(1-f_stroke_fatal_recur)*f_stroke_major</f>
        <v>3.84239789823888E-005</v>
      </c>
      <c r="BA81" s="57" t="n">
        <f aca="false">AS81*(1-f_stroke_fatal_recur)*(1-f_stroke_major)</f>
        <v>7.6963345289049E-005</v>
      </c>
      <c r="BB81" s="57" t="n">
        <f aca="false">AT81*(1-f_bleed_fatal)</f>
        <v>5.69203915175798E-006</v>
      </c>
      <c r="BC81" s="57" t="n">
        <f aca="false">AU81*(1-f_bleed_fatal)</f>
        <v>5.29294262528625E-005</v>
      </c>
      <c r="BD81" s="57" t="n">
        <f aca="false">AV81*f_mi_fatal</f>
        <v>1.5676853167558E-006</v>
      </c>
      <c r="BE81" s="57" t="n">
        <f aca="false">AV81-BD81</f>
        <v>1.1388391681226E-005</v>
      </c>
      <c r="BF81" s="57" t="n">
        <f aca="false">AL81-AS81-AT81-AU81-BD81</f>
        <v>0.00582155027226255</v>
      </c>
      <c r="BG81" s="19" t="n">
        <f aca="false">AY81*c_stroke_fatal+AZ81*c_stroke_major+BA81*c_stroke_minor+AT81*c_ich+AU81*c_major_bleed+BD81*c_mi_fatal+BE81*c_mi_nonfatal+AW81*c_tia+AX81*c_minor_bleed</f>
        <v>7.15358088863931</v>
      </c>
      <c r="BH81" s="57" t="n">
        <f aca="false">dt*(BE81*dec_mi+BC81*dec_major_bleed+AX81*dec_minor_bleed+AW81*dec_tia)</f>
        <v>2.61105663522223E-006</v>
      </c>
      <c r="BI81" s="57" t="n">
        <f aca="false">H81*AK81+AY81+AT81-BB81+AU81-BC81+BD81</f>
        <v>0.000992226344088786</v>
      </c>
      <c r="BJ81" s="57" t="n">
        <f aca="false">1-EXP(LN(1-E81)*hr_death_prior_stroke*dt)</f>
        <v>0.131215549572992</v>
      </c>
      <c r="BK81" s="57" t="n">
        <f aca="false">I81*(1-BJ81)</f>
        <v>0.00304720954725136</v>
      </c>
      <c r="BL81" s="57" t="n">
        <f aca="false">(1-EXP(-r_stroke*F81*rr_stroke_prior*rr_asa_stroke*dt))</f>
        <v>0.0302697688310627</v>
      </c>
      <c r="BM81" s="57" t="n">
        <f aca="false">(1-EXP(-r_ich*rr_asa_ich*dt))</f>
        <v>0.00102357767802375</v>
      </c>
      <c r="BN81" s="57" t="n">
        <f aca="false">(1-EXP(-r_mb*rr_asa_mb*dt))</f>
        <v>0.00951809672747972</v>
      </c>
      <c r="BO81" s="57" t="n">
        <f aca="false">(1-EXP(-r_mi*rr_asa_mi*dt))</f>
        <v>0.00213413516393479</v>
      </c>
      <c r="BP81" s="57" t="n">
        <f aca="false">(1-EXP(-r_tia*rr_asa_tia*dt))</f>
        <v>0.00312764565589152</v>
      </c>
      <c r="BQ81" s="57" t="n">
        <f aca="false">(1-EXP(-r_minor*rr_asa_minor*dt))</f>
        <v>0.0278181950466747</v>
      </c>
      <c r="BR81" s="57" t="n">
        <f aca="false">BK81*BL81</f>
        <v>9.22383285751058E-005</v>
      </c>
      <c r="BS81" s="57" t="n">
        <f aca="false">BK81*BM81</f>
        <v>3.11905567282734E-006</v>
      </c>
      <c r="BT81" s="57" t="n">
        <f aca="false">BK81*BN81</f>
        <v>2.90036352196381E-005</v>
      </c>
      <c r="BU81" s="57" t="n">
        <f aca="false">BK81*BO81</f>
        <v>6.50315704666694E-006</v>
      </c>
      <c r="BV81" s="57" t="n">
        <f aca="false">BK81*BP81</f>
        <v>9.53059170305188E-006</v>
      </c>
      <c r="BW81" s="57" t="n">
        <f aca="false">BK81*BQ81</f>
        <v>8.47678695335276E-005</v>
      </c>
      <c r="BX81" s="57" t="n">
        <f aca="false">BR81*f_stroke_fatal_recur</f>
        <v>3.43209596795111E-005</v>
      </c>
      <c r="BY81" s="57" t="n">
        <f aca="false">BR81*(1-f_stroke_fatal_recur)*f_stroke_major</f>
        <v>1.9286483842233E-005</v>
      </c>
      <c r="BZ81" s="57" t="n">
        <f aca="false">BR81*(1-f_stroke_fatal_recur)*(1-f_stroke_major)</f>
        <v>3.86308850533617E-005</v>
      </c>
      <c r="CA81" s="57" t="n">
        <f aca="false">BS81*(1-f_bleed_fatal)</f>
        <v>2.85705499630984E-006</v>
      </c>
      <c r="CB81" s="57" t="n">
        <f aca="false">BT81*(1-f_bleed_fatal)</f>
        <v>2.65673298611885E-005</v>
      </c>
      <c r="CC81" s="57" t="n">
        <f aca="false">BU81*f_mi_fatal</f>
        <v>7.868820026467E-007</v>
      </c>
      <c r="CD81" s="57" t="n">
        <f aca="false">BU81-CC81</f>
        <v>5.71627504402024E-006</v>
      </c>
      <c r="CE81" s="57" t="n">
        <f aca="false">BK81-BR81-BS81-BT81-CC81</f>
        <v>0.00292206164578114</v>
      </c>
      <c r="CF81" s="19" t="n">
        <f aca="false">BX81*c_stroke_fatal+BY81*c_stroke_major+BZ81*c_stroke_minor+BS81*c_ich+BT81*c_major_bleed+CC81*c_mi_fatal+CD81*c_mi_nonfatal+BV81*c_tia+BW81*c_minor_bleed</f>
        <v>3.59065942353562</v>
      </c>
      <c r="CG81" s="57" t="n">
        <f aca="false">dt*(CD81*dec_mi+CB81*dec_major_bleed+BW81*dec_minor_bleed+BV81*dec_tia)</f>
        <v>1.31059049427052E-006</v>
      </c>
      <c r="CH81" s="57" t="n">
        <f aca="false">I81*BJ81+BX81+BS81-CA81+BT81-CB81+CC81</f>
        <v>0.000498036847299895</v>
      </c>
      <c r="CI81" s="57" t="n">
        <f aca="false">1-EXP(LN(1-E81)*dt)</f>
        <v>0.0593241011254088</v>
      </c>
      <c r="CJ81" s="57" t="n">
        <f aca="false">J81*(1-CI81)</f>
        <v>0.0261452127867893</v>
      </c>
      <c r="CK81" s="57" t="n">
        <f aca="false">(1-EXP(-r_stroke*F81*rr_asa_stroke*dt))</f>
        <v>0.0138743777167862</v>
      </c>
      <c r="CL81" s="57" t="n">
        <f aca="false">(1-EXP(-r_ich*rr_asa_ich*dt))</f>
        <v>0.00102357767802375</v>
      </c>
      <c r="CM81" s="57" t="n">
        <f aca="false">(1-EXP(-r_mb*rr_asa_mb*dt))</f>
        <v>0.00951809672747972</v>
      </c>
      <c r="CN81" s="57" t="n">
        <f aca="false">(1-EXP(-r_mi*rr_asa_mi*dt))</f>
        <v>0.00213413516393479</v>
      </c>
      <c r="CO81" s="57" t="n">
        <f aca="false">(1-EXP(-r_tia*rr_asa_tia*dt))</f>
        <v>0.00312764565589152</v>
      </c>
      <c r="CP81" s="57" t="n">
        <f aca="false">(1-EXP(-r_minor*rr_asa_minor*dt))</f>
        <v>0.0278181950466747</v>
      </c>
      <c r="CQ81" s="57" t="n">
        <f aca="false">CJ81*CK81</f>
        <v>0.000362748557689664</v>
      </c>
      <c r="CR81" s="57" t="n">
        <f aca="false">CJ81*CL81</f>
        <v>2.67616561957386E-005</v>
      </c>
      <c r="CS81" s="57" t="n">
        <f aca="false">CJ81*CM81</f>
        <v>0.0002488526642652</v>
      </c>
      <c r="CT81" s="57" t="n">
        <f aca="false">CJ81*CN81</f>
        <v>5.57974179768447E-005</v>
      </c>
      <c r="CU81" s="57" t="n">
        <f aca="false">CJ81*CO81</f>
        <v>8.17729611949611E-005</v>
      </c>
      <c r="CV81" s="57" t="n">
        <f aca="false">CJ81*CP81</f>
        <v>0.000727312628839719</v>
      </c>
      <c r="CW81" s="57" t="n">
        <f aca="false">CQ81*f_stroke_fatal</f>
        <v>8.59714081724505E-005</v>
      </c>
      <c r="CX81" s="57" t="n">
        <f aca="false">CQ81*(1-f_stroke_fatal)*f_stroke_major</f>
        <v>9.21667907892323E-005</v>
      </c>
      <c r="CY81" s="57" t="n">
        <f aca="false">CQ81*(1-f_stroke_fatal)*(1-f_stroke_major)</f>
        <v>0.000184610358727982</v>
      </c>
      <c r="CZ81" s="57" t="n">
        <f aca="false">CR81*(1-f_bleed_fatal)</f>
        <v>2.45136770752965E-005</v>
      </c>
      <c r="DA81" s="57" t="n">
        <f aca="false">CS81*(1-f_bleed_fatal)</f>
        <v>0.000227949040466924</v>
      </c>
      <c r="DB81" s="57" t="n">
        <f aca="false">CT81*f_mi_fatal</f>
        <v>6.7514875751982E-006</v>
      </c>
      <c r="DC81" s="57" t="n">
        <f aca="false">CT81-DB81</f>
        <v>4.90459304016465E-005</v>
      </c>
      <c r="DD81" s="57" t="n">
        <f aca="false">CJ81-CQ81-CR81-CS81-DB81</f>
        <v>0.0255000984210635</v>
      </c>
      <c r="DE81" s="19" t="n">
        <f aca="false">CW81*c_stroke_fatal+CX81*c_stroke_major+CY81*c_stroke_minor+CR81*c_ich+CS81*c_major_bleed+DB81*c_mi_fatal+DC81*c_mi_nonfatal+CU81*c_tia+CV81*c_minor_bleed</f>
        <v>16.9233685476829</v>
      </c>
      <c r="DF81" s="57" t="n">
        <f aca="false">dt*(DC81*dec_mi+DA81*dec_major_bleed+CV81*dec_minor_bleed+CU81*dec_tia)</f>
        <v>1.124493305029E-005</v>
      </c>
      <c r="DG81" s="57" t="n">
        <f aca="false">J81*CI81+CW81+CR81-CZ81+CS81-DA81+DB81</f>
        <v>0.00176473278148669</v>
      </c>
      <c r="DH81" s="57" t="n">
        <f aca="false">AG81</f>
        <v>0.0371895303643789</v>
      </c>
      <c r="DI81" s="57" t="n">
        <f aca="false">AB81+AC81+BF81+BA81+BB81+BC81+CY81+CZ81</f>
        <v>0.00640162622570183</v>
      </c>
      <c r="DJ81" s="57" t="n">
        <f aca="false">AA81+AZ81+BY81+CX81+CE81+BZ81+CA81+CB81</f>
        <v>0.00322271886081001</v>
      </c>
      <c r="DK81" s="57" t="n">
        <f aca="false">AD81+DD81+DA81</f>
        <v>0.0260181852855813</v>
      </c>
      <c r="DL81" s="57" t="n">
        <f aca="false">K81+AJ81+BI81+CH81+DG81</f>
        <v>0.927167939263529</v>
      </c>
      <c r="DM81" s="58" t="n">
        <f aca="false">SUM(DH81:DL81)</f>
        <v>1</v>
      </c>
      <c r="DN81" s="19" t="n">
        <f aca="false">dt*(G81*Warfarin!$H$2+(H81+I81+J81)*c_aspirin)</f>
        <v>4.24537859474137</v>
      </c>
      <c r="DO81" s="19" t="n">
        <f aca="false">dt*(H81*c_lt_minor_stroke+I81*c_lt_major_stroke)</f>
        <v>41.7891504881519</v>
      </c>
      <c r="DP81" s="19" t="n">
        <f aca="false">AH81+BG81+CF81+DE81</f>
        <v>44.8614083228315</v>
      </c>
      <c r="DQ81" s="19" t="n">
        <f aca="false">DN81+DO81+DP81</f>
        <v>90.8959374057247</v>
      </c>
      <c r="DR81" s="57" t="n">
        <f aca="false">dt*(G81*(u_af-dec_per_year_over_70*MAX(B81-ref_age,0))+H81*(u_minor_stroke-dec_per_year_over_70*MAX(B81-ref_age,0))+I81*(u_major_stroke-dec_per_year_over_70*MAX(B81-ref_age,0))+J81*(u_af-dec_per_year_over_70*MAX(B81-ref_age,0)))-AI81-BH81-CG81-DF81</f>
        <v>0.0152545027618767</v>
      </c>
      <c r="DS81" s="57" t="n">
        <f aca="false">dt*(G81+H81+I81+J81)</f>
        <v>0.0196488065594818</v>
      </c>
      <c r="DT81" s="19" t="n">
        <f aca="false">DQ81*C81</f>
        <v>68.7552998924735</v>
      </c>
      <c r="DU81" s="19" t="n">
        <f aca="false">DN81*C81</f>
        <v>3.21127969818535</v>
      </c>
      <c r="DV81" s="19" t="n">
        <f aca="false">DP81*C81</f>
        <v>33.9339652669749</v>
      </c>
      <c r="DW81" s="19" t="n">
        <f aca="false">DO81*C81</f>
        <v>31.6100549273133</v>
      </c>
      <c r="DX81" s="57" t="n">
        <f aca="false">DR81*C81</f>
        <v>0.0115387765618372</v>
      </c>
      <c r="DY81" s="57" t="n">
        <f aca="false">DS81*C81</f>
        <v>0.0148627059259668</v>
      </c>
      <c r="DZ81" s="57" t="n">
        <f aca="false">T81+AS81+BR81+CQ81</f>
        <v>0.000964337496124262</v>
      </c>
      <c r="EA81" s="57" t="n">
        <f aca="false">U81+AT81+BS81+CR81</f>
        <v>0.000112152917751503</v>
      </c>
      <c r="EB81" s="57" t="n">
        <f aca="false">V81+AU81+BT81+CS81</f>
        <v>0.000652383865318582</v>
      </c>
      <c r="EC81" s="57" t="n">
        <f aca="false">G81*dt*C81</f>
        <v>0.00762203006639969</v>
      </c>
    </row>
    <row r="82" customFormat="false" ht="15" hidden="false" customHeight="false" outlineLevel="0" collapsed="false">
      <c r="A82" s="8" t="n">
        <v>76</v>
      </c>
      <c r="B82" s="54" t="n">
        <f aca="false">start_age+A82*dt</f>
        <v>89</v>
      </c>
      <c r="C82" s="16" t="n">
        <f aca="false">(1+disc_rate)^-(A82*dt)</f>
        <v>0.753607474497129</v>
      </c>
      <c r="D82" s="55" t="n">
        <f aca="false">IF(A82*dt&gt;=wane_start,(1-wane_decay)^(A82*dt-wane_start),1)</f>
        <v>1</v>
      </c>
      <c r="E82" s="25" t="n">
        <f aca="false">MIN(p_nonvasc_death*MIN(EXP(gomp_int+gomp_slope*INT(B82)),1)/qx_ref,0.999)</f>
        <v>0.24093928536159</v>
      </c>
      <c r="F82" s="55" t="n">
        <f aca="false">rr_stroke_per_decade^((B82-ref_age)/10)</f>
        <v>2.16059512678249</v>
      </c>
      <c r="G82" s="57" t="n">
        <f aca="false">DH81</f>
        <v>0.0371895303643789</v>
      </c>
      <c r="H82" s="57" t="n">
        <f aca="false">DI81</f>
        <v>0.00640162622570183</v>
      </c>
      <c r="I82" s="57" t="n">
        <f aca="false">DJ81</f>
        <v>0.00322271886081001</v>
      </c>
      <c r="J82" s="57" t="n">
        <f aca="false">DK81</f>
        <v>0.0260181852855813</v>
      </c>
      <c r="K82" s="57" t="n">
        <f aca="false">DL81</f>
        <v>0.927167939263529</v>
      </c>
      <c r="L82" s="57" t="n">
        <f aca="false">1-EXP(LN(1-E82)*dt)</f>
        <v>0.066597136787399</v>
      </c>
      <c r="M82" s="57" t="n">
        <f aca="false">G82*(1-L82)</f>
        <v>0.0347128141236432</v>
      </c>
      <c r="N82" s="57" t="n">
        <f aca="false">IF(Warfarin!$B$2=1,EXP(LN(or_apx_stroke)*D82)*(1-EXP(-r_stroke*F82*dt))/(1-(1-EXP(-r_stroke*F82*dt))+EXP(LN(or_apx_stroke)*D82)*(1-EXP(-r_stroke*F82*dt))),(1-EXP(-r_stroke*F82*dt)))</f>
        <v>0.00867442418523479</v>
      </c>
      <c r="O82" s="57" t="n">
        <f aca="false">IF(Warfarin!$B$2=1,EXP(LN(or_apx_ich)*D82)*(1-EXP(-r_ich*dt))/(1-(1-EXP(-r_ich*dt))+EXP(LN(or_apx_ich)*D82)*(1-EXP(-r_ich*dt))),(1-EXP(-r_ich*dt)))</f>
        <v>0.0020060281549299</v>
      </c>
      <c r="P82" s="57" t="n">
        <f aca="false">IF(Warfarin!$B$2=1,EXP(LN(or_apx_mb)*D82)*(1-EXP(-r_mb*dt))/(1-(1-EXP(-r_mb*dt))+EXP(LN(or_apx_mb)*D82)*(1-EXP(-r_mb*dt))),(1-EXP(-r_mb*dt)))</f>
        <v>0.00835410477572107</v>
      </c>
      <c r="Q82" s="57" t="n">
        <f aca="false">IF(Warfarin!$B$2=1,EXP(LN(or_apx_mi)*D82)*(1-EXP(-r_mi*dt))/(1-(1-EXP(-r_mi*dt))+EXP(LN(or_apx_mi)*D82)*(1-EXP(-r_mi*dt))),(1-EXP(-r_mi*dt)))</f>
        <v>0.00150338686144691</v>
      </c>
      <c r="R82" s="57" t="n">
        <f aca="false">(1-EXP(-r_tia*dt))</f>
        <v>0.0020060281549299</v>
      </c>
      <c r="S82" s="57" t="n">
        <f aca="false">(1-EXP(-r_minor*dt))</f>
        <v>0.0437937690785545</v>
      </c>
      <c r="T82" s="57" t="n">
        <f aca="false">M82*N82</f>
        <v>0.00030111367437169</v>
      </c>
      <c r="U82" s="57" t="n">
        <f aca="false">M82*O82</f>
        <v>6.96348824688764E-005</v>
      </c>
      <c r="V82" s="57" t="n">
        <f aca="false">M82*P82</f>
        <v>0.000289994486249046</v>
      </c>
      <c r="W82" s="57" t="n">
        <f aca="false">M82*Q82</f>
        <v>5.21867886773339E-005</v>
      </c>
      <c r="X82" s="57" t="n">
        <f aca="false">M82*R82</f>
        <v>6.96348824688764E-005</v>
      </c>
      <c r="Y82" s="57" t="n">
        <f aca="false">M82*S82</f>
        <v>0.00152020496579762</v>
      </c>
      <c r="Z82" s="57" t="n">
        <f aca="false">T82*f_stroke_fatal</f>
        <v>7.13639408260906E-005</v>
      </c>
      <c r="AA82" s="57" t="n">
        <f aca="false">T82*(1-f_stroke_fatal)*f_stroke_major</f>
        <v>7.65066612706847E-005</v>
      </c>
      <c r="AB82" s="57" t="n">
        <f aca="false">T82*(1-f_stroke_fatal)*(1-f_stroke_major)</f>
        <v>0.000153243072274915</v>
      </c>
      <c r="AC82" s="57" t="n">
        <f aca="false">U82*(1-f_bleed_fatal)</f>
        <v>6.37855523414908E-005</v>
      </c>
      <c r="AD82" s="57" t="n">
        <f aca="false">V82*(1-f_bleed_fatal)</f>
        <v>0.000265634949404126</v>
      </c>
      <c r="AE82" s="57" t="n">
        <f aca="false">W82*f_mi_fatal</f>
        <v>6.3146014299574E-006</v>
      </c>
      <c r="AF82" s="57" t="n">
        <f aca="false">W82-AE82</f>
        <v>4.58721872473765E-005</v>
      </c>
      <c r="AG82" s="57" t="n">
        <f aca="false">M82-T82-U82-V82-AE82</f>
        <v>0.0340457564791237</v>
      </c>
      <c r="AH82" s="19" t="n">
        <f aca="false">Z82*c_stroke_fatal+AA82*c_stroke_major+AB82*c_stroke_minor+U82*c_ich+V82*c_major_bleed+AE82*c_mi_fatal+AF82*c_mi_nonfatal+X82*c_tia+Y82*c_minor_bleed</f>
        <v>15.8534611186831</v>
      </c>
      <c r="AI82" s="57" t="n">
        <f aca="false">dt*(AF82*dec_mi+AD82*dec_major_bleed+Y82*dec_minor_bleed+X82*dec_tia)</f>
        <v>1.42768740501912E-005</v>
      </c>
      <c r="AJ82" s="57" t="n">
        <f aca="false">G82*L82+Z82+U82-AC82+V82-AD82+AE82</f>
        <v>0.00258460364996402</v>
      </c>
      <c r="AK82" s="57" t="n">
        <f aca="false">1-EXP(LN(1-E82)*hr_death_prior_stroke*dt)</f>
        <v>0.146587507058832</v>
      </c>
      <c r="AL82" s="57" t="n">
        <f aca="false">H82*(1-AK82)</f>
        <v>0.00546322779615376</v>
      </c>
      <c r="AM82" s="57" t="n">
        <f aca="false">(1-EXP(-r_stroke*F82*rr_stroke_prior*rr_asa_stroke*dt))</f>
        <v>0.0305733997346279</v>
      </c>
      <c r="AN82" s="57" t="n">
        <f aca="false">(1-EXP(-r_ich*rr_asa_ich*dt))</f>
        <v>0.00102357767802375</v>
      </c>
      <c r="AO82" s="57" t="n">
        <f aca="false">(1-EXP(-r_mb*rr_asa_mb*dt))</f>
        <v>0.00951809672747972</v>
      </c>
      <c r="AP82" s="57" t="n">
        <f aca="false">(1-EXP(-r_mi*rr_asa_mi*dt))</f>
        <v>0.00213413516393479</v>
      </c>
      <c r="AQ82" s="57" t="n">
        <f aca="false">(1-EXP(-r_tia*rr_asa_tia*dt))</f>
        <v>0.00312764565589152</v>
      </c>
      <c r="AR82" s="57" t="n">
        <f aca="false">(1-EXP(-r_minor*rr_asa_minor*dt))</f>
        <v>0.0278181950466747</v>
      </c>
      <c r="AS82" s="57" t="n">
        <f aca="false">AL82*AM82</f>
        <v>0.000167029447253139</v>
      </c>
      <c r="AT82" s="57" t="n">
        <f aca="false">AL82*AN82</f>
        <v>5.59203802210185E-006</v>
      </c>
      <c r="AU82" s="57" t="n">
        <f aca="false">AL82*AO82</f>
        <v>5.19995306080474E-005</v>
      </c>
      <c r="AV82" s="57" t="n">
        <f aca="false">AL82*AP82</f>
        <v>1.16592665483577E-005</v>
      </c>
      <c r="AW82" s="57" t="n">
        <f aca="false">AL82*AQ82</f>
        <v>1.70870406837861E-005</v>
      </c>
      <c r="AX82" s="57" t="n">
        <f aca="false">AL82*AR82</f>
        <v>0.00015197713641782</v>
      </c>
      <c r="AY82" s="57" t="n">
        <f aca="false">AS82*f_stroke_fatal_recur</f>
        <v>6.21499870284206E-005</v>
      </c>
      <c r="AZ82" s="57" t="n">
        <f aca="false">AS82*(1-f_stroke_fatal_recur)*f_stroke_major</f>
        <v>3.49248602548313E-005</v>
      </c>
      <c r="BA82" s="57" t="n">
        <f aca="false">AS82*(1-f_stroke_fatal_recur)*(1-f_stroke_major)</f>
        <v>6.99545999698873E-005</v>
      </c>
      <c r="BB82" s="57" t="n">
        <f aca="false">AT82*(1-f_bleed_fatal)</f>
        <v>5.1223068282453E-006</v>
      </c>
      <c r="BC82" s="57" t="n">
        <f aca="false">AU82*(1-f_bleed_fatal)</f>
        <v>4.76315700369714E-005</v>
      </c>
      <c r="BD82" s="57" t="n">
        <f aca="false">AV82*f_mi_fatal</f>
        <v>1.41077125235128E-006</v>
      </c>
      <c r="BE82" s="57" t="n">
        <f aca="false">AV82-BD82</f>
        <v>1.02484952960064E-005</v>
      </c>
      <c r="BF82" s="57" t="n">
        <f aca="false">AL82-AS82-AT82-AU82-BD82</f>
        <v>0.00523719600901812</v>
      </c>
      <c r="BG82" s="19" t="n">
        <f aca="false">AY82*c_stroke_fatal+AZ82*c_stroke_major+BA82*c_stroke_minor+AT82*c_ich+AU82*c_major_bleed+BD82*c_mi_fatal+BE82*c_mi_nonfatal+AW82*c_tia+AX82*c_minor_bleed</f>
        <v>6.49475340112993</v>
      </c>
      <c r="BH82" s="57" t="n">
        <f aca="false">dt*(BE82*dec_mi+BC82*dec_major_bleed+AX82*dec_minor_bleed+AW82*dec_tia)</f>
        <v>2.34970857981595E-006</v>
      </c>
      <c r="BI82" s="57" t="n">
        <f aca="false">H82*AK82+AY82+AT82-BB82+AU82-BC82+BD82</f>
        <v>0.00100679687959378</v>
      </c>
      <c r="BJ82" s="57" t="n">
        <f aca="false">1-EXP(LN(1-E82)*hr_death_prior_stroke*dt)</f>
        <v>0.146587507058832</v>
      </c>
      <c r="BK82" s="57" t="n">
        <f aca="false">I82*(1-BJ82)</f>
        <v>0.00275030853705239</v>
      </c>
      <c r="BL82" s="57" t="n">
        <f aca="false">(1-EXP(-r_stroke*F82*rr_stroke_prior*rr_asa_stroke*dt))</f>
        <v>0.0305733997346279</v>
      </c>
      <c r="BM82" s="57" t="n">
        <f aca="false">(1-EXP(-r_ich*rr_asa_ich*dt))</f>
        <v>0.00102357767802375</v>
      </c>
      <c r="BN82" s="57" t="n">
        <f aca="false">(1-EXP(-r_mb*rr_asa_mb*dt))</f>
        <v>0.00951809672747972</v>
      </c>
      <c r="BO82" s="57" t="n">
        <f aca="false">(1-EXP(-r_mi*rr_asa_mi*dt))</f>
        <v>0.00213413516393479</v>
      </c>
      <c r="BP82" s="57" t="n">
        <f aca="false">(1-EXP(-r_tia*rr_asa_tia*dt))</f>
        <v>0.00312764565589152</v>
      </c>
      <c r="BQ82" s="57" t="n">
        <f aca="false">(1-EXP(-r_minor*rr_asa_minor*dt))</f>
        <v>0.0278181950466747</v>
      </c>
      <c r="BR82" s="57" t="n">
        <f aca="false">BK82*BL82</f>
        <v>8.40862822968626E-005</v>
      </c>
      <c r="BS82" s="57" t="n">
        <f aca="false">BK82*BM82</f>
        <v>2.81515442620498E-006</v>
      </c>
      <c r="BT82" s="57" t="n">
        <f aca="false">BK82*BN82</f>
        <v>2.61777026860779E-005</v>
      </c>
      <c r="BU82" s="57" t="n">
        <f aca="false">BK82*BO82</f>
        <v>5.86953016059357E-006</v>
      </c>
      <c r="BV82" s="57" t="n">
        <f aca="false">BK82*BP82</f>
        <v>8.60199054827328E-006</v>
      </c>
      <c r="BW82" s="57" t="n">
        <f aca="false">BK82*BQ82</f>
        <v>7.65086193222581E-005</v>
      </c>
      <c r="BX82" s="57" t="n">
        <f aca="false">BR82*f_stroke_fatal_recur</f>
        <v>3.12876647798396E-005</v>
      </c>
      <c r="BY82" s="57" t="n">
        <f aca="false">BR82*(1-f_stroke_fatal_recur)*f_stroke_major</f>
        <v>1.75819396331687E-005</v>
      </c>
      <c r="BZ82" s="57" t="n">
        <f aca="false">BR82*(1-f_stroke_fatal_recur)*(1-f_stroke_major)</f>
        <v>3.52166778838543E-005</v>
      </c>
      <c r="CA82" s="57" t="n">
        <f aca="false">BS82*(1-f_bleed_fatal)</f>
        <v>2.57868145440376E-006</v>
      </c>
      <c r="CB82" s="57" t="n">
        <f aca="false">BT82*(1-f_bleed_fatal)</f>
        <v>2.39787756604474E-005</v>
      </c>
      <c r="CC82" s="57" t="n">
        <f aca="false">BU82*f_mi_fatal</f>
        <v>7.10213149431822E-007</v>
      </c>
      <c r="CD82" s="57" t="n">
        <f aca="false">BU82-CC82</f>
        <v>5.15931701116175E-006</v>
      </c>
      <c r="CE82" s="57" t="n">
        <f aca="false">BK82-BR82-BS82-BT82-CC82</f>
        <v>0.00263651918449382</v>
      </c>
      <c r="CF82" s="19" t="n">
        <f aca="false">BX82*c_stroke_fatal+BY82*c_stroke_major+BZ82*c_stroke_minor+BS82*c_ich+BT82*c_major_bleed+CC82*c_mi_fatal+CD82*c_mi_nonfatal+BV82*c_tia+BW82*c_minor_bleed</f>
        <v>3.26960112074283</v>
      </c>
      <c r="CG82" s="57" t="n">
        <f aca="false">dt*(CD82*dec_mi+CB82*dec_major_bleed+BW82*dec_minor_bleed+BV82*dec_tia)</f>
        <v>1.18289476620447E-006</v>
      </c>
      <c r="CH82" s="57" t="n">
        <f aca="false">I82*BJ82+BX82+BS82-CA82+BT82-CB82+CC82</f>
        <v>0.000506843601684323</v>
      </c>
      <c r="CI82" s="57" t="n">
        <f aca="false">1-EXP(LN(1-E82)*dt)</f>
        <v>0.066597136787399</v>
      </c>
      <c r="CJ82" s="57" t="n">
        <f aca="false">J82*(1-CI82)</f>
        <v>0.0242854486411576</v>
      </c>
      <c r="CK82" s="57" t="n">
        <f aca="false">(1-EXP(-r_stroke*F82*rr_asa_stroke*dt))</f>
        <v>0.0140147371770871</v>
      </c>
      <c r="CL82" s="57" t="n">
        <f aca="false">(1-EXP(-r_ich*rr_asa_ich*dt))</f>
        <v>0.00102357767802375</v>
      </c>
      <c r="CM82" s="57" t="n">
        <f aca="false">(1-EXP(-r_mb*rr_asa_mb*dt))</f>
        <v>0.00951809672747972</v>
      </c>
      <c r="CN82" s="57" t="n">
        <f aca="false">(1-EXP(-r_mi*rr_asa_mi*dt))</f>
        <v>0.00213413516393479</v>
      </c>
      <c r="CO82" s="57" t="n">
        <f aca="false">(1-EXP(-r_tia*rr_asa_tia*dt))</f>
        <v>0.00312764565589152</v>
      </c>
      <c r="CP82" s="57" t="n">
        <f aca="false">(1-EXP(-r_minor*rr_asa_minor*dt))</f>
        <v>0.0278181950466747</v>
      </c>
      <c r="CQ82" s="57" t="n">
        <f aca="false">CJ82*CK82</f>
        <v>0.000340354179933471</v>
      </c>
      <c r="CR82" s="57" t="n">
        <f aca="false">CJ82*CL82</f>
        <v>2.4858043129881E-005</v>
      </c>
      <c r="CS82" s="57" t="n">
        <f aca="false">CJ82*CM82</f>
        <v>0.000231151249236778</v>
      </c>
      <c r="CT82" s="57" t="n">
        <f aca="false">CJ82*CN82</f>
        <v>5.18284299170267E-005</v>
      </c>
      <c r="CU82" s="57" t="n">
        <f aca="false">CJ82*CO82</f>
        <v>7.5956277943893E-005</v>
      </c>
      <c r="CV82" s="57" t="n">
        <f aca="false">CJ82*CP82</f>
        <v>0.000675577347095722</v>
      </c>
      <c r="CW82" s="57" t="n">
        <f aca="false">CQ82*f_stroke_fatal</f>
        <v>8.06639406442326E-005</v>
      </c>
      <c r="CX82" s="57" t="n">
        <f aca="false">CQ82*(1-f_stroke_fatal)*f_stroke_major</f>
        <v>8.64768496833163E-005</v>
      </c>
      <c r="CY82" s="57" t="n">
        <f aca="false">CQ82*(1-f_stroke_fatal)*(1-f_stroke_major)</f>
        <v>0.000173213389605922</v>
      </c>
      <c r="CZ82" s="57" t="n">
        <f aca="false">CR82*(1-f_bleed_fatal)</f>
        <v>2.2769967506971E-005</v>
      </c>
      <c r="DA82" s="57" t="n">
        <f aca="false">CS82*(1-f_bleed_fatal)</f>
        <v>0.000211734544300889</v>
      </c>
      <c r="DB82" s="57" t="n">
        <f aca="false">CT82*f_mi_fatal</f>
        <v>6.27124001996023E-006</v>
      </c>
      <c r="DC82" s="57" t="n">
        <f aca="false">CT82-DB82</f>
        <v>4.55571898970665E-005</v>
      </c>
      <c r="DD82" s="57" t="n">
        <f aca="false">CJ82-CQ82-CR82-CS82-DB82</f>
        <v>0.0236828139288375</v>
      </c>
      <c r="DE82" s="19" t="n">
        <f aca="false">CW82*c_stroke_fatal+CX82*c_stroke_major+CY82*c_stroke_minor+CR82*c_ich+CS82*c_major_bleed+DB82*c_mi_fatal+DC82*c_mi_nonfatal+CU82*c_tia+CV82*c_minor_bleed</f>
        <v>15.845516749465</v>
      </c>
      <c r="DF82" s="57" t="n">
        <f aca="false">dt*(DC82*dec_mi+DA82*dec_major_bleed+CV82*dec_minor_bleed+CU82*dec_tia)</f>
        <v>1.04450572383201E-005</v>
      </c>
      <c r="DG82" s="57" t="n">
        <f aca="false">J82*CI82+CW82+CR82-CZ82+CS82-DA82+DB82</f>
        <v>0.00184117660564674</v>
      </c>
      <c r="DH82" s="57" t="n">
        <f aca="false">AG82</f>
        <v>0.0340457564791237</v>
      </c>
      <c r="DI82" s="57" t="n">
        <f aca="false">AB82+AC82+BF82+BA82+BB82+BC82+CY82+CZ82</f>
        <v>0.00577291646758252</v>
      </c>
      <c r="DJ82" s="57" t="n">
        <f aca="false">AA82+AZ82+BY82+CX82+CE82+BZ82+CA82+CB82</f>
        <v>0.00291378363033452</v>
      </c>
      <c r="DK82" s="57" t="n">
        <f aca="false">AD82+DD82+DA82</f>
        <v>0.0241601834225425</v>
      </c>
      <c r="DL82" s="57" t="n">
        <f aca="false">K82+AJ82+BI82+CH82+DG82</f>
        <v>0.933107360000418</v>
      </c>
      <c r="DM82" s="58" t="n">
        <f aca="false">SUM(DH82:DL82)</f>
        <v>1</v>
      </c>
      <c r="DN82" s="19" t="n">
        <f aca="false">dt*(G82*Warfarin!$H$2+(H82+I82+J82)*c_aspirin)</f>
        <v>3.92019355341494</v>
      </c>
      <c r="DO82" s="19" t="n">
        <f aca="false">dt*(H82*c_lt_minor_stroke+I82*c_lt_major_stroke)</f>
        <v>38.3457213958615</v>
      </c>
      <c r="DP82" s="19" t="n">
        <f aca="false">AH82+BG82+CF82+DE82</f>
        <v>41.4633323900208</v>
      </c>
      <c r="DQ82" s="19" t="n">
        <f aca="false">DN82+DO82+DP82</f>
        <v>83.7292473392972</v>
      </c>
      <c r="DR82" s="57" t="n">
        <f aca="false">dt*(G82*(u_af-dec_per_year_over_70*MAX(B82-ref_age,0))+H82*(u_minor_stroke-dec_per_year_over_70*MAX(B82-ref_age,0))+I82*(u_major_stroke-dec_per_year_over_70*MAX(B82-ref_age,0))+J82*(u_af-dec_per_year_over_70*MAX(B82-ref_age,0)))-AI82-BH82-CG82-DF82</f>
        <v>0.0141392557114134</v>
      </c>
      <c r="DS82" s="57" t="n">
        <f aca="false">dt*(G82+H82+I82+J82)</f>
        <v>0.018208015184118</v>
      </c>
      <c r="DT82" s="19" t="n">
        <f aca="false">DQ82*C82</f>
        <v>63.0989866289132</v>
      </c>
      <c r="DU82" s="19" t="n">
        <f aca="false">DN82*C82</f>
        <v>2.95428716332896</v>
      </c>
      <c r="DV82" s="19" t="n">
        <f aca="false">DP82*C82</f>
        <v>31.2470772066786</v>
      </c>
      <c r="DW82" s="19" t="n">
        <f aca="false">DO82*C82</f>
        <v>28.8976222589057</v>
      </c>
      <c r="DX82" s="57" t="n">
        <f aca="false">DR82*C82</f>
        <v>0.0106554487879473</v>
      </c>
      <c r="DY82" s="57" t="n">
        <f aca="false">DS82*C82</f>
        <v>0.0137216963385085</v>
      </c>
      <c r="DZ82" s="57" t="n">
        <f aca="false">T82+AS82+BR82+CQ82</f>
        <v>0.000892583583855163</v>
      </c>
      <c r="EA82" s="57" t="n">
        <f aca="false">U82+AT82+BS82+CR82</f>
        <v>0.000102900118047064</v>
      </c>
      <c r="EB82" s="57" t="n">
        <f aca="false">V82+AU82+BT82+CS82</f>
        <v>0.00059932296877995</v>
      </c>
      <c r="EC82" s="57" t="n">
        <f aca="false">G82*dt*C82</f>
        <v>0.00700657701390847</v>
      </c>
    </row>
    <row r="83" customFormat="false" ht="15" hidden="false" customHeight="false" outlineLevel="0" collapsed="false">
      <c r="A83" s="8" t="n">
        <v>77</v>
      </c>
      <c r="B83" s="54" t="n">
        <f aca="false">start_age+A83*dt</f>
        <v>89.25</v>
      </c>
      <c r="C83" s="16" t="n">
        <f aca="false">(1+disc_rate)^-(A83*dt)</f>
        <v>0.750807646009758</v>
      </c>
      <c r="D83" s="55" t="n">
        <f aca="false">IF(A83*dt&gt;=wane_start,(1-wane_decay)^(A83*dt-wane_start),1)</f>
        <v>1</v>
      </c>
      <c r="E83" s="25" t="n">
        <f aca="false">MIN(p_nonvasc_death*MIN(EXP(gomp_int+gomp_slope*INT(B83)),1)/qx_ref,0.999)</f>
        <v>0.24093928536159</v>
      </c>
      <c r="F83" s="55" t="n">
        <f aca="false">rr_stroke_per_decade^((B83-ref_age)/10)</f>
        <v>2.18260765310686</v>
      </c>
      <c r="G83" s="57" t="n">
        <f aca="false">DH82</f>
        <v>0.0340457564791237</v>
      </c>
      <c r="H83" s="57" t="n">
        <f aca="false">DI82</f>
        <v>0.00577291646758252</v>
      </c>
      <c r="I83" s="57" t="n">
        <f aca="false">DJ82</f>
        <v>0.00291378363033452</v>
      </c>
      <c r="J83" s="57" t="n">
        <f aca="false">DK82</f>
        <v>0.0241601834225425</v>
      </c>
      <c r="K83" s="57" t="n">
        <f aca="false">DL82</f>
        <v>0.933107360000418</v>
      </c>
      <c r="L83" s="57" t="n">
        <f aca="false">1-EXP(LN(1-E83)*dt)</f>
        <v>0.066597136787399</v>
      </c>
      <c r="M83" s="57" t="n">
        <f aca="false">G83*(1-L83)</f>
        <v>0.031778406577853</v>
      </c>
      <c r="N83" s="57" t="n">
        <f aca="false">IF(Warfarin!$B$2=1,EXP(LN(or_apx_stroke)*D83)*(1-EXP(-r_stroke*F83*dt))/(1-(1-EXP(-r_stroke*F83*dt))+EXP(LN(or_apx_stroke)*D83)*(1-EXP(-r_stroke*F83*dt))),(1-EXP(-r_stroke*F83*dt)))</f>
        <v>0.00876241243104459</v>
      </c>
      <c r="O83" s="57" t="n">
        <f aca="false">IF(Warfarin!$B$2=1,EXP(LN(or_apx_ich)*D83)*(1-EXP(-r_ich*dt))/(1-(1-EXP(-r_ich*dt))+EXP(LN(or_apx_ich)*D83)*(1-EXP(-r_ich*dt))),(1-EXP(-r_ich*dt)))</f>
        <v>0.0020060281549299</v>
      </c>
      <c r="P83" s="57" t="n">
        <f aca="false">IF(Warfarin!$B$2=1,EXP(LN(or_apx_mb)*D83)*(1-EXP(-r_mb*dt))/(1-(1-EXP(-r_mb*dt))+EXP(LN(or_apx_mb)*D83)*(1-EXP(-r_mb*dt))),(1-EXP(-r_mb*dt)))</f>
        <v>0.00835410477572107</v>
      </c>
      <c r="Q83" s="57" t="n">
        <f aca="false">IF(Warfarin!$B$2=1,EXP(LN(or_apx_mi)*D83)*(1-EXP(-r_mi*dt))/(1-(1-EXP(-r_mi*dt))+EXP(LN(or_apx_mi)*D83)*(1-EXP(-r_mi*dt))),(1-EXP(-r_mi*dt)))</f>
        <v>0.00150338686144691</v>
      </c>
      <c r="R83" s="57" t="n">
        <f aca="false">(1-EXP(-r_tia*dt))</f>
        <v>0.0020060281549299</v>
      </c>
      <c r="S83" s="57" t="n">
        <f aca="false">(1-EXP(-r_minor*dt))</f>
        <v>0.0437937690785545</v>
      </c>
      <c r="T83" s="57" t="n">
        <f aca="false">M83*N83</f>
        <v>0.000278455504836568</v>
      </c>
      <c r="U83" s="57" t="n">
        <f aca="false">M83*O83</f>
        <v>6.37483783139825E-005</v>
      </c>
      <c r="V83" s="57" t="n">
        <f aca="false">M83*P83</f>
        <v>0.000265480138156848</v>
      </c>
      <c r="W83" s="57" t="n">
        <f aca="false">M83*Q83</f>
        <v>4.77752389268622E-005</v>
      </c>
      <c r="X83" s="57" t="n">
        <f aca="false">M83*R83</f>
        <v>6.37483783139825E-005</v>
      </c>
      <c r="Y83" s="57" t="n">
        <f aca="false">M83*S83</f>
        <v>0.00139169619935491</v>
      </c>
      <c r="Z83" s="57" t="n">
        <f aca="false">T83*f_stroke_fatal</f>
        <v>6.59939546462666E-005</v>
      </c>
      <c r="AA83" s="57" t="n">
        <f aca="false">T83*(1-f_stroke_fatal)*f_stroke_major</f>
        <v>7.07496962133704E-005</v>
      </c>
      <c r="AB83" s="57" t="n">
        <f aca="false">T83*(1-f_stroke_fatal)*(1-f_stroke_major)</f>
        <v>0.000141711853976931</v>
      </c>
      <c r="AC83" s="57" t="n">
        <f aca="false">U83*(1-f_bleed_fatal)</f>
        <v>5.83935145356079E-005</v>
      </c>
      <c r="AD83" s="57" t="n">
        <f aca="false">V83*(1-f_bleed_fatal)</f>
        <v>0.000243179806551672</v>
      </c>
      <c r="AE83" s="57" t="n">
        <f aca="false">W83*f_mi_fatal</f>
        <v>5.78080391015033E-006</v>
      </c>
      <c r="AF83" s="57" t="n">
        <f aca="false">W83-AE83</f>
        <v>4.19944350167119E-005</v>
      </c>
      <c r="AG83" s="57" t="n">
        <f aca="false">M83-T83-U83-V83-AE83</f>
        <v>0.0311649417526354</v>
      </c>
      <c r="AH83" s="19" t="n">
        <f aca="false">Z83*c_stroke_fatal+AA83*c_stroke_major+AB83*c_stroke_minor+U83*c_ich+V83*c_major_bleed+AE83*c_mi_fatal+AF83*c_mi_nonfatal+X83*c_tia+Y83*c_minor_bleed</f>
        <v>14.6166173811735</v>
      </c>
      <c r="AI83" s="57" t="n">
        <f aca="false">dt*(AF83*dec_mi+AD83*dec_major_bleed+Y83*dec_minor_bleed+X83*dec_tia)</f>
        <v>1.30699950344492E-005</v>
      </c>
      <c r="AJ83" s="57" t="n">
        <f aca="false">G83*L83+Z83+U83-AC83+V83-AD83+AE83</f>
        <v>0.00236677985521064</v>
      </c>
      <c r="AK83" s="57" t="n">
        <f aca="false">1-EXP(LN(1-E83)*hr_death_prior_stroke*dt)</f>
        <v>0.146587507058832</v>
      </c>
      <c r="AL83" s="57" t="n">
        <f aca="false">H83*(1-AK83)</f>
        <v>0.00492667903414072</v>
      </c>
      <c r="AM83" s="57" t="n">
        <f aca="false">(1-EXP(-r_stroke*F83*rr_stroke_prior*rr_asa_stroke*dt))</f>
        <v>0.0308800275565221</v>
      </c>
      <c r="AN83" s="57" t="n">
        <f aca="false">(1-EXP(-r_ich*rr_asa_ich*dt))</f>
        <v>0.00102357767802375</v>
      </c>
      <c r="AO83" s="57" t="n">
        <f aca="false">(1-EXP(-r_mb*rr_asa_mb*dt))</f>
        <v>0.00951809672747972</v>
      </c>
      <c r="AP83" s="57" t="n">
        <f aca="false">(1-EXP(-r_mi*rr_asa_mi*dt))</f>
        <v>0.00213413516393479</v>
      </c>
      <c r="AQ83" s="57" t="n">
        <f aca="false">(1-EXP(-r_tia*rr_asa_tia*dt))</f>
        <v>0.00312764565589152</v>
      </c>
      <c r="AR83" s="57" t="n">
        <f aca="false">(1-EXP(-r_minor*rr_asa_minor*dt))</f>
        <v>0.0278181950466747</v>
      </c>
      <c r="AS83" s="57" t="n">
        <f aca="false">AL83*AM83</f>
        <v>0.000152135984336405</v>
      </c>
      <c r="AT83" s="57" t="n">
        <f aca="false">AL83*AN83</f>
        <v>5.04283868613403E-006</v>
      </c>
      <c r="AU83" s="57" t="n">
        <f aca="false">AL83*AO83</f>
        <v>4.68926075921977E-005</v>
      </c>
      <c r="AV83" s="57" t="n">
        <f aca="false">AL83*AP83</f>
        <v>1.051419896818E-005</v>
      </c>
      <c r="AW83" s="57" t="n">
        <f aca="false">AL83*AQ83</f>
        <v>1.54089062791021E-005</v>
      </c>
      <c r="AX83" s="57" t="n">
        <f aca="false">AL83*AR83</f>
        <v>0.00013705131830409</v>
      </c>
      <c r="AY83" s="57" t="n">
        <f aca="false">AS83*f_stroke_fatal_recur</f>
        <v>5.6608278411733E-005</v>
      </c>
      <c r="AZ83" s="57" t="n">
        <f aca="false">AS83*(1-f_stroke_fatal_recur)*f_stroke_major</f>
        <v>3.18107260729158E-005</v>
      </c>
      <c r="BA83" s="57" t="n">
        <f aca="false">AS83*(1-f_stroke_fatal_recur)*(1-f_stroke_major)</f>
        <v>6.37169798517563E-005</v>
      </c>
      <c r="BB83" s="57" t="n">
        <f aca="false">AT83*(1-f_bleed_fatal)</f>
        <v>4.61924023649877E-006</v>
      </c>
      <c r="BC83" s="57" t="n">
        <f aca="false">AU83*(1-f_bleed_fatal)</f>
        <v>4.29536285544531E-005</v>
      </c>
      <c r="BD83" s="57" t="n">
        <f aca="false">AV83*f_mi_fatal</f>
        <v>1.27221807514978E-006</v>
      </c>
      <c r="BE83" s="57" t="n">
        <f aca="false">AV83-BD83</f>
        <v>9.24198089303023E-006</v>
      </c>
      <c r="BF83" s="57" t="n">
        <f aca="false">AL83-AS83-AT83-AU83-BD83</f>
        <v>0.00472133538545083</v>
      </c>
      <c r="BG83" s="19" t="n">
        <f aca="false">AY83*c_stroke_fatal+AZ83*c_stroke_major+BA83*c_stroke_minor+AT83*c_ich+AU83*c_major_bleed+BD83*c_mi_fatal+BE83*c_mi_nonfatal+AW83*c_tia+AX83*c_minor_bleed</f>
        <v>5.90898416372389</v>
      </c>
      <c r="BH83" s="57" t="n">
        <f aca="false">dt*(BE83*dec_mi+BC83*dec_major_bleed+AX83*dec_minor_bleed+AW83*dec_tia)</f>
        <v>2.11894148083479E-006</v>
      </c>
      <c r="BI83" s="57" t="n">
        <f aca="false">H83*AK83+AY83+AT83-BB83+AU83-BC83+BD83</f>
        <v>0.000908480507416065</v>
      </c>
      <c r="BJ83" s="57" t="n">
        <f aca="false">1-EXP(LN(1-E83)*hr_death_prior_stroke*dt)</f>
        <v>0.146587507058832</v>
      </c>
      <c r="BK83" s="57" t="n">
        <f aca="false">I83*(1-BJ83)</f>
        <v>0.00248665935185495</v>
      </c>
      <c r="BL83" s="57" t="n">
        <f aca="false">(1-EXP(-r_stroke*F83*rr_stroke_prior*rr_asa_stroke*dt))</f>
        <v>0.0308800275565221</v>
      </c>
      <c r="BM83" s="57" t="n">
        <f aca="false">(1-EXP(-r_ich*rr_asa_ich*dt))</f>
        <v>0.00102357767802375</v>
      </c>
      <c r="BN83" s="57" t="n">
        <f aca="false">(1-EXP(-r_mb*rr_asa_mb*dt))</f>
        <v>0.00951809672747972</v>
      </c>
      <c r="BO83" s="57" t="n">
        <f aca="false">(1-EXP(-r_mi*rr_asa_mi*dt))</f>
        <v>0.00213413516393479</v>
      </c>
      <c r="BP83" s="57" t="n">
        <f aca="false">(1-EXP(-r_tia*rr_asa_tia*dt))</f>
        <v>0.00312764565589152</v>
      </c>
      <c r="BQ83" s="57" t="n">
        <f aca="false">(1-EXP(-r_minor*rr_asa_minor*dt))</f>
        <v>0.0278181950466747</v>
      </c>
      <c r="BR83" s="57" t="n">
        <f aca="false">BK83*BL83</f>
        <v>7.67881093089643E-005</v>
      </c>
      <c r="BS83" s="57" t="n">
        <f aca="false">BK83*BM83</f>
        <v>2.54528900540772E-006</v>
      </c>
      <c r="BT83" s="57" t="n">
        <f aca="false">BK83*BN83</f>
        <v>2.36682642392475E-005</v>
      </c>
      <c r="BU83" s="57" t="n">
        <f aca="false">BK83*BO83</f>
        <v>5.30686716352095E-006</v>
      </c>
      <c r="BV83" s="57" t="n">
        <f aca="false">BK83*BP83</f>
        <v>7.77738931951116E-006</v>
      </c>
      <c r="BW83" s="57" t="n">
        <f aca="false">BK83*BQ83</f>
        <v>6.91743748645388E-005</v>
      </c>
      <c r="BX83" s="57" t="n">
        <f aca="false">BR83*f_stroke_fatal_recur</f>
        <v>2.85720875927725E-005</v>
      </c>
      <c r="BY83" s="57" t="n">
        <f aca="false">BR83*(1-f_stroke_fatal_recur)*f_stroke_major</f>
        <v>1.60559352314919E-005</v>
      </c>
      <c r="BZ83" s="57" t="n">
        <f aca="false">BR83*(1-f_stroke_fatal_recur)*(1-f_stroke_major)</f>
        <v>3.21600864846999E-005</v>
      </c>
      <c r="CA83" s="57" t="n">
        <f aca="false">BS83*(1-f_bleed_fatal)</f>
        <v>2.33148472895348E-006</v>
      </c>
      <c r="CB83" s="57" t="n">
        <f aca="false">BT83*(1-f_bleed_fatal)</f>
        <v>2.16801300431507E-005</v>
      </c>
      <c r="CC83" s="57" t="n">
        <f aca="false">BU83*f_mi_fatal</f>
        <v>6.42130926786035E-007</v>
      </c>
      <c r="CD83" s="57" t="n">
        <f aca="false">BU83-CC83</f>
        <v>4.66473623673492E-006</v>
      </c>
      <c r="CE83" s="57" t="n">
        <f aca="false">BK83-BR83-BS83-BT83-CC83</f>
        <v>0.00238301555837455</v>
      </c>
      <c r="CF83" s="19" t="n">
        <f aca="false">BX83*c_stroke_fatal+BY83*c_stroke_major+BZ83*c_stroke_minor+BS83*c_ich+BT83*c_major_bleed+CC83*c_mi_fatal+CD83*c_mi_nonfatal+BV83*c_tia+BW83*c_minor_bleed</f>
        <v>2.98246153826207</v>
      </c>
      <c r="CG83" s="57" t="n">
        <f aca="false">dt*(CD83*dec_mi+CB83*dec_major_bleed+BW83*dec_minor_bleed+BV83*dec_tia)</f>
        <v>1.06950049167759E-006</v>
      </c>
      <c r="CH83" s="57" t="n">
        <f aca="false">I83*BJ83+BX83+BS83-CA83+BT83-CB83+CC83</f>
        <v>0.000458540435471682</v>
      </c>
      <c r="CI83" s="57" t="n">
        <f aca="false">1-EXP(LN(1-E83)*dt)</f>
        <v>0.066597136787399</v>
      </c>
      <c r="CJ83" s="57" t="n">
        <f aca="false">J83*(1-CI83)</f>
        <v>0.0225511843823428</v>
      </c>
      <c r="CK83" s="57" t="n">
        <f aca="false">(1-EXP(-r_stroke*F83*rr_asa_stroke*dt))</f>
        <v>0.0141565063601664</v>
      </c>
      <c r="CL83" s="57" t="n">
        <f aca="false">(1-EXP(-r_ich*rr_asa_ich*dt))</f>
        <v>0.00102357767802375</v>
      </c>
      <c r="CM83" s="57" t="n">
        <f aca="false">(1-EXP(-r_mb*rr_asa_mb*dt))</f>
        <v>0.00951809672747972</v>
      </c>
      <c r="CN83" s="57" t="n">
        <f aca="false">(1-EXP(-r_mi*rr_asa_mi*dt))</f>
        <v>0.00213413516393479</v>
      </c>
      <c r="CO83" s="57" t="n">
        <f aca="false">(1-EXP(-r_tia*rr_asa_tia*dt))</f>
        <v>0.00312764565589152</v>
      </c>
      <c r="CP83" s="57" t="n">
        <f aca="false">(1-EXP(-r_minor*rr_asa_minor*dt))</f>
        <v>0.0278181950466747</v>
      </c>
      <c r="CQ83" s="57" t="n">
        <f aca="false">CJ83*CK83</f>
        <v>0.000319245985137921</v>
      </c>
      <c r="CR83" s="57" t="n">
        <f aca="false">CJ83*CL83</f>
        <v>2.30828889467638E-005</v>
      </c>
      <c r="CS83" s="57" t="n">
        <f aca="false">CJ83*CM83</f>
        <v>0.000214644354270368</v>
      </c>
      <c r="CT83" s="57" t="n">
        <f aca="false">CJ83*CN83</f>
        <v>4.81272755787348E-005</v>
      </c>
      <c r="CU83" s="57" t="n">
        <f aca="false">CJ83*CO83</f>
        <v>7.0532113868643E-005</v>
      </c>
      <c r="CV83" s="57" t="n">
        <f aca="false">CJ83*CP83</f>
        <v>0.000627333245681536</v>
      </c>
      <c r="CW83" s="57" t="n">
        <f aca="false">CQ83*f_stroke_fatal</f>
        <v>7.56612984776872E-005</v>
      </c>
      <c r="CX83" s="57" t="n">
        <f aca="false">CQ83*(1-f_stroke_fatal)*f_stroke_major</f>
        <v>8.11137006578578E-005</v>
      </c>
      <c r="CY83" s="57" t="n">
        <f aca="false">CQ83*(1-f_stroke_fatal)*(1-f_stroke_major)</f>
        <v>0.000162470986002376</v>
      </c>
      <c r="CZ83" s="57" t="n">
        <f aca="false">CR83*(1-f_bleed_fatal)</f>
        <v>2.11439262752356E-005</v>
      </c>
      <c r="DA83" s="57" t="n">
        <f aca="false">CS83*(1-f_bleed_fatal)</f>
        <v>0.000196614228511657</v>
      </c>
      <c r="DB83" s="57" t="n">
        <f aca="false">CT83*f_mi_fatal</f>
        <v>5.82340034502691E-006</v>
      </c>
      <c r="DC83" s="57" t="n">
        <f aca="false">CT83-DB83</f>
        <v>4.23038752337079E-005</v>
      </c>
      <c r="DD83" s="57" t="n">
        <f aca="false">CJ83-CQ83-CR83-CS83-DB83</f>
        <v>0.0219883877536427</v>
      </c>
      <c r="DE83" s="19" t="n">
        <f aca="false">CW83*c_stroke_fatal+CX83*c_stroke_major+CY83*c_stroke_minor+CR83*c_ich+CS83*c_major_bleed+DB83*c_mi_fatal+DC83*c_mi_nonfatal+CU83*c_tia+CV83*c_minor_bleed</f>
        <v>14.8320859603281</v>
      </c>
      <c r="DF83" s="57" t="n">
        <f aca="false">dt*(DC83*dec_mi+DA83*dec_major_bleed+CV83*dec_minor_bleed+CU83*dec_tia)</f>
        <v>9.69915833740404E-006</v>
      </c>
      <c r="DG83" s="57" t="n">
        <f aca="false">J83*CI83+CW83+CR83-CZ83+CS83-DA83+DB83</f>
        <v>0.00171045282745266</v>
      </c>
      <c r="DH83" s="57" t="n">
        <f aca="false">AG83</f>
        <v>0.0311649417526354</v>
      </c>
      <c r="DI83" s="57" t="n">
        <f aca="false">AB83+AC83+BF83+BA83+BB83+BC83+CY83+CZ83</f>
        <v>0.00521634551488369</v>
      </c>
      <c r="DJ83" s="57" t="n">
        <f aca="false">AA83+AZ83+BY83+CX83+CE83+BZ83+CA83+CB83</f>
        <v>0.00263891731780699</v>
      </c>
      <c r="DK83" s="57" t="n">
        <f aca="false">AD83+DD83+DA83</f>
        <v>0.022428181788706</v>
      </c>
      <c r="DL83" s="57" t="n">
        <f aca="false">K83+AJ83+BI83+CH83+DG83</f>
        <v>0.938551613625969</v>
      </c>
      <c r="DM83" s="58" t="n">
        <f aca="false">SUM(DH83:DL83)</f>
        <v>1</v>
      </c>
      <c r="DN83" s="19" t="n">
        <f aca="false">dt*(G83*Warfarin!$H$2+(H83+I83+J83)*c_aspirin)</f>
        <v>3.59092589785889</v>
      </c>
      <c r="DO83" s="19" t="n">
        <f aca="false">dt*(H83*c_lt_minor_stroke+I83*c_lt_major_stroke)</f>
        <v>34.629180332726</v>
      </c>
      <c r="DP83" s="19" t="n">
        <f aca="false">AH83+BG83+CF83+DE83</f>
        <v>38.3401490434875</v>
      </c>
      <c r="DQ83" s="19" t="n">
        <f aca="false">DN83+DO83+DP83</f>
        <v>76.5602552740725</v>
      </c>
      <c r="DR83" s="57" t="n">
        <f aca="false">dt*(G83*(u_af-dec_per_year_over_70*MAX(B83-ref_age,0))+H83*(u_minor_stroke-dec_per_year_over_70*MAX(B83-ref_age,0))+I83*(u_major_stroke-dec_per_year_over_70*MAX(B83-ref_age,0))+J83*(u_af-dec_per_year_over_70*MAX(B83-ref_age,0)))-AI83-BH83-CG83-DF83</f>
        <v>0.0129920911405776</v>
      </c>
      <c r="DS83" s="57" t="n">
        <f aca="false">dt*(G83+H83+I83+J83)</f>
        <v>0.0167231599998958</v>
      </c>
      <c r="DT83" s="19" t="n">
        <f aca="false">DQ83*C83</f>
        <v>57.4820250402325</v>
      </c>
      <c r="DU83" s="19" t="n">
        <f aca="false">DN83*C83</f>
        <v>2.69609462036691</v>
      </c>
      <c r="DV83" s="19" t="n">
        <f aca="false">DP83*C83</f>
        <v>28.7860770510042</v>
      </c>
      <c r="DW83" s="19" t="n">
        <f aca="false">DO83*C83</f>
        <v>25.9998533688614</v>
      </c>
      <c r="DX83" s="57" t="n">
        <f aca="false">DR83*C83</f>
        <v>0.00975456136600134</v>
      </c>
      <c r="DY83" s="57" t="n">
        <f aca="false">DS83*C83</f>
        <v>0.0125558763933663</v>
      </c>
      <c r="DZ83" s="57" t="n">
        <f aca="false">T83+AS83+BR83+CQ83</f>
        <v>0.000826625583619858</v>
      </c>
      <c r="EA83" s="57" t="n">
        <f aca="false">U83+AT83+BS83+CR83</f>
        <v>9.4419394952288E-005</v>
      </c>
      <c r="EB83" s="57" t="n">
        <f aca="false">V83+AU83+BT83+CS83</f>
        <v>0.000550685364258661</v>
      </c>
      <c r="EC83" s="57" t="n">
        <f aca="false">G83*dt*C83</f>
        <v>0.00639045356967808</v>
      </c>
    </row>
    <row r="84" customFormat="false" ht="15" hidden="false" customHeight="false" outlineLevel="0" collapsed="false">
      <c r="A84" s="8" t="n">
        <v>78</v>
      </c>
      <c r="B84" s="54" t="n">
        <f aca="false">start_age+A84*dt</f>
        <v>89.5</v>
      </c>
      <c r="C84" s="16" t="n">
        <f aca="false">(1+disc_rate)^-(A84*dt)</f>
        <v>0.748018219541773</v>
      </c>
      <c r="D84" s="55" t="n">
        <f aca="false">IF(A84*dt&gt;=wane_start,(1-wane_decay)^(A84*dt-wane_start),1)</f>
        <v>1</v>
      </c>
      <c r="E84" s="25" t="n">
        <f aca="false">MIN(p_nonvasc_death*MIN(EXP(gomp_int+gomp_slope*INT(B84)),1)/qx_ref,0.999)</f>
        <v>0.24093928536159</v>
      </c>
      <c r="F84" s="55" t="n">
        <f aca="false">rr_stroke_per_decade^((B84-ref_age)/10)</f>
        <v>2.20484444695326</v>
      </c>
      <c r="G84" s="57" t="n">
        <f aca="false">DH83</f>
        <v>0.0311649417526354</v>
      </c>
      <c r="H84" s="57" t="n">
        <f aca="false">DI83</f>
        <v>0.00521634551488369</v>
      </c>
      <c r="I84" s="57" t="n">
        <f aca="false">DJ83</f>
        <v>0.00263891731780699</v>
      </c>
      <c r="J84" s="57" t="n">
        <f aca="false">DK83</f>
        <v>0.022428181788706</v>
      </c>
      <c r="K84" s="57" t="n">
        <f aca="false">DL83</f>
        <v>0.938551613625969</v>
      </c>
      <c r="L84" s="57" t="n">
        <f aca="false">1-EXP(LN(1-E84)*dt)</f>
        <v>0.066597136787399</v>
      </c>
      <c r="M84" s="57" t="n">
        <f aca="false">G84*(1-L84)</f>
        <v>0.0290894458637639</v>
      </c>
      <c r="N84" s="57" t="n">
        <f aca="false">IF(Warfarin!$B$2=1,EXP(LN(or_apx_stroke)*D84)*(1-EXP(-r_stroke*F84*dt))/(1-(1-EXP(-r_stroke*F84*dt))+EXP(LN(or_apx_stroke)*D84)*(1-EXP(-r_stroke*F84*dt))),(1-EXP(-r_stroke*F84*dt)))</f>
        <v>0.00885128918727862</v>
      </c>
      <c r="O84" s="57" t="n">
        <f aca="false">IF(Warfarin!$B$2=1,EXP(LN(or_apx_ich)*D84)*(1-EXP(-r_ich*dt))/(1-(1-EXP(-r_ich*dt))+EXP(LN(or_apx_ich)*D84)*(1-EXP(-r_ich*dt))),(1-EXP(-r_ich*dt)))</f>
        <v>0.0020060281549299</v>
      </c>
      <c r="P84" s="57" t="n">
        <f aca="false">IF(Warfarin!$B$2=1,EXP(LN(or_apx_mb)*D84)*(1-EXP(-r_mb*dt))/(1-(1-EXP(-r_mb*dt))+EXP(LN(or_apx_mb)*D84)*(1-EXP(-r_mb*dt))),(1-EXP(-r_mb*dt)))</f>
        <v>0.00835410477572107</v>
      </c>
      <c r="Q84" s="57" t="n">
        <f aca="false">IF(Warfarin!$B$2=1,EXP(LN(or_apx_mi)*D84)*(1-EXP(-r_mi*dt))/(1-(1-EXP(-r_mi*dt))+EXP(LN(or_apx_mi)*D84)*(1-EXP(-r_mi*dt))),(1-EXP(-r_mi*dt)))</f>
        <v>0.00150338686144691</v>
      </c>
      <c r="R84" s="57" t="n">
        <f aca="false">(1-EXP(-r_tia*dt))</f>
        <v>0.0020060281549299</v>
      </c>
      <c r="S84" s="57" t="n">
        <f aca="false">(1-EXP(-r_minor*dt))</f>
        <v>0.0437937690785545</v>
      </c>
      <c r="T84" s="57" t="n">
        <f aca="false">M84*N84</f>
        <v>0.00025747909763786</v>
      </c>
      <c r="U84" s="57" t="n">
        <f aca="false">M84*O84</f>
        <v>5.83542474140193E-005</v>
      </c>
      <c r="V84" s="57" t="n">
        <f aca="false">M84*P84</f>
        <v>0.000243016278613549</v>
      </c>
      <c r="W84" s="57" t="n">
        <f aca="false">M84*Q84</f>
        <v>4.37326907183537E-005</v>
      </c>
      <c r="X84" s="57" t="n">
        <f aca="false">M84*R84</f>
        <v>5.83542474140193E-005</v>
      </c>
      <c r="Y84" s="57" t="n">
        <f aca="false">M84*S84</f>
        <v>0.00127393647478079</v>
      </c>
      <c r="Z84" s="57" t="n">
        <f aca="false">T84*f_stroke_fatal</f>
        <v>6.10225461401728E-005</v>
      </c>
      <c r="AA84" s="57" t="n">
        <f aca="false">T84*(1-f_stroke_fatal)*f_stroke_major</f>
        <v>6.54200316487298E-005</v>
      </c>
      <c r="AB84" s="57" t="n">
        <f aca="false">T84*(1-f_stroke_fatal)*(1-f_stroke_major)</f>
        <v>0.000131036519848957</v>
      </c>
      <c r="AC84" s="57" t="n">
        <f aca="false">U84*(1-f_bleed_fatal)</f>
        <v>5.34524906312417E-005</v>
      </c>
      <c r="AD84" s="57" t="n">
        <f aca="false">V84*(1-f_bleed_fatal)</f>
        <v>0.000222602911210011</v>
      </c>
      <c r="AE84" s="57" t="n">
        <f aca="false">W84*f_mi_fatal</f>
        <v>5.2916555769208E-006</v>
      </c>
      <c r="AF84" s="57" t="n">
        <f aca="false">W84-AE84</f>
        <v>3.84410351414329E-005</v>
      </c>
      <c r="AG84" s="57" t="n">
        <f aca="false">M84-T84-U84-V84-AE84</f>
        <v>0.0285253045845215</v>
      </c>
      <c r="AH84" s="19" t="n">
        <f aca="false">Z84*c_stroke_fatal+AA84*c_stroke_major+AB84*c_stroke_minor+U84*c_ich+V84*c_major_bleed+AE84*c_mi_fatal+AF84*c_mi_nonfatal+X84*c_tia+Y84*c_minor_bleed</f>
        <v>13.4753416186193</v>
      </c>
      <c r="AI84" s="57" t="n">
        <f aca="false">dt*(AF84*dec_mi+AD84*dec_major_bleed+Y84*dec_minor_bleed+X84*dec_tia)</f>
        <v>1.19640647199486E-005</v>
      </c>
      <c r="AJ84" s="57" t="n">
        <f aca="false">G84*L84+Z84+U84-AC84+V84-AD84+AE84</f>
        <v>0.00216712521477499</v>
      </c>
      <c r="AK84" s="57" t="n">
        <f aca="false">1-EXP(LN(1-E84)*hr_death_prior_stroke*dt)</f>
        <v>0.146587507058832</v>
      </c>
      <c r="AL84" s="57" t="n">
        <f aca="false">H84*(1-AK84)</f>
        <v>0.00445169442989937</v>
      </c>
      <c r="AM84" s="57" t="n">
        <f aca="false">(1-EXP(-r_stroke*F84*rr_stroke_prior*rr_asa_stroke*dt))</f>
        <v>0.0311896808841473</v>
      </c>
      <c r="AN84" s="57" t="n">
        <f aca="false">(1-EXP(-r_ich*rr_asa_ich*dt))</f>
        <v>0.00102357767802375</v>
      </c>
      <c r="AO84" s="57" t="n">
        <f aca="false">(1-EXP(-r_mb*rr_asa_mb*dt))</f>
        <v>0.00951809672747972</v>
      </c>
      <c r="AP84" s="57" t="n">
        <f aca="false">(1-EXP(-r_mi*rr_asa_mi*dt))</f>
        <v>0.00213413516393479</v>
      </c>
      <c r="AQ84" s="57" t="n">
        <f aca="false">(1-EXP(-r_tia*rr_asa_tia*dt))</f>
        <v>0.00312764565589152</v>
      </c>
      <c r="AR84" s="57" t="n">
        <f aca="false">(1-EXP(-r_minor*rr_asa_minor*dt))</f>
        <v>0.0278181950466747</v>
      </c>
      <c r="AS84" s="57" t="n">
        <f aca="false">AL84*AM84</f>
        <v>0.000138846928662297</v>
      </c>
      <c r="AT84" s="57" t="n">
        <f aca="false">AL84*AN84</f>
        <v>4.55665504782764E-006</v>
      </c>
      <c r="AU84" s="57" t="n">
        <f aca="false">AL84*AO84</f>
        <v>4.23716581849649E-005</v>
      </c>
      <c r="AV84" s="57" t="n">
        <f aca="false">AL84*AP84</f>
        <v>9.5005176219409E-006</v>
      </c>
      <c r="AW84" s="57" t="n">
        <f aca="false">AL84*AQ84</f>
        <v>1.39233227450312E-005</v>
      </c>
      <c r="AX84" s="57" t="n">
        <f aca="false">AL84*AR84</f>
        <v>0.000123838103939136</v>
      </c>
      <c r="AY84" s="57" t="n">
        <f aca="false">AS84*f_stroke_fatal_recur</f>
        <v>5.16635536859543E-005</v>
      </c>
      <c r="AZ84" s="57" t="n">
        <f aca="false">AS84*(1-f_stroke_fatal_recur)*f_stroke_major</f>
        <v>2.90320638671223E-005</v>
      </c>
      <c r="BA84" s="57" t="n">
        <f aca="false">AS84*(1-f_stroke_fatal_recur)*(1-f_stroke_major)</f>
        <v>5.81513111092209E-005</v>
      </c>
      <c r="BB84" s="57" t="n">
        <f aca="false">AT84*(1-f_bleed_fatal)</f>
        <v>4.17389602381012E-006</v>
      </c>
      <c r="BC84" s="57" t="n">
        <f aca="false">AU84*(1-f_bleed_fatal)</f>
        <v>3.88124388974279E-005</v>
      </c>
      <c r="BD84" s="57" t="n">
        <f aca="false">AV84*f_mi_fatal</f>
        <v>1.14956263225485E-006</v>
      </c>
      <c r="BE84" s="57" t="n">
        <f aca="false">AV84-BD84</f>
        <v>8.35095498968605E-006</v>
      </c>
      <c r="BF84" s="57" t="n">
        <f aca="false">AL84-AS84-AT84-AU84-BD84</f>
        <v>0.00426476962537203</v>
      </c>
      <c r="BG84" s="19" t="n">
        <f aca="false">AY84*c_stroke_fatal+AZ84*c_stroke_major+BA84*c_stroke_minor+AT84*c_ich+AU84*c_major_bleed+BD84*c_mi_fatal+BE84*c_mi_nonfatal+AW84*c_tia+AX84*c_minor_bleed</f>
        <v>5.38682413925132</v>
      </c>
      <c r="BH84" s="57" t="n">
        <f aca="false">dt*(BE84*dec_mi+BC84*dec_major_bleed+AX84*dec_minor_bleed+AW84*dec_tia)</f>
        <v>1.91465283655528E-006</v>
      </c>
      <c r="BI84" s="57" t="n">
        <f aca="false">H84*AK84+AY84+AT84-BB84+AU84-BC84+BD84</f>
        <v>0.000821406179614085</v>
      </c>
      <c r="BJ84" s="57" t="n">
        <f aca="false">1-EXP(LN(1-E84)*hr_death_prior_stroke*dt)</f>
        <v>0.146587507058832</v>
      </c>
      <c r="BK84" s="57" t="n">
        <f aca="false">I84*(1-BJ84)</f>
        <v>0.00225208500685528</v>
      </c>
      <c r="BL84" s="57" t="n">
        <f aca="false">(1-EXP(-r_stroke*F84*rr_stroke_prior*rr_asa_stroke*dt))</f>
        <v>0.0311896808841473</v>
      </c>
      <c r="BM84" s="57" t="n">
        <f aca="false">(1-EXP(-r_ich*rr_asa_ich*dt))</f>
        <v>0.00102357767802375</v>
      </c>
      <c r="BN84" s="57" t="n">
        <f aca="false">(1-EXP(-r_mb*rr_asa_mb*dt))</f>
        <v>0.00951809672747972</v>
      </c>
      <c r="BO84" s="57" t="n">
        <f aca="false">(1-EXP(-r_mi*rr_asa_mi*dt))</f>
        <v>0.00213413516393479</v>
      </c>
      <c r="BP84" s="57" t="n">
        <f aca="false">(1-EXP(-r_tia*rr_asa_tia*dt))</f>
        <v>0.00312764565589152</v>
      </c>
      <c r="BQ84" s="57" t="n">
        <f aca="false">(1-EXP(-r_minor*rr_asa_minor*dt))</f>
        <v>0.0278181950466747</v>
      </c>
      <c r="BR84" s="57" t="n">
        <f aca="false">BK84*BL84</f>
        <v>7.02418126877889E-005</v>
      </c>
      <c r="BS84" s="57" t="n">
        <f aca="false">BK84*BM84</f>
        <v>2.30518394202902E-006</v>
      </c>
      <c r="BT84" s="57" t="n">
        <f aca="false">BK84*BN84</f>
        <v>2.14355629337554E-005</v>
      </c>
      <c r="BU84" s="57" t="n">
        <f aca="false">BK84*BO84</f>
        <v>4.80625380530018E-006</v>
      </c>
      <c r="BV84" s="57" t="n">
        <f aca="false">BK84*BP84</f>
        <v>7.04372388838934E-006</v>
      </c>
      <c r="BW84" s="57" t="n">
        <f aca="false">BK84*BQ84</f>
        <v>6.26489399823919E-005</v>
      </c>
      <c r="BX84" s="57" t="n">
        <f aca="false">BR84*f_stroke_fatal_recur</f>
        <v>2.61362760829994E-005</v>
      </c>
      <c r="BY84" s="57" t="n">
        <f aca="false">BR84*(1-f_stroke_fatal_recur)*f_stroke_major</f>
        <v>1.46871436893949E-005</v>
      </c>
      <c r="BZ84" s="57" t="n">
        <f aca="false">BR84*(1-f_stroke_fatal_recur)*(1-f_stroke_major)</f>
        <v>2.94183929153946E-005</v>
      </c>
      <c r="CA84" s="57" t="n">
        <f aca="false">BS84*(1-f_bleed_fatal)</f>
        <v>2.11154849089858E-006</v>
      </c>
      <c r="CB84" s="57" t="n">
        <f aca="false">BT84*(1-f_bleed_fatal)</f>
        <v>1.96349756473199E-005</v>
      </c>
      <c r="CC84" s="57" t="n">
        <f aca="false">BU84*f_mi_fatal</f>
        <v>5.81556710441322E-007</v>
      </c>
      <c r="CD84" s="57" t="n">
        <f aca="false">BU84-CC84</f>
        <v>4.22469709485886E-006</v>
      </c>
      <c r="CE84" s="57" t="n">
        <f aca="false">BK84-BR84-BS84-BT84-CC84</f>
        <v>0.00215752089058127</v>
      </c>
      <c r="CF84" s="19" t="n">
        <f aca="false">BX84*c_stroke_fatal+BY84*c_stroke_major+BZ84*c_stroke_minor+BS84*c_ich+BT84*c_major_bleed+CC84*c_mi_fatal+CD84*c_mi_nonfatal+BV84*c_tia+BW84*c_minor_bleed</f>
        <v>2.72516141204423</v>
      </c>
      <c r="CG84" s="57" t="n">
        <f aca="false">dt*(CD84*dec_mi+CB84*dec_major_bleed+BW84*dec_minor_bleed+BV84*dec_tia)</f>
        <v>9.68611169171497E-007</v>
      </c>
      <c r="CH84" s="57" t="n">
        <f aca="false">I84*BJ84+BX84+BS84-CA84+BT84-CB84+CC84</f>
        <v>0.000415544366482713</v>
      </c>
      <c r="CI84" s="57" t="n">
        <f aca="false">1-EXP(LN(1-E84)*dt)</f>
        <v>0.066597136787399</v>
      </c>
      <c r="CJ84" s="57" t="n">
        <f aca="false">J84*(1-CI84)</f>
        <v>0.0209345290982309</v>
      </c>
      <c r="CK84" s="57" t="n">
        <f aca="false">(1-EXP(-r_stroke*F84*rr_asa_stroke*dt))</f>
        <v>0.0142996992160807</v>
      </c>
      <c r="CL84" s="57" t="n">
        <f aca="false">(1-EXP(-r_ich*rr_asa_ich*dt))</f>
        <v>0.00102357767802375</v>
      </c>
      <c r="CM84" s="57" t="n">
        <f aca="false">(1-EXP(-r_mb*rr_asa_mb*dt))</f>
        <v>0.00951809672747972</v>
      </c>
      <c r="CN84" s="57" t="n">
        <f aca="false">(1-EXP(-r_mi*rr_asa_mi*dt))</f>
        <v>0.00213413516393479</v>
      </c>
      <c r="CO84" s="57" t="n">
        <f aca="false">(1-EXP(-r_tia*rr_asa_tia*dt))</f>
        <v>0.00312764565589152</v>
      </c>
      <c r="CP84" s="57" t="n">
        <f aca="false">(1-EXP(-r_minor*rr_asa_minor*dt))</f>
        <v>0.0278181950466747</v>
      </c>
      <c r="CQ84" s="57" t="n">
        <f aca="false">CJ84*CK84</f>
        <v>0.00029935746933499</v>
      </c>
      <c r="CR84" s="57" t="n">
        <f aca="false">CJ84*CL84</f>
        <v>2.14281166848877E-005</v>
      </c>
      <c r="CS84" s="57" t="n">
        <f aca="false">CJ84*CM84</f>
        <v>0.000199256872901201</v>
      </c>
      <c r="CT84" s="57" t="n">
        <f aca="false">CJ84*CN84</f>
        <v>4.46771146889507E-005</v>
      </c>
      <c r="CU84" s="57" t="n">
        <f aca="false">CJ84*CO84</f>
        <v>6.54757889922165E-005</v>
      </c>
      <c r="CV84" s="57" t="n">
        <f aca="false">CJ84*CP84</f>
        <v>0.000582360813664875</v>
      </c>
      <c r="CW84" s="57" t="n">
        <f aca="false">CQ84*f_stroke_fatal</f>
        <v>7.09477202323926E-005</v>
      </c>
      <c r="CX84" s="57" t="n">
        <f aca="false">CQ84*(1-f_stroke_fatal)*f_stroke_major</f>
        <v>7.6060446451165E-005</v>
      </c>
      <c r="CY84" s="57" t="n">
        <f aca="false">CQ84*(1-f_stroke_fatal)*(1-f_stroke_major)</f>
        <v>0.000152349302651432</v>
      </c>
      <c r="CZ84" s="57" t="n">
        <f aca="false">CR84*(1-f_bleed_fatal)</f>
        <v>1.96281548833572E-005</v>
      </c>
      <c r="DA84" s="57" t="n">
        <f aca="false">CS84*(1-f_bleed_fatal)</f>
        <v>0.0001825192955775</v>
      </c>
      <c r="DB84" s="57" t="n">
        <f aca="false">CT84*f_mi_fatal</f>
        <v>5.40593087736303E-006</v>
      </c>
      <c r="DC84" s="57" t="n">
        <f aca="false">CT84-DB84</f>
        <v>3.92711838115876E-005</v>
      </c>
      <c r="DD84" s="57" t="n">
        <f aca="false">CJ84-CQ84-CR84-CS84-DB84</f>
        <v>0.0204090807084325</v>
      </c>
      <c r="DE84" s="19" t="n">
        <f aca="false">CW84*c_stroke_fatal+CX84*c_stroke_major+CY84*c_stroke_minor+CR84*c_ich+CS84*c_major_bleed+DB84*c_mi_fatal+DC84*c_mi_nonfatal+CU84*c_tia+CV84*c_minor_bleed</f>
        <v>13.8795564397505</v>
      </c>
      <c r="DF84" s="57" t="n">
        <f aca="false">dt*(DC84*dec_mi+DA84*dec_major_bleed+CV84*dec_minor_bleed+CU84*dec_tia)</f>
        <v>9.00384250335502E-006</v>
      </c>
      <c r="DG84" s="57" t="n">
        <f aca="false">J84*CI84+CW84+CR84-CZ84+CS84-DA84+DB84</f>
        <v>0.00158854388071009</v>
      </c>
      <c r="DH84" s="57" t="n">
        <f aca="false">AG84</f>
        <v>0.0285253045845215</v>
      </c>
      <c r="DI84" s="57" t="n">
        <f aca="false">AB84+AC84+BF84+BA84+BB84+BC84+CY84+CZ84</f>
        <v>0.00472237373941747</v>
      </c>
      <c r="DJ84" s="57" t="n">
        <f aca="false">AA84+AZ84+BY84+CX84+CE84+BZ84+CA84+CB84</f>
        <v>0.00239388549329129</v>
      </c>
      <c r="DK84" s="57" t="n">
        <f aca="false">AD84+DD84+DA84</f>
        <v>0.02081420291522</v>
      </c>
      <c r="DL84" s="57" t="n">
        <f aca="false">K84+AJ84+BI84+CH84+DG84</f>
        <v>0.943544233267551</v>
      </c>
      <c r="DM84" s="58" t="n">
        <f aca="false">SUM(DH84:DL84)</f>
        <v>1</v>
      </c>
      <c r="DN84" s="19" t="n">
        <f aca="false">dt*(G84*Warfarin!$H$2+(H84+I84+J84)*c_aspirin)</f>
        <v>3.2891837145528</v>
      </c>
      <c r="DO84" s="19" t="n">
        <f aca="false">dt*(H84*c_lt_minor_stroke+I84*c_lt_major_stroke)</f>
        <v>31.3300784670229</v>
      </c>
      <c r="DP84" s="19" t="n">
        <f aca="false">AH84+BG84+CF84+DE84</f>
        <v>35.4668836096654</v>
      </c>
      <c r="DQ84" s="19" t="n">
        <f aca="false">DN84+DO84+DP84</f>
        <v>70.0861457912411</v>
      </c>
      <c r="DR84" s="57" t="n">
        <f aca="false">dt*(G84*(u_af-dec_per_year_over_70*MAX(B84-ref_age,0))+H84*(u_minor_stroke-dec_per_year_over_70*MAX(B84-ref_age,0))+I84*(u_major_stroke-dec_per_year_over_70*MAX(B84-ref_age,0))+J84*(u_af-dec_per_year_over_70*MAX(B84-ref_age,0)))-AI84-BH84-CG84-DF84</f>
        <v>0.0119393744486727</v>
      </c>
      <c r="DS84" s="57" t="n">
        <f aca="false">dt*(G84+H84+I84+J84)</f>
        <v>0.015362096593508</v>
      </c>
      <c r="DT84" s="19" t="n">
        <f aca="false">DQ84*C84</f>
        <v>52.4257139893093</v>
      </c>
      <c r="DU84" s="19" t="n">
        <f aca="false">DN84*C84</f>
        <v>2.46036934590558</v>
      </c>
      <c r="DV84" s="19" t="n">
        <f aca="false">DP84*C84</f>
        <v>26.5298751303972</v>
      </c>
      <c r="DW84" s="19" t="n">
        <f aca="false">DO84*C84</f>
        <v>23.4354695130065</v>
      </c>
      <c r="DX84" s="57" t="n">
        <f aca="false">DR84*C84</f>
        <v>0.00893086961753867</v>
      </c>
      <c r="DY84" s="57" t="n">
        <f aca="false">DS84*C84</f>
        <v>0.0114911281423046</v>
      </c>
      <c r="DZ84" s="57" t="n">
        <f aca="false">T84+AS84+BR84+CQ84</f>
        <v>0.000765925308322936</v>
      </c>
      <c r="EA84" s="57" t="n">
        <f aca="false">U84+AT84+BS84+CR84</f>
        <v>8.66442030887637E-005</v>
      </c>
      <c r="EB84" s="57" t="n">
        <f aca="false">V84+AU84+BT84+CS84</f>
        <v>0.00050608037263347</v>
      </c>
      <c r="EC84" s="57" t="n">
        <f aca="false">G84*dt*C84</f>
        <v>0.00582798606048236</v>
      </c>
    </row>
    <row r="85" customFormat="false" ht="15" hidden="false" customHeight="false" outlineLevel="0" collapsed="false">
      <c r="A85" s="8" t="n">
        <v>79</v>
      </c>
      <c r="B85" s="54" t="n">
        <f aca="false">start_age+A85*dt</f>
        <v>89.75</v>
      </c>
      <c r="C85" s="16" t="n">
        <f aca="false">(1+disc_rate)^-(A85*dt)</f>
        <v>0.745239156447232</v>
      </c>
      <c r="D85" s="55" t="n">
        <f aca="false">IF(A85*dt&gt;=wane_start,(1-wane_decay)^(A85*dt-wane_start),1)</f>
        <v>1</v>
      </c>
      <c r="E85" s="25" t="n">
        <f aca="false">MIN(p_nonvasc_death*MIN(EXP(gomp_int+gomp_slope*INT(B85)),1)/qx_ref,0.999)</f>
        <v>0.24093928536159</v>
      </c>
      <c r="F85" s="55" t="n">
        <f aca="false">rr_stroke_per_decade^((B85-ref_age)/10)</f>
        <v>2.22730779319896</v>
      </c>
      <c r="G85" s="57" t="n">
        <f aca="false">DH84</f>
        <v>0.0285253045845215</v>
      </c>
      <c r="H85" s="57" t="n">
        <f aca="false">DI84</f>
        <v>0.00472237373941747</v>
      </c>
      <c r="I85" s="57" t="n">
        <f aca="false">DJ84</f>
        <v>0.00239388549329129</v>
      </c>
      <c r="J85" s="57" t="n">
        <f aca="false">DK84</f>
        <v>0.02081420291522</v>
      </c>
      <c r="K85" s="57" t="n">
        <f aca="false">DL84</f>
        <v>0.943544233267551</v>
      </c>
      <c r="L85" s="57" t="n">
        <f aca="false">1-EXP(LN(1-E85)*dt)</f>
        <v>0.066597136787399</v>
      </c>
      <c r="M85" s="57" t="n">
        <f aca="false">G85*(1-L85)</f>
        <v>0.0266256009732039</v>
      </c>
      <c r="N85" s="57" t="n">
        <f aca="false">IF(Warfarin!$B$2=1,EXP(LN(or_apx_stroke)*D85)*(1-EXP(-r_stroke*F85*dt))/(1-(1-EXP(-r_stroke*F85*dt))+EXP(LN(or_apx_stroke)*D85)*(1-EXP(-r_stroke*F85*dt))),(1-EXP(-r_stroke*F85*dt)))</f>
        <v>0.00894106334456857</v>
      </c>
      <c r="O85" s="57" t="n">
        <f aca="false">IF(Warfarin!$B$2=1,EXP(LN(or_apx_ich)*D85)*(1-EXP(-r_ich*dt))/(1-(1-EXP(-r_ich*dt))+EXP(LN(or_apx_ich)*D85)*(1-EXP(-r_ich*dt))),(1-EXP(-r_ich*dt)))</f>
        <v>0.0020060281549299</v>
      </c>
      <c r="P85" s="57" t="n">
        <f aca="false">IF(Warfarin!$B$2=1,EXP(LN(or_apx_mb)*D85)*(1-EXP(-r_mb*dt))/(1-(1-EXP(-r_mb*dt))+EXP(LN(or_apx_mb)*D85)*(1-EXP(-r_mb*dt))),(1-EXP(-r_mb*dt)))</f>
        <v>0.00835410477572107</v>
      </c>
      <c r="Q85" s="57" t="n">
        <f aca="false">IF(Warfarin!$B$2=1,EXP(LN(or_apx_mi)*D85)*(1-EXP(-r_mi*dt))/(1-(1-EXP(-r_mi*dt))+EXP(LN(or_apx_mi)*D85)*(1-EXP(-r_mi*dt))),(1-EXP(-r_mi*dt)))</f>
        <v>0.00150338686144691</v>
      </c>
      <c r="R85" s="57" t="n">
        <f aca="false">(1-EXP(-r_tia*dt))</f>
        <v>0.0020060281549299</v>
      </c>
      <c r="S85" s="57" t="n">
        <f aca="false">(1-EXP(-r_minor*dt))</f>
        <v>0.0437937690785545</v>
      </c>
      <c r="T85" s="57" t="n">
        <f aca="false">M85*N85</f>
        <v>0.000238061184888623</v>
      </c>
      <c r="U85" s="57" t="n">
        <f aca="false">M85*O85</f>
        <v>5.34117051941759E-005</v>
      </c>
      <c r="V85" s="57" t="n">
        <f aca="false">M85*P85</f>
        <v>0.000222433060246686</v>
      </c>
      <c r="W85" s="57" t="n">
        <f aca="false">M85*Q85</f>
        <v>4.00285786812428E-005</v>
      </c>
      <c r="X85" s="57" t="n">
        <f aca="false">M85*R85</f>
        <v>5.34117051941759E-005</v>
      </c>
      <c r="Y85" s="57" t="n">
        <f aca="false">M85*S85</f>
        <v>0.00116603542059823</v>
      </c>
      <c r="Z85" s="57" t="n">
        <f aca="false">T85*f_stroke_fatal</f>
        <v>5.64205008186036E-005</v>
      </c>
      <c r="AA85" s="57" t="n">
        <f aca="false">T85*(1-f_stroke_fatal)*f_stroke_major</f>
        <v>6.04863477953164E-005</v>
      </c>
      <c r="AB85" s="57" t="n">
        <f aca="false">T85*(1-f_stroke_fatal)*(1-f_stroke_major)</f>
        <v>0.000121154336274703</v>
      </c>
      <c r="AC85" s="57" t="n">
        <f aca="false">U85*(1-f_bleed_fatal)</f>
        <v>4.89251219578651E-005</v>
      </c>
      <c r="AD85" s="57" t="n">
        <f aca="false">V85*(1-f_bleed_fatal)</f>
        <v>0.000203748683185965</v>
      </c>
      <c r="AE85" s="57" t="n">
        <f aca="false">W85*f_mi_fatal</f>
        <v>4.84345802043038E-006</v>
      </c>
      <c r="AF85" s="57" t="n">
        <f aca="false">W85-AE85</f>
        <v>3.51851206608124E-005</v>
      </c>
      <c r="AG85" s="57" t="n">
        <f aca="false">M85-T85-U85-V85-AE85</f>
        <v>0.026106851564854</v>
      </c>
      <c r="AH85" s="19" t="n">
        <f aca="false">Z85*c_stroke_fatal+AA85*c_stroke_major+AB85*c_stroke_minor+U85*c_ich+V85*c_major_bleed+AE85*c_mi_fatal+AF85*c_mi_nonfatal+X85*c_tia+Y85*c_minor_bleed</f>
        <v>12.4223102099424</v>
      </c>
      <c r="AI85" s="57" t="n">
        <f aca="false">dt*(AF85*dec_mi+AD85*dec_major_bleed+Y85*dec_minor_bleed+X85*dec_tia)</f>
        <v>1.09507212596218E-005</v>
      </c>
      <c r="AJ85" s="57" t="n">
        <f aca="false">G85*L85+Z85+U85-AC85+V85-AD85+AE85</f>
        <v>0.00198413853045366</v>
      </c>
      <c r="AK85" s="57" t="n">
        <f aca="false">1-EXP(LN(1-E85)*hr_death_prior_stroke*dt)</f>
        <v>0.146587507058832</v>
      </c>
      <c r="AL85" s="57" t="n">
        <f aca="false">H85*(1-AK85)</f>
        <v>0.00403013274555617</v>
      </c>
      <c r="AM85" s="57" t="n">
        <f aca="false">(1-EXP(-r_stroke*F85*rr_stroke_prior*rr_asa_stroke*dt))</f>
        <v>0.031502388557262</v>
      </c>
      <c r="AN85" s="57" t="n">
        <f aca="false">(1-EXP(-r_ich*rr_asa_ich*dt))</f>
        <v>0.00102357767802375</v>
      </c>
      <c r="AO85" s="57" t="n">
        <f aca="false">(1-EXP(-r_mb*rr_asa_mb*dt))</f>
        <v>0.00951809672747972</v>
      </c>
      <c r="AP85" s="57" t="n">
        <f aca="false">(1-EXP(-r_mi*rr_asa_mi*dt))</f>
        <v>0.00213413516393479</v>
      </c>
      <c r="AQ85" s="57" t="n">
        <f aca="false">(1-EXP(-r_tia*rr_asa_tia*dt))</f>
        <v>0.00312764565589152</v>
      </c>
      <c r="AR85" s="57" t="n">
        <f aca="false">(1-EXP(-r_minor*rr_asa_minor*dt))</f>
        <v>0.0278181950466747</v>
      </c>
      <c r="AS85" s="57" t="n">
        <f aca="false">AL85*AM85</f>
        <v>0.000126958807687855</v>
      </c>
      <c r="AT85" s="57" t="n">
        <f aca="false">AL85*AN85</f>
        <v>4.12515391782385E-006</v>
      </c>
      <c r="AU85" s="57" t="n">
        <f aca="false">AL85*AO85</f>
        <v>3.8359193296787E-005</v>
      </c>
      <c r="AV85" s="57" t="n">
        <f aca="false">AL85*AP85</f>
        <v>8.60084800761649E-006</v>
      </c>
      <c r="AW85" s="57" t="n">
        <f aca="false">AL85*AQ85</f>
        <v>1.26048271743049E-005</v>
      </c>
      <c r="AX85" s="57" t="n">
        <f aca="false">AL85*AR85</f>
        <v>0.000112111018779872</v>
      </c>
      <c r="AY85" s="57" t="n">
        <f aca="false">AS85*f_stroke_fatal_recur</f>
        <v>4.72401027525741E-005</v>
      </c>
      <c r="AZ85" s="57" t="n">
        <f aca="false">AS85*(1-f_stroke_fatal_recur)*f_stroke_major</f>
        <v>2.65463287434487E-005</v>
      </c>
      <c r="BA85" s="57" t="n">
        <f aca="false">AS85*(1-f_stroke_fatal_recur)*(1-f_stroke_major)</f>
        <v>5.31723761918326E-005</v>
      </c>
      <c r="BB85" s="57" t="n">
        <f aca="false">AT85*(1-f_bleed_fatal)</f>
        <v>3.77864098872665E-006</v>
      </c>
      <c r="BC85" s="57" t="n">
        <f aca="false">AU85*(1-f_bleed_fatal)</f>
        <v>3.51370210598569E-005</v>
      </c>
      <c r="BD85" s="57" t="n">
        <f aca="false">AV85*f_mi_fatal</f>
        <v>1.0407026089216E-006</v>
      </c>
      <c r="BE85" s="57" t="n">
        <f aca="false">AV85-BD85</f>
        <v>7.5601453986949E-006</v>
      </c>
      <c r="BF85" s="57" t="n">
        <f aca="false">AL85-AS85-AT85-AU85-BD85</f>
        <v>0.00385964888804478</v>
      </c>
      <c r="BG85" s="19" t="n">
        <f aca="false">AY85*c_stroke_fatal+AZ85*c_stroke_major+BA85*c_stroke_minor+AT85*c_ich+AU85*c_major_bleed+BD85*c_mi_fatal+BE85*c_mi_nonfatal+AW85*c_tia+AX85*c_minor_bleed</f>
        <v>4.92016141998693</v>
      </c>
      <c r="BH85" s="57" t="n">
        <f aca="false">dt*(BE85*dec_mi+BC85*dec_major_bleed+AX85*dec_minor_bleed+AW85*dec_tia)</f>
        <v>1.73334113885886E-006</v>
      </c>
      <c r="BI85" s="57" t="n">
        <f aca="false">H85*AK85+AY85+AT85-BB85+AU85-BC85+BD85</f>
        <v>0.000744090484388826</v>
      </c>
      <c r="BJ85" s="57" t="n">
        <f aca="false">1-EXP(LN(1-E85)*hr_death_prior_stroke*dt)</f>
        <v>0.146587507058832</v>
      </c>
      <c r="BK85" s="57" t="n">
        <f aca="false">I85*(1-BJ85)</f>
        <v>0.00204297178664542</v>
      </c>
      <c r="BL85" s="57" t="n">
        <f aca="false">(1-EXP(-r_stroke*F85*rr_stroke_prior*rr_asa_stroke*dt))</f>
        <v>0.031502388557262</v>
      </c>
      <c r="BM85" s="57" t="n">
        <f aca="false">(1-EXP(-r_ich*rr_asa_ich*dt))</f>
        <v>0.00102357767802375</v>
      </c>
      <c r="BN85" s="57" t="n">
        <f aca="false">(1-EXP(-r_mb*rr_asa_mb*dt))</f>
        <v>0.00951809672747972</v>
      </c>
      <c r="BO85" s="57" t="n">
        <f aca="false">(1-EXP(-r_mi*rr_asa_mi*dt))</f>
        <v>0.00213413516393479</v>
      </c>
      <c r="BP85" s="57" t="n">
        <f aca="false">(1-EXP(-r_tia*rr_asa_tia*dt))</f>
        <v>0.00312764565589152</v>
      </c>
      <c r="BQ85" s="57" t="n">
        <f aca="false">(1-EXP(-r_minor*rr_asa_minor*dt))</f>
        <v>0.0278181950466747</v>
      </c>
      <c r="BR85" s="57" t="n">
        <f aca="false">BK85*BL85</f>
        <v>6.43584910344276E-005</v>
      </c>
      <c r="BS85" s="57" t="n">
        <f aca="false">BK85*BM85</f>
        <v>2.09114031764254E-006</v>
      </c>
      <c r="BT85" s="57" t="n">
        <f aca="false">BK85*BN85</f>
        <v>1.94452030768031E-005</v>
      </c>
      <c r="BU85" s="57" t="n">
        <f aca="false">BK85*BO85</f>
        <v>4.35997792880667E-006</v>
      </c>
      <c r="BV85" s="57" t="n">
        <f aca="false">BK85*BP85</f>
        <v>6.38969183361048E-006</v>
      </c>
      <c r="BW85" s="57" t="n">
        <f aca="false">BK85*BQ85</f>
        <v>5.68317876357557E-005</v>
      </c>
      <c r="BX85" s="57" t="n">
        <f aca="false">BR85*f_stroke_fatal_recur</f>
        <v>2.39471509290002E-005</v>
      </c>
      <c r="BY85" s="57" t="n">
        <f aca="false">BR85*(1-f_stroke_fatal_recur)*f_stroke_major</f>
        <v>1.34569762551073E-005</v>
      </c>
      <c r="BZ85" s="57" t="n">
        <f aca="false">BR85*(1-f_stroke_fatal_recur)*(1-f_stroke_major)</f>
        <v>2.69543638503201E-005</v>
      </c>
      <c r="CA85" s="57" t="n">
        <f aca="false">BS85*(1-f_bleed_fatal)</f>
        <v>1.91548453096057E-006</v>
      </c>
      <c r="CB85" s="57" t="n">
        <f aca="false">BT85*(1-f_bleed_fatal)</f>
        <v>1.78118060183517E-005</v>
      </c>
      <c r="CC85" s="57" t="n">
        <f aca="false">BU85*f_mi_fatal</f>
        <v>5.27557329385607E-007</v>
      </c>
      <c r="CD85" s="57" t="n">
        <f aca="false">BU85-CC85</f>
        <v>3.83242059942107E-006</v>
      </c>
      <c r="CE85" s="57" t="n">
        <f aca="false">BK85-BR85-BS85-BT85-CC85</f>
        <v>0.00195654939488716</v>
      </c>
      <c r="CF85" s="19" t="n">
        <f aca="false">BX85*c_stroke_fatal+BY85*c_stroke_major+BZ85*c_stroke_minor+BS85*c_ich+BT85*c_major_bleed+CC85*c_mi_fatal+CD85*c_mi_nonfatal+BV85*c_tia+BW85*c_minor_bleed</f>
        <v>2.49414885349822</v>
      </c>
      <c r="CG85" s="57" t="n">
        <f aca="false">dt*(CD85*dec_mi+CB85*dec_major_bleed+BW85*dec_minor_bleed+BV85*dec_tia)</f>
        <v>8.78672556685673E-007</v>
      </c>
      <c r="CH85" s="57" t="n">
        <f aca="false">I85*BJ85+BX85+BS85-CA85+BT85-CB85+CC85</f>
        <v>0.000377197467749393</v>
      </c>
      <c r="CI85" s="57" t="n">
        <f aca="false">1-EXP(LN(1-E85)*dt)</f>
        <v>0.066597136787399</v>
      </c>
      <c r="CJ85" s="57" t="n">
        <f aca="false">J85*(1-CI85)</f>
        <v>0.0194280365965544</v>
      </c>
      <c r="CK85" s="57" t="n">
        <f aca="false">(1-EXP(-r_stroke*F85*rr_asa_stroke*dt))</f>
        <v>0.0144443298286564</v>
      </c>
      <c r="CL85" s="57" t="n">
        <f aca="false">(1-EXP(-r_ich*rr_asa_ich*dt))</f>
        <v>0.00102357767802375</v>
      </c>
      <c r="CM85" s="57" t="n">
        <f aca="false">(1-EXP(-r_mb*rr_asa_mb*dt))</f>
        <v>0.00951809672747972</v>
      </c>
      <c r="CN85" s="57" t="n">
        <f aca="false">(1-EXP(-r_mi*rr_asa_mi*dt))</f>
        <v>0.00213413516393479</v>
      </c>
      <c r="CO85" s="57" t="n">
        <f aca="false">(1-EXP(-r_tia*rr_asa_tia*dt))</f>
        <v>0.00312764565589152</v>
      </c>
      <c r="CP85" s="57" t="n">
        <f aca="false">(1-EXP(-r_minor*rr_asa_minor*dt))</f>
        <v>0.0278181950466747</v>
      </c>
      <c r="CQ85" s="57" t="n">
        <f aca="false">CJ85*CK85</f>
        <v>0.000280624968523839</v>
      </c>
      <c r="CR85" s="57" t="n">
        <f aca="false">CJ85*CL85</f>
        <v>1.98861045880615E-005</v>
      </c>
      <c r="CS85" s="57" t="n">
        <f aca="false">CJ85*CM85</f>
        <v>0.000184917931551021</v>
      </c>
      <c r="CT85" s="57" t="n">
        <f aca="false">CJ85*CN85</f>
        <v>4.14620560669187E-005</v>
      </c>
      <c r="CU85" s="57" t="n">
        <f aca="false">CJ85*CO85</f>
        <v>6.07640142637148E-005</v>
      </c>
      <c r="CV85" s="57" t="n">
        <f aca="false">CJ85*CP85</f>
        <v>0.000540452911416884</v>
      </c>
      <c r="CW85" s="57" t="n">
        <f aca="false">CQ85*f_stroke_fatal</f>
        <v>6.65081175401498E-005</v>
      </c>
      <c r="CX85" s="57" t="n">
        <f aca="false">CQ85*(1-f_stroke_fatal)*f_stroke_major</f>
        <v>7.13009113775684E-005</v>
      </c>
      <c r="CY85" s="57" t="n">
        <f aca="false">CQ85*(1-f_stroke_fatal)*(1-f_stroke_major)</f>
        <v>0.000142815939606121</v>
      </c>
      <c r="CZ85" s="57" t="n">
        <f aca="false">CR85*(1-f_bleed_fatal)</f>
        <v>1.82156718026643E-005</v>
      </c>
      <c r="DA85" s="57" t="n">
        <f aca="false">CS85*(1-f_bleed_fatal)</f>
        <v>0.000169384825300735</v>
      </c>
      <c r="DB85" s="57" t="n">
        <f aca="false">CT85*f_mi_fatal</f>
        <v>5.01690878409717E-006</v>
      </c>
      <c r="DC85" s="57" t="n">
        <f aca="false">CT85-DB85</f>
        <v>3.64451472828216E-005</v>
      </c>
      <c r="DD85" s="57" t="n">
        <f aca="false">CJ85-CQ85-CR85-CS85-DB85</f>
        <v>0.0189375906831074</v>
      </c>
      <c r="DE85" s="19" t="n">
        <f aca="false">CW85*c_stroke_fatal+CX85*c_stroke_major+CY85*c_stroke_minor+CR85*c_ich+CS85*c_major_bleed+DB85*c_mi_fatal+DC85*c_mi_nonfatal+CU85*c_tia+CV85*c_minor_bleed</f>
        <v>12.9845732624684</v>
      </c>
      <c r="DF85" s="57" t="n">
        <f aca="false">dt*(DC85*dec_mi+DA85*dec_major_bleed+CV85*dec_minor_bleed+CU85*dec_tia)</f>
        <v>8.35590716390061E-006</v>
      </c>
      <c r="DG85" s="57" t="n">
        <f aca="false">J85*CI85+CW85+CR85-CZ85+CS85-DA85+DB85</f>
        <v>0.00147489488402551</v>
      </c>
      <c r="DH85" s="57" t="n">
        <f aca="false">AG85</f>
        <v>0.026106851564854</v>
      </c>
      <c r="DI85" s="57" t="n">
        <f aca="false">AB85+AC85+BF85+BA85+BB85+BC85+CY85+CZ85</f>
        <v>0.00428284799592655</v>
      </c>
      <c r="DJ85" s="57" t="n">
        <f aca="false">AA85+AZ85+BY85+CX85+CE85+BZ85+CA85+CB85</f>
        <v>0.00217502161345823</v>
      </c>
      <c r="DK85" s="57" t="n">
        <f aca="false">AD85+DD85+DA85</f>
        <v>0.0193107241915941</v>
      </c>
      <c r="DL85" s="57" t="n">
        <f aca="false">K85+AJ85+BI85+CH85+DG85</f>
        <v>0.948124554634168</v>
      </c>
      <c r="DM85" s="58" t="n">
        <f aca="false">SUM(DH85:DL85)</f>
        <v>1</v>
      </c>
      <c r="DN85" s="19" t="n">
        <f aca="false">dt*(G85*Warfarin!$H$2+(H85+I85+J85)*c_aspirin)</f>
        <v>3.01266242887194</v>
      </c>
      <c r="DO85" s="19" t="n">
        <f aca="false">dt*(H85*c_lt_minor_stroke+I85*c_lt_major_stroke)</f>
        <v>28.3949818975346</v>
      </c>
      <c r="DP85" s="19" t="n">
        <f aca="false">AH85+BG85+CF85+DE85</f>
        <v>32.821193745896</v>
      </c>
      <c r="DQ85" s="19" t="n">
        <f aca="false">DN85+DO85+DP85</f>
        <v>64.2288380723024</v>
      </c>
      <c r="DR85" s="57" t="n">
        <f aca="false">dt*(G85*(u_af-dec_per_year_over_70*MAX(B85-ref_age,0))+H85*(u_minor_stroke-dec_per_year_over_70*MAX(B85-ref_age,0))+I85*(u_major_stroke-dec_per_year_over_70*MAX(B85-ref_age,0))+J85*(u_af-dec_per_year_over_70*MAX(B85-ref_age,0)))-AI85-BH85-CG85-DF85</f>
        <v>0.0109729906804965</v>
      </c>
      <c r="DS85" s="57" t="n">
        <f aca="false">dt*(G85+H85+I85+J85)</f>
        <v>0.0141139416831126</v>
      </c>
      <c r="DT85" s="19" t="n">
        <f aca="false">DQ85*C85</f>
        <v>47.8658451045885</v>
      </c>
      <c r="DU85" s="19" t="n">
        <f aca="false">DN85*C85</f>
        <v>2.24515400715279</v>
      </c>
      <c r="DV85" s="19" t="n">
        <f aca="false">DP85*C85</f>
        <v>24.4596387407827</v>
      </c>
      <c r="DW85" s="19" t="n">
        <f aca="false">DO85*C85</f>
        <v>21.1610523566531</v>
      </c>
      <c r="DX85" s="57" t="n">
        <f aca="false">DR85*C85</f>
        <v>0.00817750231843655</v>
      </c>
      <c r="DY85" s="57" t="n">
        <f aca="false">DS85*C85</f>
        <v>0.0105182619940682</v>
      </c>
      <c r="DZ85" s="57" t="n">
        <f aca="false">T85+AS85+BR85+CQ85</f>
        <v>0.000710003452134744</v>
      </c>
      <c r="EA85" s="57" t="n">
        <f aca="false">U85+AT85+BS85+CR85</f>
        <v>7.95141040177038E-005</v>
      </c>
      <c r="EB85" s="57" t="n">
        <f aca="false">V85+AU85+BT85+CS85</f>
        <v>0.000465155388171297</v>
      </c>
      <c r="EC85" s="57" t="n">
        <f aca="false">G85*dt*C85</f>
        <v>0.00531454348149229</v>
      </c>
    </row>
    <row r="86" customFormat="false" ht="15" hidden="false" customHeight="false" outlineLevel="0" collapsed="false">
      <c r="A86" s="8" t="n">
        <v>80</v>
      </c>
      <c r="B86" s="54" t="n">
        <f aca="false">start_age+A86*dt</f>
        <v>90</v>
      </c>
      <c r="C86" s="16" t="n">
        <f aca="false">(1+disc_rate)^-(A86*dt)</f>
        <v>0.742470418223773</v>
      </c>
      <c r="D86" s="55" t="n">
        <f aca="false">IF(A86*dt&gt;=wane_start,(1-wane_decay)^(A86*dt-wane_start),1)</f>
        <v>1</v>
      </c>
      <c r="E86" s="25" t="n">
        <f aca="false">MIN(p_nonvasc_death*MIN(EXP(gomp_int+gomp_slope*INT(B86)),1)/qx_ref,0.999)</f>
        <v>0.267515771053732</v>
      </c>
      <c r="F86" s="55" t="n">
        <f aca="false">rr_stroke_per_decade^((B86-ref_age)/10)</f>
        <v>2.25</v>
      </c>
      <c r="G86" s="57" t="n">
        <f aca="false">DH85</f>
        <v>0.026106851564854</v>
      </c>
      <c r="H86" s="57" t="n">
        <f aca="false">DI85</f>
        <v>0.00428284799592655</v>
      </c>
      <c r="I86" s="57" t="n">
        <f aca="false">DJ85</f>
        <v>0.00217502161345823</v>
      </c>
      <c r="J86" s="57" t="n">
        <f aca="false">DK85</f>
        <v>0.0193107241915941</v>
      </c>
      <c r="K86" s="57" t="n">
        <f aca="false">DL85</f>
        <v>0.948124554634168</v>
      </c>
      <c r="L86" s="57" t="n">
        <f aca="false">1-EXP(LN(1-E86)*dt)</f>
        <v>0.0748768055909398</v>
      </c>
      <c r="M86" s="57" t="n">
        <f aca="false">G86*(1-L86)</f>
        <v>0.0241520539156409</v>
      </c>
      <c r="N86" s="57" t="n">
        <f aca="false">IF(Warfarin!$B$2=1,EXP(LN(or_apx_stroke)*D86)*(1-EXP(-r_stroke*F86*dt))/(1-(1-EXP(-r_stroke*F86*dt))+EXP(LN(or_apx_stroke)*D86)*(1-EXP(-r_stroke*F86*dt))),(1-EXP(-r_stroke*F86*dt)))</f>
        <v>0.00903174388083627</v>
      </c>
      <c r="O86" s="57" t="n">
        <f aca="false">IF(Warfarin!$B$2=1,EXP(LN(or_apx_ich)*D86)*(1-EXP(-r_ich*dt))/(1-(1-EXP(-r_ich*dt))+EXP(LN(or_apx_ich)*D86)*(1-EXP(-r_ich*dt))),(1-EXP(-r_ich*dt)))</f>
        <v>0.0020060281549299</v>
      </c>
      <c r="P86" s="57" t="n">
        <f aca="false">IF(Warfarin!$B$2=1,EXP(LN(or_apx_mb)*D86)*(1-EXP(-r_mb*dt))/(1-(1-EXP(-r_mb*dt))+EXP(LN(or_apx_mb)*D86)*(1-EXP(-r_mb*dt))),(1-EXP(-r_mb*dt)))</f>
        <v>0.00835410477572107</v>
      </c>
      <c r="Q86" s="57" t="n">
        <f aca="false">IF(Warfarin!$B$2=1,EXP(LN(or_apx_mi)*D86)*(1-EXP(-r_mi*dt))/(1-(1-EXP(-r_mi*dt))+EXP(LN(or_apx_mi)*D86)*(1-EXP(-r_mi*dt))),(1-EXP(-r_mi*dt)))</f>
        <v>0.00150338686144691</v>
      </c>
      <c r="R86" s="57" t="n">
        <f aca="false">(1-EXP(-r_tia*dt))</f>
        <v>0.0020060281549299</v>
      </c>
      <c r="S86" s="57" t="n">
        <f aca="false">(1-EXP(-r_minor*dt))</f>
        <v>0.0437937690785545</v>
      </c>
      <c r="T86" s="57" t="n">
        <f aca="false">M86*N86</f>
        <v>0.000218135165162217</v>
      </c>
      <c r="U86" s="57" t="n">
        <f aca="false">M86*O86</f>
        <v>4.84497001541605E-005</v>
      </c>
      <c r="V86" s="57" t="n">
        <f aca="false">M86*P86</f>
        <v>0.000201768788960128</v>
      </c>
      <c r="W86" s="57" t="n">
        <f aca="false">M86*Q86</f>
        <v>3.63098805337319E-005</v>
      </c>
      <c r="X86" s="57" t="n">
        <f aca="false">M86*R86</f>
        <v>4.84497001541605E-005</v>
      </c>
      <c r="Y86" s="57" t="n">
        <f aca="false">M86*S86</f>
        <v>0.00105770947195437</v>
      </c>
      <c r="Z86" s="57" t="n">
        <f aca="false">T86*f_stroke_fatal</f>
        <v>5.16980341434455E-005</v>
      </c>
      <c r="AA86" s="57" t="n">
        <f aca="false">T86*(1-f_stroke_fatal)*f_stroke_major</f>
        <v>5.5423564629251E-005</v>
      </c>
      <c r="AB86" s="57" t="n">
        <f aca="false">T86*(1-f_stroke_fatal)*(1-f_stroke_major)</f>
        <v>0.000111013566389521</v>
      </c>
      <c r="AC86" s="57" t="n">
        <f aca="false">U86*(1-f_bleed_fatal)</f>
        <v>4.4379925341211E-005</v>
      </c>
      <c r="AD86" s="57" t="n">
        <f aca="false">V86*(1-f_bleed_fatal)</f>
        <v>0.000184820210687478</v>
      </c>
      <c r="AE86" s="57" t="n">
        <f aca="false">W86*f_mi_fatal</f>
        <v>4.39349554458156E-006</v>
      </c>
      <c r="AF86" s="57" t="n">
        <f aca="false">W86-AE86</f>
        <v>3.19163849891503E-005</v>
      </c>
      <c r="AG86" s="57" t="n">
        <f aca="false">M86-T86-U86-V86-AE86</f>
        <v>0.0236793067658198</v>
      </c>
      <c r="AH86" s="19" t="n">
        <f aca="false">Z86*c_stroke_fatal+AA86*c_stroke_major+AB86*c_stroke_minor+U86*c_ich+V86*c_major_bleed+AE86*c_mi_fatal+AF86*c_mi_nonfatal+X86*c_tia+Y86*c_minor_bleed</f>
        <v>11.3491839782639</v>
      </c>
      <c r="AI86" s="57" t="n">
        <f aca="false">dt*(AF86*dec_mi+AD86*dec_major_bleed+Y86*dec_minor_bleed+X86*dec_tia)</f>
        <v>9.93338743954429E-006</v>
      </c>
      <c r="AJ86" s="57" t="n">
        <f aca="false">G86*L86+Z86+U86-AC86+V86-AD86+AE86</f>
        <v>0.00203190753198672</v>
      </c>
      <c r="AK86" s="57" t="n">
        <f aca="false">1-EXP(LN(1-E86)*hr_death_prior_stroke*dt)</f>
        <v>0.16389848558531</v>
      </c>
      <c r="AL86" s="57" t="n">
        <f aca="false">H86*(1-AK86)</f>
        <v>0.00358089569540211</v>
      </c>
      <c r="AM86" s="57" t="n">
        <f aca="false">(1-EXP(-r_stroke*F86*rr_stroke_prior*rr_asa_stroke*dt))</f>
        <v>0.0318181796697843</v>
      </c>
      <c r="AN86" s="57" t="n">
        <f aca="false">(1-EXP(-r_ich*rr_asa_ich*dt))</f>
        <v>0.00102357767802375</v>
      </c>
      <c r="AO86" s="57" t="n">
        <f aca="false">(1-EXP(-r_mb*rr_asa_mb*dt))</f>
        <v>0.00951809672747972</v>
      </c>
      <c r="AP86" s="57" t="n">
        <f aca="false">(1-EXP(-r_mi*rr_asa_mi*dt))</f>
        <v>0.00213413516393479</v>
      </c>
      <c r="AQ86" s="57" t="n">
        <f aca="false">(1-EXP(-r_tia*rr_asa_tia*dt))</f>
        <v>0.00312764565589152</v>
      </c>
      <c r="AR86" s="57" t="n">
        <f aca="false">(1-EXP(-r_minor*rr_asa_minor*dt))</f>
        <v>0.0278181950466747</v>
      </c>
      <c r="AS86" s="57" t="n">
        <f aca="false">AL86*AM86</f>
        <v>0.000113937582615062</v>
      </c>
      <c r="AT86" s="57" t="n">
        <f aca="false">AL86*AN86</f>
        <v>3.66532490114492E-006</v>
      </c>
      <c r="AU86" s="57" t="n">
        <f aca="false">AL86*AO86</f>
        <v>3.40833115998531E-005</v>
      </c>
      <c r="AV86" s="57" t="n">
        <f aca="false">AL86*AP86</f>
        <v>7.64211542194038E-006</v>
      </c>
      <c r="AW86" s="57" t="n">
        <f aca="false">AL86*AQ86</f>
        <v>1.11997728659251E-005</v>
      </c>
      <c r="AX86" s="57" t="n">
        <f aca="false">AL86*AR86</f>
        <v>9.96140548964938E-005</v>
      </c>
      <c r="AY86" s="57" t="n">
        <f aca="false">AS86*f_stroke_fatal_recur</f>
        <v>4.23950351152383E-005</v>
      </c>
      <c r="AZ86" s="57" t="n">
        <f aca="false">AS86*(1-f_stroke_fatal_recur)*f_stroke_major</f>
        <v>2.38236683174412E-005</v>
      </c>
      <c r="BA86" s="57" t="n">
        <f aca="false">AS86*(1-f_stroke_fatal_recur)*(1-f_stroke_major)</f>
        <v>4.77188791823821E-005</v>
      </c>
      <c r="BB86" s="57" t="n">
        <f aca="false">AT86*(1-f_bleed_fatal)</f>
        <v>3.35743760944875E-006</v>
      </c>
      <c r="BC86" s="57" t="n">
        <f aca="false">AU86*(1-f_bleed_fatal)</f>
        <v>3.12203134254654E-005</v>
      </c>
      <c r="BD86" s="57" t="n">
        <f aca="false">AV86*f_mi_fatal</f>
        <v>9.24695966054785E-007</v>
      </c>
      <c r="BE86" s="57" t="n">
        <f aca="false">AV86-BD86</f>
        <v>6.71741945588559E-006</v>
      </c>
      <c r="BF86" s="57" t="n">
        <f aca="false">AL86-AS86-AT86-AU86-BD86</f>
        <v>0.00342828478032</v>
      </c>
      <c r="BG86" s="19" t="n">
        <f aca="false">AY86*c_stroke_fatal+AZ86*c_stroke_major+BA86*c_stroke_minor+AT86*c_ich+AU86*c_major_bleed+BD86*c_mi_fatal+BE86*c_mi_nonfatal+AW86*c_tia+AX86*c_minor_bleed</f>
        <v>4.41070316998948</v>
      </c>
      <c r="BH86" s="57" t="n">
        <f aca="false">dt*(BE86*dec_mi+BC86*dec_major_bleed+AX86*dec_minor_bleed+AW86*dec_tia)</f>
        <v>1.5401263964933E-006</v>
      </c>
      <c r="BI86" s="57" t="n">
        <f aca="false">H86*AK86+AY86+AT86-BB86+AU86-BC86+BD86</f>
        <v>0.000748442917071817</v>
      </c>
      <c r="BJ86" s="57" t="n">
        <f aca="false">1-EXP(LN(1-E86)*hr_death_prior_stroke*dt)</f>
        <v>0.16389848558531</v>
      </c>
      <c r="BK86" s="57" t="n">
        <f aca="false">I86*(1-BJ86)</f>
        <v>0.00181853886489711</v>
      </c>
      <c r="BL86" s="57" t="n">
        <f aca="false">(1-EXP(-r_stroke*F86*rr_stroke_prior*rr_asa_stroke*dt))</f>
        <v>0.0318181796697843</v>
      </c>
      <c r="BM86" s="57" t="n">
        <f aca="false">(1-EXP(-r_ich*rr_asa_ich*dt))</f>
        <v>0.00102357767802375</v>
      </c>
      <c r="BN86" s="57" t="n">
        <f aca="false">(1-EXP(-r_mb*rr_asa_mb*dt))</f>
        <v>0.00951809672747972</v>
      </c>
      <c r="BO86" s="57" t="n">
        <f aca="false">(1-EXP(-r_mi*rr_asa_mi*dt))</f>
        <v>0.00213413516393479</v>
      </c>
      <c r="BP86" s="57" t="n">
        <f aca="false">(1-EXP(-r_tia*rr_asa_tia*dt))</f>
        <v>0.00312764565589152</v>
      </c>
      <c r="BQ86" s="57" t="n">
        <f aca="false">(1-EXP(-r_minor*rr_asa_minor*dt))</f>
        <v>0.0278181950466747</v>
      </c>
      <c r="BR86" s="57" t="n">
        <f aca="false">BK86*BL86</f>
        <v>5.78625963397819E-005</v>
      </c>
      <c r="BS86" s="57" t="n">
        <f aca="false">BK86*BM86</f>
        <v>1.86141578872732E-006</v>
      </c>
      <c r="BT86" s="57" t="n">
        <f aca="false">BK86*BN86</f>
        <v>1.73090288187719E-005</v>
      </c>
      <c r="BU86" s="57" t="n">
        <f aca="false">BK86*BO86</f>
        <v>3.88100773855899E-006</v>
      </c>
      <c r="BV86" s="57" t="n">
        <f aca="false">BK86*BP86</f>
        <v>5.68774518086535E-006</v>
      </c>
      <c r="BW86" s="57" t="n">
        <f aca="false">BK86*BQ86</f>
        <v>5.05884688436663E-005</v>
      </c>
      <c r="BX86" s="57" t="n">
        <f aca="false">BR86*f_stroke_fatal_recur</f>
        <v>2.15300934720694E-005</v>
      </c>
      <c r="BY86" s="57" t="n">
        <f aca="false">BR86*(1-f_stroke_fatal_recur)*f_stroke_major</f>
        <v>1.20987234549482E-005</v>
      </c>
      <c r="BZ86" s="57" t="n">
        <f aca="false">BR86*(1-f_stroke_fatal_recur)*(1-f_stroke_major)</f>
        <v>2.42337794127642E-005</v>
      </c>
      <c r="CA86" s="57" t="n">
        <f aca="false">BS86*(1-f_bleed_fatal)</f>
        <v>1.70505686247423E-006</v>
      </c>
      <c r="CB86" s="57" t="n">
        <f aca="false">BT86*(1-f_bleed_fatal)</f>
        <v>1.5855070397995E-005</v>
      </c>
      <c r="CC86" s="57" t="n">
        <f aca="false">BU86*f_mi_fatal</f>
        <v>4.69601936365637E-007</v>
      </c>
      <c r="CD86" s="57" t="n">
        <f aca="false">BU86-CC86</f>
        <v>3.41140580219335E-006</v>
      </c>
      <c r="CE86" s="57" t="n">
        <f aca="false">BK86-BR86-BS86-BT86-CC86</f>
        <v>0.00174103622201346</v>
      </c>
      <c r="CF86" s="19" t="n">
        <f aca="false">BX86*c_stroke_fatal+BY86*c_stroke_major+BZ86*c_stroke_minor+BS86*c_ich+BT86*c_major_bleed+CC86*c_mi_fatal+CD86*c_mi_nonfatal+BV86*c_tia+BW86*c_minor_bleed</f>
        <v>2.23995218471452</v>
      </c>
      <c r="CG86" s="57" t="n">
        <f aca="false">dt*(CD86*dec_mi+CB86*dec_major_bleed+BW86*dec_minor_bleed+BV86*dec_tia)</f>
        <v>7.82145012621626E-007</v>
      </c>
      <c r="CH86" s="57" t="n">
        <f aca="false">I86*BJ86+BX86+BS86-CA86+BT86-CB86+CC86</f>
        <v>0.000380092761316586</v>
      </c>
      <c r="CI86" s="57" t="n">
        <f aca="false">1-EXP(LN(1-E86)*dt)</f>
        <v>0.0748768055909398</v>
      </c>
      <c r="CJ86" s="57" t="n">
        <f aca="false">J86*(1-CI86)</f>
        <v>0.0178647988504798</v>
      </c>
      <c r="CK86" s="57" t="n">
        <f aca="false">(1-EXP(-r_stroke*F86*rr_asa_stroke*dt))</f>
        <v>0.0145904124166851</v>
      </c>
      <c r="CL86" s="57" t="n">
        <f aca="false">(1-EXP(-r_ich*rr_asa_ich*dt))</f>
        <v>0.00102357767802375</v>
      </c>
      <c r="CM86" s="57" t="n">
        <f aca="false">(1-EXP(-r_mb*rr_asa_mb*dt))</f>
        <v>0.00951809672747972</v>
      </c>
      <c r="CN86" s="57" t="n">
        <f aca="false">(1-EXP(-r_mi*rr_asa_mi*dt))</f>
        <v>0.00213413516393479</v>
      </c>
      <c r="CO86" s="57" t="n">
        <f aca="false">(1-EXP(-r_tia*rr_asa_tia*dt))</f>
        <v>0.00312764565589152</v>
      </c>
      <c r="CP86" s="57" t="n">
        <f aca="false">(1-EXP(-r_minor*rr_asa_minor*dt))</f>
        <v>0.0278181950466747</v>
      </c>
      <c r="CQ86" s="57" t="n">
        <f aca="false">CJ86*CK86</f>
        <v>0.000260654782969623</v>
      </c>
      <c r="CR86" s="57" t="n">
        <f aca="false">CJ86*CL86</f>
        <v>1.82860093257354E-005</v>
      </c>
      <c r="CS86" s="57" t="n">
        <f aca="false">CJ86*CM86</f>
        <v>0.000170038883475836</v>
      </c>
      <c r="CT86" s="57" t="n">
        <f aca="false">CJ86*CN86</f>
        <v>3.81258954234309E-005</v>
      </c>
      <c r="CU86" s="57" t="n">
        <f aca="false">CJ86*CO86</f>
        <v>5.58747605180791E-005</v>
      </c>
      <c r="CV86" s="57" t="n">
        <f aca="false">CJ86*CP86</f>
        <v>0.000496966458892258</v>
      </c>
      <c r="CW86" s="57" t="n">
        <f aca="false">CQ86*f_stroke_fatal</f>
        <v>6.17751835638007E-005</v>
      </c>
      <c r="CX86" s="57" t="n">
        <f aca="false">CQ86*(1-f_stroke_fatal)*f_stroke_major</f>
        <v>6.62269066021389E-005</v>
      </c>
      <c r="CY86" s="57" t="n">
        <f aca="false">CQ86*(1-f_stroke_fatal)*(1-f_stroke_major)</f>
        <v>0.000132652692803684</v>
      </c>
      <c r="CZ86" s="57" t="n">
        <f aca="false">CR86*(1-f_bleed_fatal)</f>
        <v>1.67499845423737E-005</v>
      </c>
      <c r="DA86" s="57" t="n">
        <f aca="false">CS86*(1-f_bleed_fatal)</f>
        <v>0.000155755617263865</v>
      </c>
      <c r="DB86" s="57" t="n">
        <f aca="false">CT86*f_mi_fatal</f>
        <v>4.61323334623513E-006</v>
      </c>
      <c r="DC86" s="57" t="n">
        <f aca="false">CT86-DB86</f>
        <v>3.35126620771957E-005</v>
      </c>
      <c r="DD86" s="57" t="n">
        <f aca="false">CJ86-CQ86-CR86-CS86-DB86</f>
        <v>0.0174112059413624</v>
      </c>
      <c r="DE86" s="19" t="n">
        <f aca="false">CW86*c_stroke_fatal+CX86*c_stroke_major+CY86*c_stroke_minor+CR86*c_ich+CS86*c_major_bleed+DB86*c_mi_fatal+DC86*c_mi_nonfatal+CU86*c_tia+CV86*c_minor_bleed</f>
        <v>12.036219350571</v>
      </c>
      <c r="DF86" s="57" t="n">
        <f aca="false">dt*(DC86*dec_mi+DA86*dec_major_bleed+CV86*dec_minor_bleed+CU86*dec_tia)</f>
        <v>7.68356596172164E-006</v>
      </c>
      <c r="DG86" s="57" t="n">
        <f aca="false">J86*CI86+CW86+CR86-CZ86+CS86-DA86+DB86</f>
        <v>0.00152813304901962</v>
      </c>
      <c r="DH86" s="57" t="n">
        <f aca="false">AG86</f>
        <v>0.0236793067658198</v>
      </c>
      <c r="DI86" s="57" t="n">
        <f aca="false">AB86+AC86+BF86+BA86+BB86+BC86+CY86+CZ86</f>
        <v>0.00381537757961408</v>
      </c>
      <c r="DJ86" s="57" t="n">
        <f aca="false">AA86+AZ86+BY86+CX86+CE86+BZ86+CA86+CB86</f>
        <v>0.00194040299169048</v>
      </c>
      <c r="DK86" s="57" t="n">
        <f aca="false">AD86+DD86+DA86</f>
        <v>0.0177517817693137</v>
      </c>
      <c r="DL86" s="57" t="n">
        <f aca="false">K86+AJ86+BI86+CH86+DG86</f>
        <v>0.952813130893563</v>
      </c>
      <c r="DM86" s="58" t="n">
        <f aca="false">SUM(DH86:DL86)</f>
        <v>1</v>
      </c>
      <c r="DN86" s="19" t="n">
        <f aca="false">dt*(G86*Warfarin!$H$2+(H86+I86+J86)*c_aspirin)</f>
        <v>2.75925274883944</v>
      </c>
      <c r="DO86" s="19" t="n">
        <f aca="false">dt*(H86*c_lt_minor_stroke+I86*c_lt_major_stroke)</f>
        <v>25.7779123818504</v>
      </c>
      <c r="DP86" s="19" t="n">
        <f aca="false">AH86+BG86+CF86+DE86</f>
        <v>30.0360586835389</v>
      </c>
      <c r="DQ86" s="19" t="n">
        <f aca="false">DN86+DO86+DP86</f>
        <v>58.5732238142287</v>
      </c>
      <c r="DR86" s="57" t="n">
        <f aca="false">dt*(G86*(u_af-dec_per_year_over_70*MAX(B86-ref_age,0))+H86*(u_minor_stroke-dec_per_year_over_70*MAX(B86-ref_age,0))+I86*(u_major_stroke-dec_per_year_over_70*MAX(B86-ref_age,0))+J86*(u_af-dec_per_year_over_70*MAX(B86-ref_age,0)))-AI86-BH86-CG86-DF86</f>
        <v>0.0100857875164852</v>
      </c>
      <c r="DS86" s="57" t="n">
        <f aca="false">dt*(G86+H86+I86+J86)</f>
        <v>0.0129688613414582</v>
      </c>
      <c r="DT86" s="19" t="n">
        <f aca="false">DQ86*C86</f>
        <v>43.488885982065</v>
      </c>
      <c r="DU86" s="19" t="n">
        <f aca="false">DN86*C86</f>
        <v>2.04866354241591</v>
      </c>
      <c r="DV86" s="19" t="n">
        <f aca="false">DP86*C86</f>
        <v>22.3008850525609</v>
      </c>
      <c r="DW86" s="19" t="n">
        <f aca="false">DO86*C86</f>
        <v>19.1393373870882</v>
      </c>
      <c r="DX86" s="57" t="n">
        <f aca="false">DR86*C86</f>
        <v>0.00748839887548085</v>
      </c>
      <c r="DY86" s="57" t="n">
        <f aca="false">DS86*C86</f>
        <v>0.0096289959040786</v>
      </c>
      <c r="DZ86" s="57" t="n">
        <f aca="false">T86+AS86+BR86+CQ86</f>
        <v>0.000650590127086684</v>
      </c>
      <c r="EA86" s="57" t="n">
        <f aca="false">U86+AT86+BS86+CR86</f>
        <v>7.22624501697681E-005</v>
      </c>
      <c r="EB86" s="57" t="n">
        <f aca="false">V86+AU86+BT86+CS86</f>
        <v>0.000423200012854589</v>
      </c>
      <c r="EC86" s="57" t="n">
        <f aca="false">G86*dt*C86</f>
        <v>0.00484589124996577</v>
      </c>
    </row>
    <row r="87" customFormat="false" ht="15" hidden="false" customHeight="false" outlineLevel="0" collapsed="false">
      <c r="A87" s="8" t="n">
        <v>81</v>
      </c>
      <c r="B87" s="54" t="n">
        <f aca="false">start_age+A87*dt</f>
        <v>90.25</v>
      </c>
      <c r="C87" s="16" t="n">
        <f aca="false">(1+disc_rate)^-(A87*dt)</f>
        <v>0.739711966512077</v>
      </c>
      <c r="D87" s="55" t="n">
        <f aca="false">IF(A87*dt&gt;=wane_start,(1-wane_decay)^(A87*dt-wane_start),1)</f>
        <v>1</v>
      </c>
      <c r="E87" s="25" t="n">
        <f aca="false">MIN(p_nonvasc_death*MIN(EXP(gomp_int+gomp_slope*INT(B87)),1)/qx_ref,0.999)</f>
        <v>0.267515771053732</v>
      </c>
      <c r="F87" s="55" t="n">
        <f aca="false">rr_stroke_per_decade^((B87-ref_age)/10)</f>
        <v>2.2729233990283</v>
      </c>
      <c r="G87" s="57" t="n">
        <f aca="false">DH86</f>
        <v>0.0236793067658198</v>
      </c>
      <c r="H87" s="57" t="n">
        <f aca="false">DI86</f>
        <v>0.00381537757961408</v>
      </c>
      <c r="I87" s="57" t="n">
        <f aca="false">DJ86</f>
        <v>0.00194040299169048</v>
      </c>
      <c r="J87" s="57" t="n">
        <f aca="false">DK86</f>
        <v>0.0177517817693137</v>
      </c>
      <c r="K87" s="57" t="n">
        <f aca="false">DL86</f>
        <v>0.952813130893563</v>
      </c>
      <c r="L87" s="57" t="n">
        <f aca="false">1-EXP(LN(1-E87)*dt)</f>
        <v>0.0748768055909398</v>
      </c>
      <c r="M87" s="57" t="n">
        <f aca="false">G87*(1-L87)</f>
        <v>0.0219062759165873</v>
      </c>
      <c r="N87" s="57" t="n">
        <f aca="false">IF(Warfarin!$B$2=1,EXP(LN(or_apx_stroke)*D87)*(1-EXP(-r_stroke*F87*dt))/(1-(1-EXP(-r_stroke*F87*dt))+EXP(LN(or_apx_stroke)*D87)*(1-EXP(-r_stroke*F87*dt))),(1-EXP(-r_stroke*F87*dt)))</f>
        <v>0.00912333986211711</v>
      </c>
      <c r="O87" s="57" t="n">
        <f aca="false">IF(Warfarin!$B$2=1,EXP(LN(or_apx_ich)*D87)*(1-EXP(-r_ich*dt))/(1-(1-EXP(-r_ich*dt))+EXP(LN(or_apx_ich)*D87)*(1-EXP(-r_ich*dt))),(1-EXP(-r_ich*dt)))</f>
        <v>0.0020060281549299</v>
      </c>
      <c r="P87" s="57" t="n">
        <f aca="false">IF(Warfarin!$B$2=1,EXP(LN(or_apx_mb)*D87)*(1-EXP(-r_mb*dt))/(1-(1-EXP(-r_mb*dt))+EXP(LN(or_apx_mb)*D87)*(1-EXP(-r_mb*dt))),(1-EXP(-r_mb*dt)))</f>
        <v>0.00835410477572107</v>
      </c>
      <c r="Q87" s="57" t="n">
        <f aca="false">IF(Warfarin!$B$2=1,EXP(LN(or_apx_mi)*D87)*(1-EXP(-r_mi*dt))/(1-(1-EXP(-r_mi*dt))+EXP(LN(or_apx_mi)*D87)*(1-EXP(-r_mi*dt))),(1-EXP(-r_mi*dt)))</f>
        <v>0.00150338686144691</v>
      </c>
      <c r="R87" s="57" t="n">
        <f aca="false">(1-EXP(-r_tia*dt))</f>
        <v>0.0020060281549299</v>
      </c>
      <c r="S87" s="57" t="n">
        <f aca="false">(1-EXP(-r_minor*dt))</f>
        <v>0.0437937690785545</v>
      </c>
      <c r="T87" s="57" t="n">
        <f aca="false">M87*N87</f>
        <v>0.000199858400300337</v>
      </c>
      <c r="U87" s="57" t="n">
        <f aca="false">M87*O87</f>
        <v>4.39446062583368E-005</v>
      </c>
      <c r="V87" s="57" t="n">
        <f aca="false">M87*P87</f>
        <v>0.000183007324253025</v>
      </c>
      <c r="W87" s="57" t="n">
        <f aca="false">M87*Q87</f>
        <v>3.29336073962282E-005</v>
      </c>
      <c r="X87" s="57" t="n">
        <f aca="false">M87*R87</f>
        <v>4.39446062583368E-005</v>
      </c>
      <c r="Y87" s="57" t="n">
        <f aca="false">M87*S87</f>
        <v>0.000959358388862123</v>
      </c>
      <c r="Z87" s="57" t="n">
        <f aca="false">T87*f_stroke_fatal</f>
        <v>4.73664408711798E-005</v>
      </c>
      <c r="AA87" s="57" t="n">
        <f aca="false">T87*(1-f_stroke_fatal)*f_stroke_major</f>
        <v>5.07798224899093E-005</v>
      </c>
      <c r="AB87" s="57" t="n">
        <f aca="false">T87*(1-f_stroke_fatal)*(1-f_stroke_major)</f>
        <v>0.000101712136939248</v>
      </c>
      <c r="AC87" s="57" t="n">
        <f aca="false">U87*(1-f_bleed_fatal)</f>
        <v>4.02532593326365E-005</v>
      </c>
      <c r="AD87" s="57" t="n">
        <f aca="false">V87*(1-f_bleed_fatal)</f>
        <v>0.000167634709015771</v>
      </c>
      <c r="AE87" s="57" t="n">
        <f aca="false">W87*f_mi_fatal</f>
        <v>3.98496649494361E-006</v>
      </c>
      <c r="AF87" s="57" t="n">
        <f aca="false">W87-AE87</f>
        <v>2.89486409012846E-005</v>
      </c>
      <c r="AG87" s="57" t="n">
        <f aca="false">M87-T87-U87-V87-AE87</f>
        <v>0.0214754806192807</v>
      </c>
      <c r="AH87" s="19" t="n">
        <f aca="false">Z87*c_stroke_fatal+AA87*c_stroke_major+AB87*c_stroke_minor+U87*c_ich+V87*c_major_bleed+AE87*c_mi_fatal+AF87*c_mi_nonfatal+X87*c_tia+Y87*c_minor_bleed</f>
        <v>10.3680168639978</v>
      </c>
      <c r="AI87" s="57" t="n">
        <f aca="false">dt*(AF87*dec_mi+AD87*dec_major_bleed+Y87*dec_minor_bleed+X87*dec_tia)</f>
        <v>9.00973171048196E-006</v>
      </c>
      <c r="AJ87" s="57" t="n">
        <f aca="false">G87*L87+Z87+U87-AC87+V87-AD87+AE87</f>
        <v>0.00184344621876159</v>
      </c>
      <c r="AK87" s="57" t="n">
        <f aca="false">1-EXP(LN(1-E87)*hr_death_prior_stroke*dt)</f>
        <v>0.16389848558531</v>
      </c>
      <c r="AL87" s="57" t="n">
        <f aca="false">H87*(1-AK87)</f>
        <v>0.00319004297237919</v>
      </c>
      <c r="AM87" s="57" t="n">
        <f aca="false">(1-EXP(-r_stroke*F87*rr_stroke_prior*rr_asa_stroke*dt))</f>
        <v>0.0321370835715993</v>
      </c>
      <c r="AN87" s="57" t="n">
        <f aca="false">(1-EXP(-r_ich*rr_asa_ich*dt))</f>
        <v>0.00102357767802375</v>
      </c>
      <c r="AO87" s="57" t="n">
        <f aca="false">(1-EXP(-r_mb*rr_asa_mb*dt))</f>
        <v>0.00951809672747972</v>
      </c>
      <c r="AP87" s="57" t="n">
        <f aca="false">(1-EXP(-r_mi*rr_asa_mi*dt))</f>
        <v>0.00213413516393479</v>
      </c>
      <c r="AQ87" s="57" t="n">
        <f aca="false">(1-EXP(-r_tia*rr_asa_tia*dt))</f>
        <v>0.00312764565589152</v>
      </c>
      <c r="AR87" s="57" t="n">
        <f aca="false">(1-EXP(-r_minor*rr_asa_minor*dt))</f>
        <v>0.0278181950466747</v>
      </c>
      <c r="AS87" s="57" t="n">
        <f aca="false">AL87*AM87</f>
        <v>0.000102518677600343</v>
      </c>
      <c r="AT87" s="57" t="n">
        <f aca="false">AL87*AN87</f>
        <v>3.26525677846386E-006</v>
      </c>
      <c r="AU87" s="57" t="n">
        <f aca="false">AL87*AO87</f>
        <v>3.03631375759221E-005</v>
      </c>
      <c r="AV87" s="57" t="n">
        <f aca="false">AL87*AP87</f>
        <v>6.8079828818175E-006</v>
      </c>
      <c r="AW87" s="57" t="n">
        <f aca="false">AL87*AQ87</f>
        <v>9.97732404466905E-006</v>
      </c>
      <c r="AX87" s="57" t="n">
        <f aca="false">AL87*AR87</f>
        <v>8.87412376129183E-005</v>
      </c>
      <c r="AY87" s="57" t="n">
        <f aca="false">AS87*f_stroke_fatal_recur</f>
        <v>3.81461747483116E-005</v>
      </c>
      <c r="AZ87" s="57" t="n">
        <f aca="false">AS87*(1-f_stroke_fatal_recur)*f_stroke_major</f>
        <v>2.14360434497265E-005</v>
      </c>
      <c r="BA87" s="57" t="n">
        <f aca="false">AS87*(1-f_stroke_fatal_recur)*(1-f_stroke_major)</f>
        <v>4.29364594023049E-005</v>
      </c>
      <c r="BB87" s="57" t="n">
        <f aca="false">AT87*(1-f_bleed_fatal)</f>
        <v>2.9909752090729E-006</v>
      </c>
      <c r="BC87" s="57" t="n">
        <f aca="false">AU87*(1-f_bleed_fatal)</f>
        <v>2.78126340195446E-005</v>
      </c>
      <c r="BD87" s="57" t="n">
        <f aca="false">AV87*f_mi_fatal</f>
        <v>8.23765928699917E-007</v>
      </c>
      <c r="BE87" s="57" t="n">
        <f aca="false">AV87-BD87</f>
        <v>5.98421695311758E-006</v>
      </c>
      <c r="BF87" s="57" t="n">
        <f aca="false">AL87-AS87-AT87-AU87-BD87</f>
        <v>0.00305307213449576</v>
      </c>
      <c r="BG87" s="19" t="n">
        <f aca="false">AY87*c_stroke_fatal+AZ87*c_stroke_major+BA87*c_stroke_minor+AT87*c_ich+AU87*c_major_bleed+BD87*c_mi_fatal+BE87*c_mi_nonfatal+AW87*c_tia+AX87*c_minor_bleed</f>
        <v>3.96435397748733</v>
      </c>
      <c r="BH87" s="57" t="n">
        <f aca="false">dt*(BE87*dec_mi+BC87*dec_major_bleed+AX87*dec_minor_bleed+AW87*dec_tia)</f>
        <v>1.37202247862666E-006</v>
      </c>
      <c r="BI87" s="57" t="n">
        <f aca="false">H87*AK87+AY87+AT87-BB87+AU87-BC87+BD87</f>
        <v>0.000667129333037672</v>
      </c>
      <c r="BJ87" s="57" t="n">
        <f aca="false">1-EXP(LN(1-E87)*hr_death_prior_stroke*dt)</f>
        <v>0.16389848558531</v>
      </c>
      <c r="BK87" s="57" t="n">
        <f aca="false">I87*(1-BJ87)</f>
        <v>0.0016223738799272</v>
      </c>
      <c r="BL87" s="57" t="n">
        <f aca="false">(1-EXP(-r_stroke*F87*rr_stroke_prior*rr_asa_stroke*dt))</f>
        <v>0.0321370835715993</v>
      </c>
      <c r="BM87" s="57" t="n">
        <f aca="false">(1-EXP(-r_ich*rr_asa_ich*dt))</f>
        <v>0.00102357767802375</v>
      </c>
      <c r="BN87" s="57" t="n">
        <f aca="false">(1-EXP(-r_mb*rr_asa_mb*dt))</f>
        <v>0.00951809672747972</v>
      </c>
      <c r="BO87" s="57" t="n">
        <f aca="false">(1-EXP(-r_mi*rr_asa_mi*dt))</f>
        <v>0.00213413516393479</v>
      </c>
      <c r="BP87" s="57" t="n">
        <f aca="false">(1-EXP(-r_tia*rr_asa_tia*dt))</f>
        <v>0.00312764565589152</v>
      </c>
      <c r="BQ87" s="57" t="n">
        <f aca="false">(1-EXP(-r_minor*rr_asa_minor*dt))</f>
        <v>0.0278181950466747</v>
      </c>
      <c r="BR87" s="57" t="n">
        <f aca="false">BK87*BL87</f>
        <v>5.21383649636003E-005</v>
      </c>
      <c r="BS87" s="57" t="n">
        <f aca="false">BK87*BM87</f>
        <v>1.66062568890226E-006</v>
      </c>
      <c r="BT87" s="57" t="n">
        <f aca="false">BK87*BN87</f>
        <v>1.54419115172837E-005</v>
      </c>
      <c r="BU87" s="57" t="n">
        <f aca="false">BK87*BO87</f>
        <v>3.46236514620197E-006</v>
      </c>
      <c r="BV87" s="57" t="n">
        <f aca="false">BK87*BP87</f>
        <v>5.07421061778619E-006</v>
      </c>
      <c r="BW87" s="57" t="n">
        <f aca="false">BK87*BQ87</f>
        <v>4.51315130304454E-005</v>
      </c>
      <c r="BX87" s="57" t="n">
        <f aca="false">BR87*f_stroke_fatal_recur</f>
        <v>1.9400164219306E-005</v>
      </c>
      <c r="BY87" s="57" t="n">
        <f aca="false">BR87*(1-f_stroke_fatal_recur)*f_stroke_major</f>
        <v>1.090182084785E-005</v>
      </c>
      <c r="BZ87" s="57" t="n">
        <f aca="false">BR87*(1-f_stroke_fatal_recur)*(1-f_stroke_major)</f>
        <v>2.18363798964443E-005</v>
      </c>
      <c r="CA87" s="57" t="n">
        <f aca="false">BS87*(1-f_bleed_fatal)</f>
        <v>1.52113313103447E-006</v>
      </c>
      <c r="CB87" s="57" t="n">
        <f aca="false">BT87*(1-f_bleed_fatal)</f>
        <v>1.41447909498319E-005</v>
      </c>
      <c r="CC87" s="57" t="n">
        <f aca="false">BU87*f_mi_fatal</f>
        <v>4.18946182690438E-007</v>
      </c>
      <c r="CD87" s="57" t="n">
        <f aca="false">BU87-CC87</f>
        <v>3.04341896351153E-006</v>
      </c>
      <c r="CE87" s="57" t="n">
        <f aca="false">BK87-BR87-BS87-BT87-CC87</f>
        <v>0.00155271403157473</v>
      </c>
      <c r="CF87" s="19" t="n">
        <f aca="false">BX87*c_stroke_fatal+BY87*c_stroke_major+BZ87*c_stroke_minor+BS87*c_ich+BT87*c_major_bleed+CC87*c_mi_fatal+CD87*c_mi_nonfatal+BV87*c_tia+BW87*c_minor_bleed</f>
        <v>2.01616855934204</v>
      </c>
      <c r="CG87" s="57" t="n">
        <f aca="false">dt*(CD87*dec_mi+CB87*dec_major_bleed+BW87*dec_minor_bleed+BV87*dec_tia)</f>
        <v>6.9777537521281E-007</v>
      </c>
      <c r="CH87" s="57" t="n">
        <f aca="false">I87*BJ87+BX87+BS87-CA87+BT87-CB87+CC87</f>
        <v>0.000339284835290589</v>
      </c>
      <c r="CI87" s="57" t="n">
        <f aca="false">1-EXP(LN(1-E87)*dt)</f>
        <v>0.0748768055909398</v>
      </c>
      <c r="CJ87" s="57" t="n">
        <f aca="false">J87*(1-CI87)</f>
        <v>0.0164225850568801</v>
      </c>
      <c r="CK87" s="57" t="n">
        <f aca="false">(1-EXP(-r_stroke*F87*rr_asa_stroke*dt))</f>
        <v>0.0147379613351261</v>
      </c>
      <c r="CL87" s="57" t="n">
        <f aca="false">(1-EXP(-r_ich*rr_asa_ich*dt))</f>
        <v>0.00102357767802375</v>
      </c>
      <c r="CM87" s="57" t="n">
        <f aca="false">(1-EXP(-r_mb*rr_asa_mb*dt))</f>
        <v>0.00951809672747972</v>
      </c>
      <c r="CN87" s="57" t="n">
        <f aca="false">(1-EXP(-r_mi*rr_asa_mi*dt))</f>
        <v>0.00213413516393479</v>
      </c>
      <c r="CO87" s="57" t="n">
        <f aca="false">(1-EXP(-r_tia*rr_asa_tia*dt))</f>
        <v>0.00312764565589152</v>
      </c>
      <c r="CP87" s="57" t="n">
        <f aca="false">(1-EXP(-r_minor*rr_asa_minor*dt))</f>
        <v>0.0278181950466747</v>
      </c>
      <c r="CQ87" s="57" t="n">
        <f aca="false">CJ87*CK87</f>
        <v>0.000242035423591117</v>
      </c>
      <c r="CR87" s="57" t="n">
        <f aca="false">CJ87*CL87</f>
        <v>1.68097914796688E-005</v>
      </c>
      <c r="CS87" s="57" t="n">
        <f aca="false">CJ87*CM87</f>
        <v>0.000156311753086647</v>
      </c>
      <c r="CT87" s="57" t="n">
        <f aca="false">CJ87*CN87</f>
        <v>3.50480162525978E-005</v>
      </c>
      <c r="CU87" s="57" t="n">
        <f aca="false">CJ87*CO87</f>
        <v>5.13640268116599E-005</v>
      </c>
      <c r="CV87" s="57" t="n">
        <f aca="false">CJ87*CP87</f>
        <v>0.000456846674282895</v>
      </c>
      <c r="CW87" s="57" t="n">
        <f aca="false">CQ87*f_stroke_fatal</f>
        <v>5.73623953910948E-005</v>
      </c>
      <c r="CX87" s="57" t="n">
        <f aca="false">CQ87*(1-f_stroke_fatal)*f_stroke_major</f>
        <v>6.14961183906075E-005</v>
      </c>
      <c r="CY87" s="57" t="n">
        <f aca="false">CQ87*(1-f_stroke_fatal)*(1-f_stroke_major)</f>
        <v>0.000123176909809415</v>
      </c>
      <c r="CZ87" s="57" t="n">
        <f aca="false">CR87*(1-f_bleed_fatal)</f>
        <v>1.53977689953766E-005</v>
      </c>
      <c r="DA87" s="57" t="n">
        <f aca="false">CS87*(1-f_bleed_fatal)</f>
        <v>0.000143181565827369</v>
      </c>
      <c r="DB87" s="57" t="n">
        <f aca="false">CT87*f_mi_fatal</f>
        <v>4.24080996656433E-006</v>
      </c>
      <c r="DC87" s="57" t="n">
        <f aca="false">CT87-DB87</f>
        <v>3.08072062860334E-005</v>
      </c>
      <c r="DD87" s="57" t="n">
        <f aca="false">CJ87-CQ87-CR87-CS87-DB87</f>
        <v>0.0160031872787561</v>
      </c>
      <c r="DE87" s="19" t="n">
        <f aca="false">CW87*c_stroke_fatal+CX87*c_stroke_major+CY87*c_stroke_minor+CR87*c_ich+CS87*c_major_bleed+DB87*c_mi_fatal+DC87*c_mi_nonfatal+CU87*c_tia+CV87*c_minor_bleed</f>
        <v>11.1540721398894</v>
      </c>
      <c r="DF87" s="57" t="n">
        <f aca="false">dt*(DC87*dec_mi+DA87*dec_major_bleed+CV87*dec_minor_bleed+CU87*dec_tia)</f>
        <v>7.06327659228768E-006</v>
      </c>
      <c r="DG87" s="57" t="n">
        <f aca="false">J87*CI87+CW87+CR87-CZ87+CS87-DA87+DB87</f>
        <v>0.00140534212753492</v>
      </c>
      <c r="DH87" s="57" t="n">
        <f aca="false">AG87</f>
        <v>0.0214754806192807</v>
      </c>
      <c r="DI87" s="57" t="n">
        <f aca="false">AB87+AC87+BF87+BA87+BB87+BC87+CY87+CZ87</f>
        <v>0.00340735227820336</v>
      </c>
      <c r="DJ87" s="57" t="n">
        <f aca="false">AA87+AZ87+BY87+CX87+CE87+BZ87+CA87+CB87</f>
        <v>0.00173483014073013</v>
      </c>
      <c r="DK87" s="57" t="n">
        <f aca="false">AD87+DD87+DA87</f>
        <v>0.0163140035535992</v>
      </c>
      <c r="DL87" s="57" t="n">
        <f aca="false">K87+AJ87+BI87+CH87+DG87</f>
        <v>0.957068333408188</v>
      </c>
      <c r="DM87" s="58" t="n">
        <f aca="false">SUM(DH87:DL87)</f>
        <v>1</v>
      </c>
      <c r="DN87" s="19" t="n">
        <f aca="false">dt*(G87*Warfarin!$H$2+(H87+I87+J87)*c_aspirin)</f>
        <v>2.50400190587751</v>
      </c>
      <c r="DO87" s="19" t="n">
        <f aca="false">dt*(H87*c_lt_minor_stroke+I87*c_lt_major_stroke)</f>
        <v>22.982441993371</v>
      </c>
      <c r="DP87" s="19" t="n">
        <f aca="false">AH87+BG87+CF87+DE87</f>
        <v>27.5026115407166</v>
      </c>
      <c r="DQ87" s="19" t="n">
        <f aca="false">DN87+DO87+DP87</f>
        <v>52.989055439965</v>
      </c>
      <c r="DR87" s="57" t="n">
        <f aca="false">dt*(G87*(u_af-dec_per_year_over_70*MAX(B87-ref_age,0))+H87*(u_minor_stroke-dec_per_year_over_70*MAX(B87-ref_age,0))+I87*(u_major_stroke-dec_per_year_over_70*MAX(B87-ref_age,0))+J87*(u_af-dec_per_year_over_70*MAX(B87-ref_age,0)))-AI87-BH87-CG87-DF87</f>
        <v>0.00917910420493775</v>
      </c>
      <c r="DS87" s="57" t="n">
        <f aca="false">dt*(G87+H87+I87+J87)</f>
        <v>0.0117967172766095</v>
      </c>
      <c r="DT87" s="19" t="n">
        <f aca="false">DQ87*C87</f>
        <v>39.196638403114</v>
      </c>
      <c r="DU87" s="19" t="n">
        <f aca="false">DN87*C87</f>
        <v>1.85224017394664</v>
      </c>
      <c r="DV87" s="19" t="n">
        <f aca="false">DP87*C87</f>
        <v>20.3440108670012</v>
      </c>
      <c r="DW87" s="19" t="n">
        <f aca="false">DO87*C87</f>
        <v>17.0003873621662</v>
      </c>
      <c r="DX87" s="57" t="n">
        <f aca="false">DR87*C87</f>
        <v>0.00678989322225378</v>
      </c>
      <c r="DY87" s="57" t="n">
        <f aca="false">DS87*C87</f>
        <v>0.00872617293506783</v>
      </c>
      <c r="DZ87" s="57" t="n">
        <f aca="false">T87+AS87+BR87+CQ87</f>
        <v>0.000596550866455397</v>
      </c>
      <c r="EA87" s="57" t="n">
        <f aca="false">U87+AT87+BS87+CR87</f>
        <v>6.56802802053717E-005</v>
      </c>
      <c r="EB87" s="57" t="n">
        <f aca="false">V87+AU87+BT87+CS87</f>
        <v>0.000385124126432879</v>
      </c>
      <c r="EC87" s="57" t="n">
        <f aca="false">G87*dt*C87</f>
        <v>0.00437896664334683</v>
      </c>
    </row>
    <row r="88" customFormat="false" ht="15" hidden="false" customHeight="false" outlineLevel="0" collapsed="false">
      <c r="A88" s="8" t="n">
        <v>82</v>
      </c>
      <c r="B88" s="54" t="n">
        <f aca="false">start_age+A88*dt</f>
        <v>90.5</v>
      </c>
      <c r="C88" s="16" t="n">
        <f aca="false">(1+disc_rate)^-(A88*dt)</f>
        <v>0.736963763095343</v>
      </c>
      <c r="D88" s="55" t="n">
        <f aca="false">IF(A88*dt&gt;=wane_start,(1-wane_decay)^(A88*dt-wane_start),1)</f>
        <v>1</v>
      </c>
      <c r="E88" s="25" t="n">
        <f aca="false">MIN(p_nonvasc_death*MIN(EXP(gomp_int+gomp_slope*INT(B88)),1)/qx_ref,0.999)</f>
        <v>0.267515771053732</v>
      </c>
      <c r="F88" s="55" t="n">
        <f aca="false">rr_stroke_per_decade^((B88-ref_age)/10)</f>
        <v>2.29608034571127</v>
      </c>
      <c r="G88" s="57" t="n">
        <f aca="false">DH87</f>
        <v>0.0214754806192807</v>
      </c>
      <c r="H88" s="57" t="n">
        <f aca="false">DI87</f>
        <v>0.00340735227820336</v>
      </c>
      <c r="I88" s="57" t="n">
        <f aca="false">DJ87</f>
        <v>0.00173483014073013</v>
      </c>
      <c r="J88" s="57" t="n">
        <f aca="false">DK87</f>
        <v>0.0163140035535992</v>
      </c>
      <c r="K88" s="57" t="n">
        <f aca="false">DL87</f>
        <v>0.957068333408188</v>
      </c>
      <c r="L88" s="57" t="n">
        <f aca="false">1-EXP(LN(1-E88)*dt)</f>
        <v>0.0748768055909398</v>
      </c>
      <c r="M88" s="57" t="n">
        <f aca="false">G88*(1-L88)</f>
        <v>0.0198674652319788</v>
      </c>
      <c r="N88" s="57" t="n">
        <f aca="false">IF(Warfarin!$B$2=1,EXP(LN(or_apx_stroke)*D88)*(1-EXP(-r_stroke*F88*dt))/(1-(1-EXP(-r_stroke*F88*dt))+EXP(LN(or_apx_stroke)*D88)*(1-EXP(-r_stroke*F88*dt))),(1-EXP(-r_stroke*F88*dt)))</f>
        <v>0.00921586044338951</v>
      </c>
      <c r="O88" s="57" t="n">
        <f aca="false">IF(Warfarin!$B$2=1,EXP(LN(or_apx_ich)*D88)*(1-EXP(-r_ich*dt))/(1-(1-EXP(-r_ich*dt))+EXP(LN(or_apx_ich)*D88)*(1-EXP(-r_ich*dt))),(1-EXP(-r_ich*dt)))</f>
        <v>0.0020060281549299</v>
      </c>
      <c r="P88" s="57" t="n">
        <f aca="false">IF(Warfarin!$B$2=1,EXP(LN(or_apx_mb)*D88)*(1-EXP(-r_mb*dt))/(1-(1-EXP(-r_mb*dt))+EXP(LN(or_apx_mb)*D88)*(1-EXP(-r_mb*dt))),(1-EXP(-r_mb*dt)))</f>
        <v>0.00835410477572107</v>
      </c>
      <c r="Q88" s="57" t="n">
        <f aca="false">IF(Warfarin!$B$2=1,EXP(LN(or_apx_mi)*D88)*(1-EXP(-r_mi*dt))/(1-(1-EXP(-r_mi*dt))+EXP(LN(or_apx_mi)*D88)*(1-EXP(-r_mi*dt))),(1-EXP(-r_mi*dt)))</f>
        <v>0.00150338686144691</v>
      </c>
      <c r="R88" s="57" t="n">
        <f aca="false">(1-EXP(-r_tia*dt))</f>
        <v>0.0020060281549299</v>
      </c>
      <c r="S88" s="57" t="n">
        <f aca="false">(1-EXP(-r_minor*dt))</f>
        <v>0.0437937690785545</v>
      </c>
      <c r="T88" s="57" t="n">
        <f aca="false">M88*N88</f>
        <v>0.00018309578694181</v>
      </c>
      <c r="U88" s="57" t="n">
        <f aca="false">M88*O88</f>
        <v>3.98546946224402E-005</v>
      </c>
      <c r="V88" s="57" t="n">
        <f aca="false">M88*P88</f>
        <v>0.000165974886175946</v>
      </c>
      <c r="W88" s="57" t="n">
        <f aca="false">M88*Q88</f>
        <v>2.98684862000102E-005</v>
      </c>
      <c r="X88" s="57" t="n">
        <f aca="false">M88*R88</f>
        <v>3.98546946224402E-005</v>
      </c>
      <c r="Y88" s="57" t="n">
        <f aca="false">M88*S88</f>
        <v>0.000870071184545488</v>
      </c>
      <c r="Z88" s="57" t="n">
        <f aca="false">T88*f_stroke_fatal</f>
        <v>4.33937015052089E-005</v>
      </c>
      <c r="AA88" s="57" t="n">
        <f aca="false">T88*(1-f_stroke_fatal)*f_stroke_major</f>
        <v>4.65207944503881E-005</v>
      </c>
      <c r="AB88" s="57" t="n">
        <f aca="false">T88*(1-f_stroke_fatal)*(1-f_stroke_major)</f>
        <v>9.31812909862127E-005</v>
      </c>
      <c r="AC88" s="57" t="n">
        <f aca="false">U88*(1-f_bleed_fatal)</f>
        <v>3.65069002741553E-005</v>
      </c>
      <c r="AD88" s="57" t="n">
        <f aca="false">V88*(1-f_bleed_fatal)</f>
        <v>0.000152032995737167</v>
      </c>
      <c r="AE88" s="57" t="n">
        <f aca="false">W88*f_mi_fatal</f>
        <v>3.61408683020123E-006</v>
      </c>
      <c r="AF88" s="57" t="n">
        <f aca="false">W88-AE88</f>
        <v>2.62543993698089E-005</v>
      </c>
      <c r="AG88" s="57" t="n">
        <f aca="false">M88-T88-U88-V88-AE88</f>
        <v>0.0194749257774084</v>
      </c>
      <c r="AH88" s="19" t="n">
        <f aca="false">Z88*c_stroke_fatal+AA88*c_stroke_major+AB88*c_stroke_minor+U88*c_ich+V88*c_major_bleed+AE88*c_mi_fatal+AF88*c_mi_nonfatal+X88*c_tia+Y88*c_minor_bleed</f>
        <v>9.4709838372203</v>
      </c>
      <c r="AI88" s="57" t="n">
        <f aca="false">dt*(AF88*dec_mi+AD88*dec_major_bleed+Y88*dec_minor_bleed+X88*dec_tia)</f>
        <v>8.17119861856204E-006</v>
      </c>
      <c r="AJ88" s="57" t="n">
        <f aca="false">G88*L88+Z88+U88-AC88+V88-AD88+AE88</f>
        <v>0.00167231286042435</v>
      </c>
      <c r="AK88" s="57" t="n">
        <f aca="false">1-EXP(LN(1-E88)*hr_death_prior_stroke*dt)</f>
        <v>0.16389848558531</v>
      </c>
      <c r="AL88" s="57" t="n">
        <f aca="false">H88*(1-AK88)</f>
        <v>0.00284889239995018</v>
      </c>
      <c r="AM88" s="57" t="n">
        <f aca="false">(1-EXP(-r_stroke*F88*rr_stroke_prior*rr_asa_stroke*dt))</f>
        <v>0.0324591298703693</v>
      </c>
      <c r="AN88" s="57" t="n">
        <f aca="false">(1-EXP(-r_ich*rr_asa_ich*dt))</f>
        <v>0.00102357767802375</v>
      </c>
      <c r="AO88" s="57" t="n">
        <f aca="false">(1-EXP(-r_mb*rr_asa_mb*dt))</f>
        <v>0.00951809672747972</v>
      </c>
      <c r="AP88" s="57" t="n">
        <f aca="false">(1-EXP(-r_mi*rr_asa_mi*dt))</f>
        <v>0.00213413516393479</v>
      </c>
      <c r="AQ88" s="57" t="n">
        <f aca="false">(1-EXP(-r_tia*rr_asa_tia*dt))</f>
        <v>0.00312764565589152</v>
      </c>
      <c r="AR88" s="57" t="n">
        <f aca="false">(1-EXP(-r_minor*rr_asa_minor*dt))</f>
        <v>0.0278181950466747</v>
      </c>
      <c r="AS88" s="57" t="n">
        <f aca="false">AL88*AM88</f>
        <v>9.24725683966907E-005</v>
      </c>
      <c r="AT88" s="57" t="n">
        <f aca="false">AL88*AN88</f>
        <v>2.9160626676805E-006</v>
      </c>
      <c r="AU88" s="57" t="n">
        <f aca="false">AL88*AO88</f>
        <v>2.71160334289076E-005</v>
      </c>
      <c r="AV88" s="57" t="n">
        <f aca="false">AL88*AP88</f>
        <v>6.07992144900025E-006</v>
      </c>
      <c r="AW88" s="57" t="n">
        <f aca="false">AL88*AQ88</f>
        <v>8.91032593880653E-006</v>
      </c>
      <c r="AX88" s="57" t="n">
        <f aca="false">AL88*AR88</f>
        <v>7.92510444488032E-005</v>
      </c>
      <c r="AY88" s="57" t="n">
        <f aca="false">AS88*f_stroke_fatal_recur</f>
        <v>3.44081179747246E-005</v>
      </c>
      <c r="AZ88" s="57" t="n">
        <f aca="false">AS88*(1-f_stroke_fatal_recur)*f_stroke_major</f>
        <v>1.93354619905147E-005</v>
      </c>
      <c r="BA88" s="57" t="n">
        <f aca="false">AS88*(1-f_stroke_fatal_recur)*(1-f_stroke_major)</f>
        <v>3.87289884314514E-005</v>
      </c>
      <c r="BB88" s="57" t="n">
        <f aca="false">AT88*(1-f_bleed_fatal)</f>
        <v>2.67111340359534E-006</v>
      </c>
      <c r="BC88" s="57" t="n">
        <f aca="false">AU88*(1-f_bleed_fatal)</f>
        <v>2.48382866208794E-005</v>
      </c>
      <c r="BD88" s="57" t="n">
        <f aca="false">AV88*f_mi_fatal</f>
        <v>7.3567049532903E-007</v>
      </c>
      <c r="BE88" s="57" t="n">
        <f aca="false">AV88-BD88</f>
        <v>5.34425095367122E-006</v>
      </c>
      <c r="BF88" s="57" t="n">
        <f aca="false">AL88-AS88-AT88-AU88-BD88</f>
        <v>0.00272565206496157</v>
      </c>
      <c r="BG88" s="19" t="n">
        <f aca="false">AY88*c_stroke_fatal+AZ88*c_stroke_major+BA88*c_stroke_minor+AT88*c_ich+AU88*c_major_bleed+BD88*c_mi_fatal+BE88*c_mi_nonfatal+AW88*c_tia+AX88*c_minor_bleed</f>
        <v>3.57203084428394</v>
      </c>
      <c r="BH88" s="57" t="n">
        <f aca="false">dt*(BE88*dec_mi+BC88*dec_major_bleed+AX88*dec_minor_bleed+AW88*dec_tia)</f>
        <v>1.22529522196533E-006</v>
      </c>
      <c r="BI88" s="57" t="n">
        <f aca="false">H88*AK88+AY88+AT88-BB88+AU88-BC88+BD88</f>
        <v>0.000596126362795352</v>
      </c>
      <c r="BJ88" s="57" t="n">
        <f aca="false">1-EXP(LN(1-E88)*hr_death_prior_stroke*dt)</f>
        <v>0.16389848558531</v>
      </c>
      <c r="BK88" s="57" t="n">
        <f aca="false">I88*(1-BJ88)</f>
        <v>0.00145049410791671</v>
      </c>
      <c r="BL88" s="57" t="n">
        <f aca="false">(1-EXP(-r_stroke*F88*rr_stroke_prior*rr_asa_stroke*dt))</f>
        <v>0.0324591298703693</v>
      </c>
      <c r="BM88" s="57" t="n">
        <f aca="false">(1-EXP(-r_ich*rr_asa_ich*dt))</f>
        <v>0.00102357767802375</v>
      </c>
      <c r="BN88" s="57" t="n">
        <f aca="false">(1-EXP(-r_mb*rr_asa_mb*dt))</f>
        <v>0.00951809672747972</v>
      </c>
      <c r="BO88" s="57" t="n">
        <f aca="false">(1-EXP(-r_mi*rr_asa_mi*dt))</f>
        <v>0.00213413516393479</v>
      </c>
      <c r="BP88" s="57" t="n">
        <f aca="false">(1-EXP(-r_tia*rr_asa_tia*dt))</f>
        <v>0.00312764565589152</v>
      </c>
      <c r="BQ88" s="57" t="n">
        <f aca="false">(1-EXP(-r_minor*rr_asa_minor*dt))</f>
        <v>0.0278181950466747</v>
      </c>
      <c r="BR88" s="57" t="n">
        <f aca="false">BK88*BL88</f>
        <v>4.7081776625074E-005</v>
      </c>
      <c r="BS88" s="57" t="n">
        <f aca="false">BK88*BM88</f>
        <v>1.48469339096851E-006</v>
      </c>
      <c r="BT88" s="57" t="n">
        <f aca="false">BK88*BN88</f>
        <v>1.38059432217907E-005</v>
      </c>
      <c r="BU88" s="57" t="n">
        <f aca="false">BK88*BO88</f>
        <v>3.09555048078528E-006</v>
      </c>
      <c r="BV88" s="57" t="n">
        <f aca="false">BK88*BP88</f>
        <v>4.53663159552195E-006</v>
      </c>
      <c r="BW88" s="57" t="n">
        <f aca="false">BK88*BQ88</f>
        <v>4.03501280080796E-005</v>
      </c>
      <c r="BX88" s="57" t="n">
        <f aca="false">BR88*f_stroke_fatal_recur</f>
        <v>1.75186582644238E-005</v>
      </c>
      <c r="BY88" s="57" t="n">
        <f aca="false">BR88*(1-f_stroke_fatal_recur)*f_stroke_major</f>
        <v>9.84451841409652E-006</v>
      </c>
      <c r="BZ88" s="57" t="n">
        <f aca="false">BR88*(1-f_stroke_fatal_recur)*(1-f_stroke_major)</f>
        <v>1.97185999465537E-005</v>
      </c>
      <c r="CA88" s="57" t="n">
        <f aca="false">BS88*(1-f_bleed_fatal)</f>
        <v>1.35997914612716E-006</v>
      </c>
      <c r="CB88" s="57" t="n">
        <f aca="false">BT88*(1-f_bleed_fatal)</f>
        <v>1.26462439911603E-005</v>
      </c>
      <c r="CC88" s="57" t="n">
        <f aca="false">BU88*f_mi_fatal</f>
        <v>3.74561608175019E-007</v>
      </c>
      <c r="CD88" s="57" t="n">
        <f aca="false">BU88-CC88</f>
        <v>2.72098887261027E-006</v>
      </c>
      <c r="CE88" s="57" t="n">
        <f aca="false">BK88-BR88-BS88-BT88-CC88</f>
        <v>0.00138774713307071</v>
      </c>
      <c r="CF88" s="19" t="n">
        <f aca="false">BX88*c_stroke_fatal+BY88*c_stroke_major+BZ88*c_stroke_minor+BS88*c_ich+BT88*c_major_bleed+CC88*c_mi_fatal+CD88*c_mi_nonfatal+BV88*c_tia+BW88*c_minor_bleed</f>
        <v>1.81867510791957</v>
      </c>
      <c r="CG88" s="57" t="n">
        <f aca="false">dt*(CD88*dec_mi+CB88*dec_major_bleed+BW88*dec_minor_bleed+BV88*dec_tia)</f>
        <v>6.23850693676706E-007</v>
      </c>
      <c r="CH88" s="57" t="n">
        <f aca="false">I88*BJ88+BX88+BS88-CA88+BT88-CB88+CC88</f>
        <v>0.000303513666161488</v>
      </c>
      <c r="CI88" s="57" t="n">
        <f aca="false">1-EXP(LN(1-E88)*dt)</f>
        <v>0.0748768055909398</v>
      </c>
      <c r="CJ88" s="57" t="n">
        <f aca="false">J88*(1-CI88)</f>
        <v>0.0150924630811064</v>
      </c>
      <c r="CK88" s="57" t="n">
        <f aca="false">(1-EXP(-r_stroke*F88*rr_asa_stroke*dt))</f>
        <v>0.0148869910763187</v>
      </c>
      <c r="CL88" s="57" t="n">
        <f aca="false">(1-EXP(-r_ich*rr_asa_ich*dt))</f>
        <v>0.00102357767802375</v>
      </c>
      <c r="CM88" s="57" t="n">
        <f aca="false">(1-EXP(-r_mb*rr_asa_mb*dt))</f>
        <v>0.00951809672747972</v>
      </c>
      <c r="CN88" s="57" t="n">
        <f aca="false">(1-EXP(-r_mi*rr_asa_mi*dt))</f>
        <v>0.00213413516393479</v>
      </c>
      <c r="CO88" s="57" t="n">
        <f aca="false">(1-EXP(-r_tia*rr_asa_tia*dt))</f>
        <v>0.00312764565589152</v>
      </c>
      <c r="CP88" s="57" t="n">
        <f aca="false">(1-EXP(-r_minor*rr_asa_minor*dt))</f>
        <v>0.0278181950466747</v>
      </c>
      <c r="CQ88" s="57" t="n">
        <f aca="false">CJ88*CK88</f>
        <v>0.000224681363208102</v>
      </c>
      <c r="CR88" s="57" t="n">
        <f aca="false">CJ88*CL88</f>
        <v>1.5448308316218E-005</v>
      </c>
      <c r="CS88" s="57" t="n">
        <f aca="false">CJ88*CM88</f>
        <v>0.000143651523461888</v>
      </c>
      <c r="CT88" s="57" t="n">
        <f aca="false">CJ88*CN88</f>
        <v>3.22093561717769E-005</v>
      </c>
      <c r="CU88" s="57" t="n">
        <f aca="false">CJ88*CO88</f>
        <v>4.72038765923257E-005</v>
      </c>
      <c r="CV88" s="57" t="n">
        <f aca="false">CJ88*CP88</f>
        <v>0.000419845081724956</v>
      </c>
      <c r="CW88" s="57" t="n">
        <f aca="false">CQ88*f_stroke_fatal</f>
        <v>5.32494830803201E-005</v>
      </c>
      <c r="CX88" s="57" t="n">
        <f aca="false">CQ88*(1-f_stroke_fatal)*f_stroke_major</f>
        <v>5.70868160825513E-005</v>
      </c>
      <c r="CY88" s="57" t="n">
        <f aca="false">CQ88*(1-f_stroke_fatal)*(1-f_stroke_major)</f>
        <v>0.00011434506404523</v>
      </c>
      <c r="CZ88" s="57" t="n">
        <f aca="false">CR88*(1-f_bleed_fatal)</f>
        <v>1.41506504176557E-005</v>
      </c>
      <c r="DA88" s="57" t="n">
        <f aca="false">CS88*(1-f_bleed_fatal)</f>
        <v>0.000131584795491089</v>
      </c>
      <c r="DB88" s="57" t="n">
        <f aca="false">CT88*f_mi_fatal</f>
        <v>3.897332096785E-006</v>
      </c>
      <c r="DC88" s="57" t="n">
        <f aca="false">CT88-DB88</f>
        <v>2.83120240749919E-005</v>
      </c>
      <c r="DD88" s="57" t="n">
        <f aca="false">CJ88-CQ88-CR88-CS88-DB88</f>
        <v>0.0147047845540235</v>
      </c>
      <c r="DE88" s="19" t="n">
        <f aca="false">CW88*c_stroke_fatal+CX88*c_stroke_major+CY88*c_stroke_minor+CR88*c_ich+CS88*c_major_bleed+DB88*c_mi_fatal+DC88*c_mi_nonfatal+CU88*c_tia+CV88*c_minor_bleed</f>
        <v>10.33376881807</v>
      </c>
      <c r="DF88" s="57" t="n">
        <f aca="false">dt*(DC88*dec_mi+DA88*dec_major_bleed+CV88*dec_minor_bleed+CU88*dec_tia)</f>
        <v>6.49119738649704E-006</v>
      </c>
      <c r="DG88" s="57" t="n">
        <f aca="false">J88*CI88+CW88+CR88-CZ88+CS88-DA88+DB88</f>
        <v>0.00129205167353921</v>
      </c>
      <c r="DH88" s="57" t="n">
        <f aca="false">AG88</f>
        <v>0.0194749257774084</v>
      </c>
      <c r="DI88" s="57" t="n">
        <f aca="false">AB88+AC88+BF88+BA88+BB88+BC88+CY88+CZ88</f>
        <v>0.00305007435914075</v>
      </c>
      <c r="DJ88" s="57" t="n">
        <f aca="false">AA88+AZ88+BY88+CX88+CE88+BZ88+CA88+CB88</f>
        <v>0.0015542595470921</v>
      </c>
      <c r="DK88" s="57" t="n">
        <f aca="false">AD88+DD88+DA88</f>
        <v>0.0149884023452517</v>
      </c>
      <c r="DL88" s="57" t="n">
        <f aca="false">K88+AJ88+BI88+CH88+DG88</f>
        <v>0.960932337971108</v>
      </c>
      <c r="DM88" s="58" t="n">
        <f aca="false">SUM(DH88:DL88)</f>
        <v>1</v>
      </c>
      <c r="DN88" s="19" t="n">
        <f aca="false">dt*(G88*Warfarin!$H$2+(H88+I88+J88)*c_aspirin)</f>
        <v>2.27228708577253</v>
      </c>
      <c r="DO88" s="19" t="n">
        <f aca="false">dt*(H88*c_lt_minor_stroke+I88*c_lt_major_stroke)</f>
        <v>20.5373011485442</v>
      </c>
      <c r="DP88" s="19" t="n">
        <f aca="false">AH88+BG88+CF88+DE88</f>
        <v>25.1954586074938</v>
      </c>
      <c r="DQ88" s="19" t="n">
        <f aca="false">DN88+DO88+DP88</f>
        <v>48.0050468418106</v>
      </c>
      <c r="DR88" s="57" t="n">
        <f aca="false">dt*(G88*(u_af-dec_per_year_over_70*MAX(B88-ref_age,0))+H88*(u_minor_stroke-dec_per_year_over_70*MAX(B88-ref_age,0))+I88*(u_major_stroke-dec_per_year_over_70*MAX(B88-ref_age,0))+J88*(u_af-dec_per_year_over_70*MAX(B88-ref_age,0)))-AI88-BH88-CG88-DF88</f>
        <v>0.00835518149198023</v>
      </c>
      <c r="DS88" s="57" t="n">
        <f aca="false">dt*(G88+H88+I88+J88)</f>
        <v>0.0107329166479533</v>
      </c>
      <c r="DT88" s="19" t="n">
        <f aca="false">DQ88*C88</f>
        <v>35.3779799681089</v>
      </c>
      <c r="DU88" s="19" t="n">
        <f aca="false">DN88*C88</f>
        <v>1.67459324156388</v>
      </c>
      <c r="DV88" s="19" t="n">
        <f aca="false">DP88*C88</f>
        <v>18.5681399882916</v>
      </c>
      <c r="DW88" s="19" t="n">
        <f aca="false">DO88*C88</f>
        <v>15.1352467382535</v>
      </c>
      <c r="DX88" s="57" t="n">
        <f aca="false">DR88*C88</f>
        <v>0.00615746599367431</v>
      </c>
      <c r="DY88" s="57" t="n">
        <f aca="false">DS88*C88</f>
        <v>0.00790977064186435</v>
      </c>
      <c r="DZ88" s="57" t="n">
        <f aca="false">T88+AS88+BR88+CQ88</f>
        <v>0.000547331495171676</v>
      </c>
      <c r="EA88" s="57" t="n">
        <f aca="false">U88+AT88+BS88+CR88</f>
        <v>5.97037589973073E-005</v>
      </c>
      <c r="EB88" s="57" t="n">
        <f aca="false">V88+AU88+BT88+CS88</f>
        <v>0.000350548386288532</v>
      </c>
      <c r="EC88" s="57" t="n">
        <f aca="false">G88*dt*C88</f>
        <v>0.00395666275286654</v>
      </c>
    </row>
    <row r="89" customFormat="false" ht="15" hidden="false" customHeight="false" outlineLevel="0" collapsed="false">
      <c r="A89" s="8" t="n">
        <v>83</v>
      </c>
      <c r="B89" s="54" t="n">
        <f aca="false">start_age+A89*dt</f>
        <v>90.75</v>
      </c>
      <c r="C89" s="16" t="n">
        <f aca="false">(1+disc_rate)^-(A89*dt)</f>
        <v>0.734225769898751</v>
      </c>
      <c r="D89" s="55" t="n">
        <f aca="false">IF(A89*dt&gt;=wane_start,(1-wane_decay)^(A89*dt-wane_start),1)</f>
        <v>1</v>
      </c>
      <c r="E89" s="25" t="n">
        <f aca="false">MIN(p_nonvasc_death*MIN(EXP(gomp_int+gomp_slope*INT(B89)),1)/qx_ref,0.999)</f>
        <v>0.267515771053732</v>
      </c>
      <c r="F89" s="55" t="n">
        <f aca="false">rr_stroke_per_decade^((B89-ref_age)/10)</f>
        <v>2.31947321947383</v>
      </c>
      <c r="G89" s="57" t="n">
        <f aca="false">DH88</f>
        <v>0.0194749257774084</v>
      </c>
      <c r="H89" s="57" t="n">
        <f aca="false">DI88</f>
        <v>0.00305007435914075</v>
      </c>
      <c r="I89" s="57" t="n">
        <f aca="false">DJ88</f>
        <v>0.0015542595470921</v>
      </c>
      <c r="J89" s="57" t="n">
        <f aca="false">DK88</f>
        <v>0.0149884023452517</v>
      </c>
      <c r="K89" s="57" t="n">
        <f aca="false">DL88</f>
        <v>0.960932337971108</v>
      </c>
      <c r="L89" s="57" t="n">
        <f aca="false">1-EXP(LN(1-E89)*dt)</f>
        <v>0.0748768055909398</v>
      </c>
      <c r="M89" s="57" t="n">
        <f aca="false">G89*(1-L89)</f>
        <v>0.0180167055460754</v>
      </c>
      <c r="N89" s="57" t="n">
        <f aca="false">IF(Warfarin!$B$2=1,EXP(LN(or_apx_stroke)*D89)*(1-EXP(-r_stroke*F89*dt))/(1-(1-EXP(-r_stroke*F89*dt))+EXP(LN(or_apx_stroke)*D89)*(1-EXP(-r_stroke*F89*dt))),(1-EXP(-r_stroke*F89*dt)))</f>
        <v>0.00930931486941167</v>
      </c>
      <c r="O89" s="57" t="n">
        <f aca="false">IF(Warfarin!$B$2=1,EXP(LN(or_apx_ich)*D89)*(1-EXP(-r_ich*dt))/(1-(1-EXP(-r_ich*dt))+EXP(LN(or_apx_ich)*D89)*(1-EXP(-r_ich*dt))),(1-EXP(-r_ich*dt)))</f>
        <v>0.0020060281549299</v>
      </c>
      <c r="P89" s="57" t="n">
        <f aca="false">IF(Warfarin!$B$2=1,EXP(LN(or_apx_mb)*D89)*(1-EXP(-r_mb*dt))/(1-(1-EXP(-r_mb*dt))+EXP(LN(or_apx_mb)*D89)*(1-EXP(-r_mb*dt))),(1-EXP(-r_mb*dt)))</f>
        <v>0.00835410477572107</v>
      </c>
      <c r="Q89" s="57" t="n">
        <f aca="false">IF(Warfarin!$B$2=1,EXP(LN(or_apx_mi)*D89)*(1-EXP(-r_mi*dt))/(1-(1-EXP(-r_mi*dt))+EXP(LN(or_apx_mi)*D89)*(1-EXP(-r_mi*dt))),(1-EXP(-r_mi*dt)))</f>
        <v>0.00150338686144691</v>
      </c>
      <c r="R89" s="57" t="n">
        <f aca="false">(1-EXP(-r_tia*dt))</f>
        <v>0.0020060281549299</v>
      </c>
      <c r="S89" s="57" t="n">
        <f aca="false">(1-EXP(-r_minor*dt))</f>
        <v>0.0437937690785545</v>
      </c>
      <c r="T89" s="57" t="n">
        <f aca="false">M89*N89</f>
        <v>0.000167723184837891</v>
      </c>
      <c r="U89" s="57" t="n">
        <f aca="false">M89*O89</f>
        <v>3.61420185845088E-005</v>
      </c>
      <c r="V89" s="57" t="n">
        <f aca="false">M89*P89</f>
        <v>0.000150513445845229</v>
      </c>
      <c r="W89" s="57" t="n">
        <f aca="false">M89*Q89</f>
        <v>2.70860784045274E-005</v>
      </c>
      <c r="X89" s="57" t="n">
        <f aca="false">M89*R89</f>
        <v>3.61420185845088E-005</v>
      </c>
      <c r="Y89" s="57" t="n">
        <f aca="false">M89*S89</f>
        <v>0.000789019442241137</v>
      </c>
      <c r="Z89" s="57" t="n">
        <f aca="false">T89*f_stroke_fatal</f>
        <v>3.97503948065802E-005</v>
      </c>
      <c r="AA89" s="57" t="n">
        <f aca="false">T89*(1-f_stroke_fatal)*f_stroke_major</f>
        <v>4.26149390804266E-005</v>
      </c>
      <c r="AB89" s="57" t="n">
        <f aca="false">T89*(1-f_stroke_fatal)*(1-f_stroke_major)</f>
        <v>8.53578509508845E-005</v>
      </c>
      <c r="AC89" s="57" t="n">
        <f aca="false">U89*(1-f_bleed_fatal)</f>
        <v>3.31060890234101E-005</v>
      </c>
      <c r="AD89" s="57" t="n">
        <f aca="false">V89*(1-f_bleed_fatal)</f>
        <v>0.00013787031639423</v>
      </c>
      <c r="AE89" s="57" t="n">
        <f aca="false">W89*f_mi_fatal</f>
        <v>3.27741548694782E-006</v>
      </c>
      <c r="AF89" s="57" t="n">
        <f aca="false">W89-AE89</f>
        <v>2.38086629175796E-005</v>
      </c>
      <c r="AG89" s="57" t="n">
        <f aca="false">M89-T89-U89-V89-AE89</f>
        <v>0.0176590494813208</v>
      </c>
      <c r="AH89" s="19" t="n">
        <f aca="false">Z89*c_stroke_fatal+AA89*c_stroke_major+AB89*c_stroke_minor+U89*c_ich+V89*c_major_bleed+AE89*c_mi_fatal+AF89*c_mi_nonfatal+X89*c_tia+Y89*c_minor_bleed</f>
        <v>8.65092173192363</v>
      </c>
      <c r="AI89" s="57" t="n">
        <f aca="false">dt*(AF89*dec_mi+AD89*dec_major_bleed+Y89*dec_minor_bleed+X89*dec_tia)</f>
        <v>7.41000815907644E-006</v>
      </c>
      <c r="AJ89" s="57" t="n">
        <f aca="false">G89*L89+Z89+U89-AC89+V89-AD89+AE89</f>
        <v>0.00151692710063862</v>
      </c>
      <c r="AK89" s="57" t="n">
        <f aca="false">1-EXP(LN(1-E89)*hr_death_prior_stroke*dt)</f>
        <v>0.16389848558531</v>
      </c>
      <c r="AL89" s="57" t="n">
        <f aca="false">H89*(1-AK89)</f>
        <v>0.002550171790755</v>
      </c>
      <c r="AM89" s="57" t="n">
        <f aca="false">(1-EXP(-r_stroke*F89*rr_stroke_prior*rr_asa_stroke*dt))</f>
        <v>0.0327843484333462</v>
      </c>
      <c r="AN89" s="57" t="n">
        <f aca="false">(1-EXP(-r_ich*rr_asa_ich*dt))</f>
        <v>0.00102357767802375</v>
      </c>
      <c r="AO89" s="57" t="n">
        <f aca="false">(1-EXP(-r_mb*rr_asa_mb*dt))</f>
        <v>0.00951809672747972</v>
      </c>
      <c r="AP89" s="57" t="n">
        <f aca="false">(1-EXP(-r_mi*rr_asa_mi*dt))</f>
        <v>0.00213413516393479</v>
      </c>
      <c r="AQ89" s="57" t="n">
        <f aca="false">(1-EXP(-r_tia*rr_asa_tia*dt))</f>
        <v>0.00312764565589152</v>
      </c>
      <c r="AR89" s="57" t="n">
        <f aca="false">(1-EXP(-r_minor*rr_asa_minor*dt))</f>
        <v>0.0278181950466747</v>
      </c>
      <c r="AS89" s="57" t="n">
        <f aca="false">AL89*AM89</f>
        <v>8.36057205530023E-005</v>
      </c>
      <c r="AT89" s="57" t="n">
        <f aca="false">AL89*AN89</f>
        <v>2.61029892014266E-006</v>
      </c>
      <c r="AU89" s="57" t="n">
        <f aca="false">AL89*AO89</f>
        <v>2.42727817760962E-005</v>
      </c>
      <c r="AV89" s="57" t="n">
        <f aca="false">AL89*AP89</f>
        <v>5.4424112927248E-006</v>
      </c>
      <c r="AW89" s="57" t="n">
        <f aca="false">AL89*AQ89</f>
        <v>7.97603372313196E-006</v>
      </c>
      <c r="AX89" s="57" t="n">
        <f aca="false">AL89*AR89</f>
        <v>7.09411762777502E-005</v>
      </c>
      <c r="AY89" s="57" t="n">
        <f aca="false">AS89*f_stroke_fatal_recur</f>
        <v>3.11088525605666E-005</v>
      </c>
      <c r="AZ89" s="57" t="n">
        <f aca="false">AS89*(1-f_stroke_fatal_recur)*f_stroke_major</f>
        <v>1.74814570414811E-005</v>
      </c>
      <c r="BA89" s="57" t="n">
        <f aca="false">AS89*(1-f_stroke_fatal_recur)*(1-f_stroke_major)</f>
        <v>3.50154109509546E-005</v>
      </c>
      <c r="BB89" s="57" t="n">
        <f aca="false">AT89*(1-f_bleed_fatal)</f>
        <v>2.39103381085067E-006</v>
      </c>
      <c r="BC89" s="57" t="n">
        <f aca="false">AU89*(1-f_bleed_fatal)</f>
        <v>2.22338681069041E-005</v>
      </c>
      <c r="BD89" s="57" t="n">
        <f aca="false">AV89*f_mi_fatal</f>
        <v>6.585317664197E-007</v>
      </c>
      <c r="BE89" s="57" t="n">
        <f aca="false">AV89-BD89</f>
        <v>4.7838795263051E-006</v>
      </c>
      <c r="BF89" s="57" t="n">
        <f aca="false">AL89-AS89-AT89-AU89-BD89</f>
        <v>0.00243902445773934</v>
      </c>
      <c r="BG89" s="19" t="n">
        <f aca="false">AY89*c_stroke_fatal+AZ89*c_stroke_major+BA89*c_stroke_minor+AT89*c_ich+AU89*c_major_bleed+BD89*c_mi_fatal+BE89*c_mi_nonfatal+AW89*c_tia+AX89*c_minor_bleed</f>
        <v>3.22608154749312</v>
      </c>
      <c r="BH89" s="57" t="n">
        <f aca="false">dt*(BE89*dec_mi+BC89*dec_major_bleed+AX89*dec_minor_bleed+AW89*dec_tia)</f>
        <v>1.09681689292917E-006</v>
      </c>
      <c r="BI89" s="57" t="n">
        <f aca="false">H89*AK89+AY89+AT89-BB89+AU89-BC89+BD89</f>
        <v>0.000533928131491223</v>
      </c>
      <c r="BJ89" s="57" t="n">
        <f aca="false">1-EXP(LN(1-E89)*hr_death_prior_stroke*dt)</f>
        <v>0.16389848558531</v>
      </c>
      <c r="BK89" s="57" t="n">
        <f aca="false">I89*(1-BJ89)</f>
        <v>0.00129951876111719</v>
      </c>
      <c r="BL89" s="57" t="n">
        <f aca="false">(1-EXP(-r_stroke*F89*rr_stroke_prior*rr_asa_stroke*dt))</f>
        <v>0.0327843484333462</v>
      </c>
      <c r="BM89" s="57" t="n">
        <f aca="false">(1-EXP(-r_ich*rr_asa_ich*dt))</f>
        <v>0.00102357767802375</v>
      </c>
      <c r="BN89" s="57" t="n">
        <f aca="false">(1-EXP(-r_mb*rr_asa_mb*dt))</f>
        <v>0.00951809672747972</v>
      </c>
      <c r="BO89" s="57" t="n">
        <f aca="false">(1-EXP(-r_mi*rr_asa_mi*dt))</f>
        <v>0.00213413516393479</v>
      </c>
      <c r="BP89" s="57" t="n">
        <f aca="false">(1-EXP(-r_tia*rr_asa_tia*dt))</f>
        <v>0.00312764565589152</v>
      </c>
      <c r="BQ89" s="57" t="n">
        <f aca="false">(1-EXP(-r_minor*rr_asa_minor*dt))</f>
        <v>0.0278181950466747</v>
      </c>
      <c r="BR89" s="57" t="n">
        <f aca="false">BK89*BL89</f>
        <v>4.26038758601365E-005</v>
      </c>
      <c r="BS89" s="57" t="n">
        <f aca="false">BK89*BM89</f>
        <v>1.33015839605263E-006</v>
      </c>
      <c r="BT89" s="57" t="n">
        <f aca="false">BK89*BN89</f>
        <v>1.23689452674881E-005</v>
      </c>
      <c r="BU89" s="57" t="n">
        <f aca="false">BK89*BO89</f>
        <v>2.77334868429318E-006</v>
      </c>
      <c r="BV89" s="57" t="n">
        <f aca="false">BK89*BP89</f>
        <v>4.06443420795772E-006</v>
      </c>
      <c r="BW89" s="57" t="n">
        <f aca="false">BK89*BQ89</f>
        <v>3.61502663635712E-005</v>
      </c>
      <c r="BX89" s="57" t="n">
        <f aca="false">BR89*f_stroke_fatal_recur</f>
        <v>1.58524761687982E-005</v>
      </c>
      <c r="BY89" s="57" t="n">
        <f aca="false">BR89*(1-f_stroke_fatal_recur)*f_stroke_major</f>
        <v>8.90821609721565E-006</v>
      </c>
      <c r="BZ89" s="57" t="n">
        <f aca="false">BR89*(1-f_stroke_fatal_recur)*(1-f_stroke_major)</f>
        <v>1.78431835941226E-005</v>
      </c>
      <c r="CA89" s="57" t="n">
        <f aca="false">BS89*(1-f_bleed_fatal)</f>
        <v>1.21842509078421E-006</v>
      </c>
      <c r="CB89" s="57" t="n">
        <f aca="false">BT89*(1-f_bleed_fatal)</f>
        <v>1.13299538650191E-005</v>
      </c>
      <c r="CC89" s="57" t="n">
        <f aca="false">BU89*f_mi_fatal</f>
        <v>3.35575190799475E-007</v>
      </c>
      <c r="CD89" s="57" t="n">
        <f aca="false">BU89-CC89</f>
        <v>2.4377734934937E-006</v>
      </c>
      <c r="CE89" s="57" t="n">
        <f aca="false">BK89-BR89-BS89-BT89-CC89</f>
        <v>0.00124288020640272</v>
      </c>
      <c r="CF89" s="19" t="n">
        <f aca="false">BX89*c_stroke_fatal+BY89*c_stroke_major+BZ89*c_stroke_minor+BS89*c_ich+BT89*c_major_bleed+CC89*c_mi_fatal+CD89*c_mi_nonfatal+BV89*c_tia+BW89*c_minor_bleed</f>
        <v>1.64394944335108</v>
      </c>
      <c r="CG89" s="57" t="n">
        <f aca="false">dt*(CD89*dec_mi+CB89*dec_major_bleed+BW89*dec_minor_bleed+BV89*dec_tia)</f>
        <v>5.58916907103634E-007</v>
      </c>
      <c r="CH89" s="57" t="n">
        <f aca="false">I89*BJ89+BX89+BS89-CA89+BT89-CB89+CC89</f>
        <v>0.000272079562042239</v>
      </c>
      <c r="CI89" s="57" t="n">
        <f aca="false">1-EXP(LN(1-E89)*dt)</f>
        <v>0.0748768055909398</v>
      </c>
      <c r="CJ89" s="57" t="n">
        <f aca="false">J89*(1-CI89)</f>
        <v>0.0138661186567275</v>
      </c>
      <c r="CK89" s="57" t="n">
        <f aca="false">(1-EXP(-r_stroke*F89*rr_asa_stroke*dt))</f>
        <v>0.015037516271204</v>
      </c>
      <c r="CL89" s="57" t="n">
        <f aca="false">(1-EXP(-r_ich*rr_asa_ich*dt))</f>
        <v>0.00102357767802375</v>
      </c>
      <c r="CM89" s="57" t="n">
        <f aca="false">(1-EXP(-r_mb*rr_asa_mb*dt))</f>
        <v>0.00951809672747972</v>
      </c>
      <c r="CN89" s="57" t="n">
        <f aca="false">(1-EXP(-r_mi*rr_asa_mi*dt))</f>
        <v>0.00213413516393479</v>
      </c>
      <c r="CO89" s="57" t="n">
        <f aca="false">(1-EXP(-r_tia*rr_asa_tia*dt))</f>
        <v>0.00312764565589152</v>
      </c>
      <c r="CP89" s="57" t="n">
        <f aca="false">(1-EXP(-r_minor*rr_asa_minor*dt))</f>
        <v>0.0278181950466747</v>
      </c>
      <c r="CQ89" s="57" t="n">
        <f aca="false">CJ89*CK89</f>
        <v>0.000208511984918985</v>
      </c>
      <c r="CR89" s="57" t="n">
        <f aca="false">CJ89*CL89</f>
        <v>1.41930495378549E-005</v>
      </c>
      <c r="CS89" s="57" t="n">
        <f aca="false">CJ89*CM89</f>
        <v>0.000131979058609444</v>
      </c>
      <c r="CT89" s="57" t="n">
        <f aca="false">CJ89*CN89</f>
        <v>2.95921714126144E-005</v>
      </c>
      <c r="CU89" s="57" t="n">
        <f aca="false">CJ89*CO89</f>
        <v>4.33683057807902E-005</v>
      </c>
      <c r="CV89" s="57" t="n">
        <f aca="false">CJ89*CP89</f>
        <v>0.000385730393333181</v>
      </c>
      <c r="CW89" s="57" t="n">
        <f aca="false">CQ89*f_stroke_fatal</f>
        <v>4.94173404257994E-005</v>
      </c>
      <c r="CX89" s="57" t="n">
        <f aca="false">CQ89*(1-f_stroke_fatal)*f_stroke_major</f>
        <v>5.29785166162308E-005</v>
      </c>
      <c r="CY89" s="57" t="n">
        <f aca="false">CQ89*(1-f_stroke_fatal)*(1-f_stroke_major)</f>
        <v>0.000106116127876955</v>
      </c>
      <c r="CZ89" s="57" t="n">
        <f aca="false">CR89*(1-f_bleed_fatal)</f>
        <v>1.30008333766751E-005</v>
      </c>
      <c r="DA89" s="57" t="n">
        <f aca="false">CS89*(1-f_bleed_fatal)</f>
        <v>0.00012089281768625</v>
      </c>
      <c r="DB89" s="57" t="n">
        <f aca="false">CT89*f_mi_fatal</f>
        <v>3.58065274092635E-006</v>
      </c>
      <c r="DC89" s="57" t="n">
        <f aca="false">CT89-DB89</f>
        <v>2.60115186716881E-005</v>
      </c>
      <c r="DD89" s="57" t="n">
        <f aca="false">CJ89-CQ89-CR89-CS89-DB89</f>
        <v>0.0135078539109203</v>
      </c>
      <c r="DE89" s="19" t="n">
        <f aca="false">CW89*c_stroke_fatal+CX89*c_stroke_major+CY89*c_stroke_minor+CR89*c_ich+CS89*c_major_bleed+DB89*c_mi_fatal+DC89*c_mi_nonfatal+CU89*c_tia+CV89*c_minor_bleed</f>
        <v>9.57121119697751</v>
      </c>
      <c r="DF89" s="57" t="n">
        <f aca="false">dt*(DC89*dec_mi+DA89*dec_major_bleed+CV89*dec_minor_bleed+CU89*dec_tia)</f>
        <v>5.9637524174622E-006</v>
      </c>
      <c r="DG89" s="57" t="n">
        <f aca="false">J89*CI89+CW89+CR89-CZ89+CS89-DA89+DB89</f>
        <v>0.0011875601387753</v>
      </c>
      <c r="DH89" s="57" t="n">
        <f aca="false">AG89</f>
        <v>0.0176590494813208</v>
      </c>
      <c r="DI89" s="57" t="n">
        <f aca="false">AB89+AC89+BF89+BA89+BB89+BC89+CY89+CZ89</f>
        <v>0.00273624567183597</v>
      </c>
      <c r="DJ89" s="57" t="n">
        <f aca="false">AA89+AZ89+BY89+CX89+CE89+BZ89+CA89+CB89</f>
        <v>0.001395254897788</v>
      </c>
      <c r="DK89" s="57" t="n">
        <f aca="false">AD89+DD89+DA89</f>
        <v>0.0137666170450008</v>
      </c>
      <c r="DL89" s="57" t="n">
        <f aca="false">K89+AJ89+BI89+CH89+DG89</f>
        <v>0.964442832904055</v>
      </c>
      <c r="DM89" s="58" t="n">
        <f aca="false">SUM(DH89:DL89)</f>
        <v>1</v>
      </c>
      <c r="DN89" s="19" t="n">
        <f aca="false">dt*(G89*Warfarin!$H$2+(H89+I89+J89)*c_aspirin)</f>
        <v>2.06193210375377</v>
      </c>
      <c r="DO89" s="19" t="n">
        <f aca="false">dt*(H89*c_lt_minor_stroke+I89*c_lt_major_stroke)</f>
        <v>18.3925783010544</v>
      </c>
      <c r="DP89" s="19" t="n">
        <f aca="false">AH89+BG89+CF89+DE89</f>
        <v>23.0921639197453</v>
      </c>
      <c r="DQ89" s="19" t="n">
        <f aca="false">DN89+DO89+DP89</f>
        <v>43.5466743245535</v>
      </c>
      <c r="DR89" s="57" t="n">
        <f aca="false">dt*(G89*(u_af-dec_per_year_over_70*MAX(B89-ref_age,0))+H89*(u_minor_stroke-dec_per_year_over_70*MAX(B89-ref_age,0))+I89*(u_major_stroke-dec_per_year_over_70*MAX(B89-ref_age,0))+J89*(u_af-dec_per_year_over_70*MAX(B89-ref_age,0)))-AI89-BH89-CG89-DF89</f>
        <v>0.00760614766007698</v>
      </c>
      <c r="DS89" s="57" t="n">
        <f aca="false">dt*(G89+H89+I89+J89)</f>
        <v>0.00976691550722323</v>
      </c>
      <c r="DT89" s="19" t="n">
        <f aca="false">DQ89*C89</f>
        <v>31.9730904824754</v>
      </c>
      <c r="DU89" s="19" t="n">
        <f aca="false">DN89*C89</f>
        <v>1.51392368635757</v>
      </c>
      <c r="DV89" s="19" t="n">
        <f aca="false">DP89*C89</f>
        <v>16.9548618326032</v>
      </c>
      <c r="DW89" s="19" t="n">
        <f aca="false">DO89*C89</f>
        <v>13.5043049635147</v>
      </c>
      <c r="DX89" s="57" t="n">
        <f aca="false">DR89*C89</f>
        <v>0.0055846296216836</v>
      </c>
      <c r="DY89" s="57" t="n">
        <f aca="false">DS89*C89</f>
        <v>0.00717112105782703</v>
      </c>
      <c r="DZ89" s="57" t="n">
        <f aca="false">T89+AS89+BR89+CQ89</f>
        <v>0.000502444766170015</v>
      </c>
      <c r="EA89" s="57" t="n">
        <f aca="false">U89+AT89+BS89+CR89</f>
        <v>5.4275525438559E-005</v>
      </c>
      <c r="EB89" s="57" t="n">
        <f aca="false">V89+AU89+BT89+CS89</f>
        <v>0.000319134231498257</v>
      </c>
      <c r="EC89" s="57" t="n">
        <f aca="false">G89*dt*C89</f>
        <v>0.00357474809315967</v>
      </c>
    </row>
    <row r="90" customFormat="false" ht="15" hidden="false" customHeight="false" outlineLevel="0" collapsed="false">
      <c r="A90" s="8" t="n">
        <v>84</v>
      </c>
      <c r="B90" s="54" t="n">
        <f aca="false">start_age+A90*dt</f>
        <v>91</v>
      </c>
      <c r="C90" s="16" t="n">
        <f aca="false">(1+disc_rate)^-(A90*dt)</f>
        <v>0.731497948988939</v>
      </c>
      <c r="D90" s="55" t="n">
        <f aca="false">IF(A90*dt&gt;=wane_start,(1-wane_decay)^(A90*dt-wane_start),1)</f>
        <v>1</v>
      </c>
      <c r="E90" s="25" t="n">
        <f aca="false">MIN(p_nonvasc_death*MIN(EXP(gomp_int+gomp_slope*INT(B90)),1)/qx_ref,0.999)</f>
        <v>0.297023740462546</v>
      </c>
      <c r="F90" s="55" t="n">
        <f aca="false">rr_stroke_per_decade^((B90-ref_age)/10)</f>
        <v>2.34310442398292</v>
      </c>
      <c r="G90" s="57" t="n">
        <f aca="false">DH89</f>
        <v>0.0176590494813208</v>
      </c>
      <c r="H90" s="57" t="n">
        <f aca="false">DI89</f>
        <v>0.00273624567183597</v>
      </c>
      <c r="I90" s="57" t="n">
        <f aca="false">DJ89</f>
        <v>0.001395254897788</v>
      </c>
      <c r="J90" s="57" t="n">
        <f aca="false">DK89</f>
        <v>0.0137666170450008</v>
      </c>
      <c r="K90" s="57" t="n">
        <f aca="false">DL89</f>
        <v>0.964442832904055</v>
      </c>
      <c r="L90" s="57" t="n">
        <f aca="false">1-EXP(LN(1-E90)*dt)</f>
        <v>0.0843380562700268</v>
      </c>
      <c r="M90" s="57" t="n">
        <f aca="false">G90*(1-L90)</f>
        <v>0.01616971957249</v>
      </c>
      <c r="N90" s="57" t="n">
        <f aca="false">IF(Warfarin!$B$2=1,EXP(LN(or_apx_stroke)*D90)*(1-EXP(-r_stroke*F90*dt))/(1-(1-EXP(-r_stroke*F90*dt))+EXP(LN(or_apx_stroke)*D90)*(1-EXP(-r_stroke*F90*dt))),(1-EXP(-r_stroke*F90*dt)))</f>
        <v>0.00940371247556537</v>
      </c>
      <c r="O90" s="57" t="n">
        <f aca="false">IF(Warfarin!$B$2=1,EXP(LN(or_apx_ich)*D90)*(1-EXP(-r_ich*dt))/(1-(1-EXP(-r_ich*dt))+EXP(LN(or_apx_ich)*D90)*(1-EXP(-r_ich*dt))),(1-EXP(-r_ich*dt)))</f>
        <v>0.0020060281549299</v>
      </c>
      <c r="P90" s="57" t="n">
        <f aca="false">IF(Warfarin!$B$2=1,EXP(LN(or_apx_mb)*D90)*(1-EXP(-r_mb*dt))/(1-(1-EXP(-r_mb*dt))+EXP(LN(or_apx_mb)*D90)*(1-EXP(-r_mb*dt))),(1-EXP(-r_mb*dt)))</f>
        <v>0.00835410477572107</v>
      </c>
      <c r="Q90" s="57" t="n">
        <f aca="false">IF(Warfarin!$B$2=1,EXP(LN(or_apx_mi)*D90)*(1-EXP(-r_mi*dt))/(1-(1-EXP(-r_mi*dt))+EXP(LN(or_apx_mi)*D90)*(1-EXP(-r_mi*dt))),(1-EXP(-r_mi*dt)))</f>
        <v>0.00150338686144691</v>
      </c>
      <c r="R90" s="57" t="n">
        <f aca="false">(1-EXP(-r_tia*dt))</f>
        <v>0.0020060281549299</v>
      </c>
      <c r="S90" s="57" t="n">
        <f aca="false">(1-EXP(-r_minor*dt))</f>
        <v>0.0437937690785545</v>
      </c>
      <c r="T90" s="57" t="n">
        <f aca="false">M90*N90</f>
        <v>0.000152055393670218</v>
      </c>
      <c r="U90" s="57" t="n">
        <f aca="false">M90*O90</f>
        <v>3.24369127197359E-005</v>
      </c>
      <c r="V90" s="57" t="n">
        <f aca="false">M90*P90</f>
        <v>0.000135083531502609</v>
      </c>
      <c r="W90" s="57" t="n">
        <f aca="false">M90*Q90</f>
        <v>2.43093439585624E-005</v>
      </c>
      <c r="X90" s="57" t="n">
        <f aca="false">M90*R90</f>
        <v>3.24369127197359E-005</v>
      </c>
      <c r="Y90" s="57" t="n">
        <f aca="false">M90*S90</f>
        <v>0.000708132965022609</v>
      </c>
      <c r="Z90" s="57" t="n">
        <f aca="false">T90*f_stroke_fatal</f>
        <v>3.60371282998416E-005</v>
      </c>
      <c r="AA90" s="57" t="n">
        <f aca="false">T90*(1-f_stroke_fatal)*f_stroke_major</f>
        <v>3.86340823683353E-005</v>
      </c>
      <c r="AB90" s="57" t="n">
        <f aca="false">T90*(1-f_stroke_fatal)*(1-f_stroke_major)</f>
        <v>7.73841830020409E-005</v>
      </c>
      <c r="AC90" s="57" t="n">
        <f aca="false">U90*(1-f_bleed_fatal)</f>
        <v>2.97122120512781E-005</v>
      </c>
      <c r="AD90" s="57" t="n">
        <f aca="false">V90*(1-f_bleed_fatal)</f>
        <v>0.00012373651485639</v>
      </c>
      <c r="AE90" s="57" t="n">
        <f aca="false">W90*f_mi_fatal</f>
        <v>2.94143061898605E-006</v>
      </c>
      <c r="AF90" s="57" t="n">
        <f aca="false">W90-AE90</f>
        <v>2.13679133395763E-005</v>
      </c>
      <c r="AG90" s="57" t="n">
        <f aca="false">M90-T90-U90-V90-AE90</f>
        <v>0.0158472023039784</v>
      </c>
      <c r="AH90" s="19" t="n">
        <f aca="false">Z90*c_stroke_fatal+AA90*c_stroke_major+AB90*c_stroke_minor+U90*c_ich+V90*c_major_bleed+AE90*c_mi_fatal+AF90*c_mi_nonfatal+X90*c_tia+Y90*c_minor_bleed</f>
        <v>7.82046708479589</v>
      </c>
      <c r="AI90" s="57" t="n">
        <f aca="false">dt*(AF90*dec_mi+AD90*dec_major_bleed+Y90*dec_minor_bleed+X90*dec_tia)</f>
        <v>6.65036977241541E-006</v>
      </c>
      <c r="AJ90" s="57" t="n">
        <f aca="false">G90*L90+Z90+U90-AC90+V90-AD90+AE90</f>
        <v>0.00154238018506433</v>
      </c>
      <c r="AK90" s="57" t="n">
        <f aca="false">1-EXP(LN(1-E90)*hr_death_prior_stroke*dt)</f>
        <v>0.183434778849147</v>
      </c>
      <c r="AL90" s="57" t="n">
        <f aca="false">H90*(1-AK90)</f>
        <v>0.0022343230521458</v>
      </c>
      <c r="AM90" s="57" t="n">
        <f aca="false">(1-EXP(-r_stroke*F90*rr_stroke_prior*rr_asa_stroke*dt))</f>
        <v>0.0331127693891891</v>
      </c>
      <c r="AN90" s="57" t="n">
        <f aca="false">(1-EXP(-r_ich*rr_asa_ich*dt))</f>
        <v>0.00102357767802375</v>
      </c>
      <c r="AO90" s="57" t="n">
        <f aca="false">(1-EXP(-r_mb*rr_asa_mb*dt))</f>
        <v>0.00951809672747972</v>
      </c>
      <c r="AP90" s="57" t="n">
        <f aca="false">(1-EXP(-r_mi*rr_asa_mi*dt))</f>
        <v>0.00213413516393479</v>
      </c>
      <c r="AQ90" s="57" t="n">
        <f aca="false">(1-EXP(-r_tia*rr_asa_tia*dt))</f>
        <v>0.00312764565589152</v>
      </c>
      <c r="AR90" s="57" t="n">
        <f aca="false">(1-EXP(-r_minor*rr_asa_minor*dt))</f>
        <v>0.0278181950466747</v>
      </c>
      <c r="AS90" s="57" t="n">
        <f aca="false">AL90*AM90</f>
        <v>7.39846239666531E-005</v>
      </c>
      <c r="AT90" s="57" t="n">
        <f aca="false">AL90*AN90</f>
        <v>2.28700320167033E-006</v>
      </c>
      <c r="AU90" s="57" t="n">
        <f aca="false">AL90*AO90</f>
        <v>2.12665029307615E-005</v>
      </c>
      <c r="AV90" s="57" t="n">
        <f aca="false">AL90*AP90</f>
        <v>4.76834739317447E-006</v>
      </c>
      <c r="AW90" s="57" t="n">
        <f aca="false">AL90*AQ90</f>
        <v>6.98817078790211E-006</v>
      </c>
      <c r="AX90" s="57" t="n">
        <f aca="false">AL90*AR90</f>
        <v>6.21548344618735E-005</v>
      </c>
      <c r="AY90" s="57" t="n">
        <f aca="false">AS90*f_stroke_fatal_recur</f>
        <v>2.75289387317519E-005</v>
      </c>
      <c r="AZ90" s="57" t="n">
        <f aca="false">AS90*(1-f_stroke_fatal_recur)*f_stroke_major</f>
        <v>1.54697431832221E-005</v>
      </c>
      <c r="BA90" s="57" t="n">
        <f aca="false">AS90*(1-f_stroke_fatal_recur)*(1-f_stroke_major)</f>
        <v>3.0985942051679E-005</v>
      </c>
      <c r="BB90" s="57" t="n">
        <f aca="false">AT90*(1-f_bleed_fatal)</f>
        <v>2.09489493273002E-006</v>
      </c>
      <c r="BC90" s="57" t="n">
        <f aca="false">AU90*(1-f_bleed_fatal)</f>
        <v>1.94801166845775E-005</v>
      </c>
      <c r="BD90" s="57" t="n">
        <f aca="false">AV90*f_mi_fatal</f>
        <v>5.76970034574111E-007</v>
      </c>
      <c r="BE90" s="57" t="n">
        <f aca="false">AV90-BD90</f>
        <v>4.19137735860036E-006</v>
      </c>
      <c r="BF90" s="57" t="n">
        <f aca="false">AL90-AS90-AT90-AU90-BD90</f>
        <v>0.00213620795201215</v>
      </c>
      <c r="BG90" s="19" t="n">
        <f aca="false">AY90*c_stroke_fatal+AZ90*c_stroke_major+BA90*c_stroke_minor+AT90*c_ich+AU90*c_major_bleed+BD90*c_mi_fatal+BE90*c_mi_nonfatal+AW90*c_tia+AX90*c_minor_bleed</f>
        <v>2.85181971944149</v>
      </c>
      <c r="BH90" s="57" t="n">
        <f aca="false">dt*(BE90*dec_mi+BC90*dec_major_bleed+AX90*dec_minor_bleed+AW90*dec_tia)</f>
        <v>9.60971835991112E-007</v>
      </c>
      <c r="BI90" s="57" t="n">
        <f aca="false">H90*AK90+AY90+AT90-BB90+AU90-BC90+BD90</f>
        <v>0.000532007022971616</v>
      </c>
      <c r="BJ90" s="57" t="n">
        <f aca="false">1-EXP(LN(1-E90)*hr_death_prior_stroke*dt)</f>
        <v>0.183434778849147</v>
      </c>
      <c r="BK90" s="57" t="n">
        <f aca="false">I90*(1-BJ90)</f>
        <v>0.00113931662417407</v>
      </c>
      <c r="BL90" s="57" t="n">
        <f aca="false">(1-EXP(-r_stroke*F90*rr_stroke_prior*rr_asa_stroke*dt))</f>
        <v>0.0331127693891891</v>
      </c>
      <c r="BM90" s="57" t="n">
        <f aca="false">(1-EXP(-r_ich*rr_asa_ich*dt))</f>
        <v>0.00102357767802375</v>
      </c>
      <c r="BN90" s="57" t="n">
        <f aca="false">(1-EXP(-r_mb*rr_asa_mb*dt))</f>
        <v>0.00951809672747972</v>
      </c>
      <c r="BO90" s="57" t="n">
        <f aca="false">(1-EXP(-r_mi*rr_asa_mi*dt))</f>
        <v>0.00213413516393479</v>
      </c>
      <c r="BP90" s="57" t="n">
        <f aca="false">(1-EXP(-r_tia*rr_asa_tia*dt))</f>
        <v>0.00312764565589152</v>
      </c>
      <c r="BQ90" s="57" t="n">
        <f aca="false">(1-EXP(-r_minor*rr_asa_minor*dt))</f>
        <v>0.0278181950466747</v>
      </c>
      <c r="BR90" s="57" t="n">
        <f aca="false">BK90*BL90</f>
        <v>3.77259286375453E-005</v>
      </c>
      <c r="BS90" s="57" t="n">
        <f aca="false">BK90*BM90</f>
        <v>1.16617906470594E-006</v>
      </c>
      <c r="BT90" s="57" t="n">
        <f aca="false">BK90*BN90</f>
        <v>1.08441258321144E-005</v>
      </c>
      <c r="BU90" s="57" t="n">
        <f aca="false">BK90*BO90</f>
        <v>2.43145567050536E-006</v>
      </c>
      <c r="BV90" s="57" t="n">
        <f aca="false">BK90*BP90</f>
        <v>3.56337869028301E-006</v>
      </c>
      <c r="BW90" s="57" t="n">
        <f aca="false">BK90*BQ90</f>
        <v>3.16937320711932E-005</v>
      </c>
      <c r="BX90" s="57" t="n">
        <f aca="false">BR90*f_stroke_fatal_recur</f>
        <v>1.40374407867442E-005</v>
      </c>
      <c r="BY90" s="57" t="n">
        <f aca="false">BR90*(1-f_stroke_fatal_recur)*f_stroke_major</f>
        <v>7.88826645431675E-006</v>
      </c>
      <c r="BZ90" s="57" t="n">
        <f aca="false">BR90*(1-f_stroke_fatal_recur)*(1-f_stroke_major)</f>
        <v>1.58002213964843E-005</v>
      </c>
      <c r="CA90" s="57" t="n">
        <f aca="false">BS90*(1-f_bleed_fatal)</f>
        <v>1.06822002327065E-006</v>
      </c>
      <c r="CB90" s="57" t="n">
        <f aca="false">BT90*(1-f_bleed_fatal)</f>
        <v>9.93321926221682E-006</v>
      </c>
      <c r="CC90" s="57" t="n">
        <f aca="false">BU90*f_mi_fatal</f>
        <v>2.94206136131148E-007</v>
      </c>
      <c r="CD90" s="57" t="n">
        <f aca="false">BU90-CC90</f>
        <v>2.13724953437421E-006</v>
      </c>
      <c r="CE90" s="57" t="n">
        <f aca="false">BK90-BR90-BS90-BT90-CC90</f>
        <v>0.00108928618450357</v>
      </c>
      <c r="CF90" s="19" t="n">
        <f aca="false">BX90*c_stroke_fatal+BY90*c_stroke_major+BZ90*c_stroke_minor+BS90*c_ich+BT90*c_major_bleed+CC90*c_mi_fatal+CD90*c_mi_nonfatal+BV90*c_tia+BW90*c_minor_bleed</f>
        <v>1.45418793060686</v>
      </c>
      <c r="CG90" s="57" t="n">
        <f aca="false">dt*(CD90*dec_mi+CB90*dec_major_bleed+BW90*dec_minor_bleed+BV90*dec_tia)</f>
        <v>4.90014721486346E-007</v>
      </c>
      <c r="CH90" s="57" t="n">
        <f aca="false">I90*BJ90+BX90+BS90-CA90+BT90-CB90+CC90</f>
        <v>0.000271278786148138</v>
      </c>
      <c r="CI90" s="57" t="n">
        <f aca="false">1-EXP(LN(1-E90)*dt)</f>
        <v>0.0843380562700268</v>
      </c>
      <c r="CJ90" s="57" t="n">
        <f aca="false">J90*(1-CI90)</f>
        <v>0.0126055673220116</v>
      </c>
      <c r="CK90" s="57" t="n">
        <f aca="false">(1-EXP(-r_stroke*F90*rr_asa_stroke*dt))</f>
        <v>0.0151895516905537</v>
      </c>
      <c r="CL90" s="57" t="n">
        <f aca="false">(1-EXP(-r_ich*rr_asa_ich*dt))</f>
        <v>0.00102357767802375</v>
      </c>
      <c r="CM90" s="57" t="n">
        <f aca="false">(1-EXP(-r_mb*rr_asa_mb*dt))</f>
        <v>0.00951809672747972</v>
      </c>
      <c r="CN90" s="57" t="n">
        <f aca="false">(1-EXP(-r_mi*rr_asa_mi*dt))</f>
        <v>0.00213413516393479</v>
      </c>
      <c r="CO90" s="57" t="n">
        <f aca="false">(1-EXP(-r_tia*rr_asa_tia*dt))</f>
        <v>0.00312764565589152</v>
      </c>
      <c r="CP90" s="57" t="n">
        <f aca="false">(1-EXP(-r_minor*rr_asa_minor*dt))</f>
        <v>0.0278181950466747</v>
      </c>
      <c r="CQ90" s="57" t="n">
        <f aca="false">CJ90*CK90</f>
        <v>0.00019147291642645</v>
      </c>
      <c r="CR90" s="57" t="n">
        <f aca="false">CJ90*CL90</f>
        <v>1.29027773296366E-005</v>
      </c>
      <c r="CS90" s="57" t="n">
        <f aca="false">CJ90*CM90</f>
        <v>0.000119981009075664</v>
      </c>
      <c r="CT90" s="57" t="n">
        <f aca="false">CJ90*CN90</f>
        <v>2.69019844832523E-005</v>
      </c>
      <c r="CU90" s="57" t="n">
        <f aca="false">CJ90*CO90</f>
        <v>3.94257478747377E-005</v>
      </c>
      <c r="CV90" s="57" t="n">
        <f aca="false">CJ90*CP90</f>
        <v>0.000350664130437708</v>
      </c>
      <c r="CW90" s="57" t="n">
        <f aca="false">CQ90*f_stroke_fatal</f>
        <v>4.53790811930686E-005</v>
      </c>
      <c r="CX90" s="57" t="n">
        <f aca="false">CQ90*(1-f_stroke_fatal)*f_stroke_major</f>
        <v>4.86492471327159E-005</v>
      </c>
      <c r="CY90" s="57" t="n">
        <f aca="false">CQ90*(1-f_stroke_fatal)*(1-f_stroke_major)</f>
        <v>9.74445881006652E-005</v>
      </c>
      <c r="CZ90" s="57" t="n">
        <f aca="false">CR90*(1-f_bleed_fatal)</f>
        <v>1.18189440339472E-005</v>
      </c>
      <c r="DA90" s="57" t="n">
        <f aca="false">CS90*(1-f_bleed_fatal)</f>
        <v>0.000109902604313308</v>
      </c>
      <c r="DB90" s="57" t="n">
        <f aca="false">CT90*f_mi_fatal</f>
        <v>3.25514012247353E-006</v>
      </c>
      <c r="DC90" s="57" t="n">
        <f aca="false">CT90-DB90</f>
        <v>2.36468443607787E-005</v>
      </c>
      <c r="DD90" s="57" t="n">
        <f aca="false">CJ90-CQ90-CR90-CS90-DB90</f>
        <v>0.0122779554790574</v>
      </c>
      <c r="DE90" s="19" t="n">
        <f aca="false">CW90*c_stroke_fatal+CX90*c_stroke_major+CY90*c_stroke_minor+CR90*c_ich+CS90*c_major_bleed+DB90*c_mi_fatal+DC90*c_mi_nonfatal+CU90*c_tia+CV90*c_minor_bleed</f>
        <v>8.77191434042401</v>
      </c>
      <c r="DF90" s="57" t="n">
        <f aca="false">dt*(DC90*dec_mi+DA90*dec_major_bleed+CV90*dec_minor_bleed+CU90*dec_tia)</f>
        <v>5.42159521717747E-006</v>
      </c>
      <c r="DG90" s="57" t="n">
        <f aca="false">J90*CI90+CW90+CR90-CZ90+CS90-DA90+DB90</f>
        <v>0.00122084618236277</v>
      </c>
      <c r="DH90" s="57" t="n">
        <f aca="false">AG90</f>
        <v>0.0158472023039784</v>
      </c>
      <c r="DI90" s="57" t="n">
        <f aca="false">AB90+AC90+BF90+BA90+BB90+BC90+CY90+CZ90</f>
        <v>0.00240512883286906</v>
      </c>
      <c r="DJ90" s="57" t="n">
        <f aca="false">AA90+AZ90+BY90+CX90+CE90+BZ90+CA90+CB90</f>
        <v>0.00122672918432413</v>
      </c>
      <c r="DK90" s="57" t="n">
        <f aca="false">AD90+DD90+DA90</f>
        <v>0.0125115945982271</v>
      </c>
      <c r="DL90" s="57" t="n">
        <f aca="false">K90+AJ90+BI90+CH90+DG90</f>
        <v>0.968009345080602</v>
      </c>
      <c r="DM90" s="58" t="n">
        <f aca="false">SUM(DH90:DL90)</f>
        <v>1</v>
      </c>
      <c r="DN90" s="19" t="n">
        <f aca="false">dt*(G90*Warfarin!$H$2+(H90+I90+J90)*c_aspirin)</f>
        <v>1.8709646186189</v>
      </c>
      <c r="DO90" s="19" t="n">
        <f aca="false">dt*(H90*c_lt_minor_stroke+I90*c_lt_major_stroke)</f>
        <v>16.5061096403146</v>
      </c>
      <c r="DP90" s="19" t="n">
        <f aca="false">AH90+BG90+CF90+DE90</f>
        <v>20.8983890752683</v>
      </c>
      <c r="DQ90" s="19" t="n">
        <f aca="false">DN90+DO90+DP90</f>
        <v>39.2754633342017</v>
      </c>
      <c r="DR90" s="57" t="n">
        <f aca="false">dt*(G90*(u_af-dec_per_year_over_70*MAX(B90-ref_age,0))+H90*(u_minor_stroke-dec_per_year_over_70*MAX(B90-ref_age,0))+I90*(u_major_stroke-dec_per_year_over_70*MAX(B90-ref_age,0))+J90*(u_af-dec_per_year_over_70*MAX(B90-ref_age,0)))-AI90-BH90-CG90-DF90</f>
        <v>0.00692510024134979</v>
      </c>
      <c r="DS90" s="57" t="n">
        <f aca="false">dt*(G90+H90+I90+J90)</f>
        <v>0.00888929177398639</v>
      </c>
      <c r="DT90" s="19" t="n">
        <f aca="false">DQ90*C90</f>
        <v>28.7299208745588</v>
      </c>
      <c r="DU90" s="19" t="n">
        <f aca="false">DN90*C90</f>
        <v>1.3686067811506</v>
      </c>
      <c r="DV90" s="19" t="n">
        <f aca="false">DP90*C90</f>
        <v>15.2871287457316</v>
      </c>
      <c r="DW90" s="19" t="n">
        <f aca="false">DO90*C90</f>
        <v>12.0741853476767</v>
      </c>
      <c r="DX90" s="57" t="n">
        <f aca="false">DR90*C90</f>
        <v>0.00506569662309018</v>
      </c>
      <c r="DY90" s="57" t="n">
        <f aca="false">DS90*C90</f>
        <v>0.00650249870063529</v>
      </c>
      <c r="DZ90" s="57" t="n">
        <f aca="false">T90+AS90+BR90+CQ90</f>
        <v>0.000455238862700866</v>
      </c>
      <c r="EA90" s="57" t="n">
        <f aca="false">U90+AT90+BS90+CR90</f>
        <v>4.87928723157488E-005</v>
      </c>
      <c r="EB90" s="57" t="n">
        <f aca="false">V90+AU90+BT90+CS90</f>
        <v>0.000287175169341149</v>
      </c>
      <c r="EC90" s="57" t="n">
        <f aca="false">G90*dt*C90</f>
        <v>0.00322938961917009</v>
      </c>
    </row>
    <row r="91" customFormat="false" ht="15" hidden="false" customHeight="false" outlineLevel="0" collapsed="false">
      <c r="A91" s="8" t="n">
        <v>85</v>
      </c>
      <c r="B91" s="54" t="n">
        <f aca="false">start_age+A91*dt</f>
        <v>91.25</v>
      </c>
      <c r="C91" s="16" t="n">
        <f aca="false">(1+disc_rate)^-(A91*dt)</f>
        <v>0.728780262573475</v>
      </c>
      <c r="D91" s="55" t="n">
        <f aca="false">IF(A91*dt&gt;=wane_start,(1-wane_decay)^(A91*dt-wane_start),1)</f>
        <v>1</v>
      </c>
      <c r="E91" s="25" t="n">
        <f aca="false">MIN(p_nonvasc_death*MIN(EXP(gomp_int+gomp_slope*INT(B91)),1)/qx_ref,0.999)</f>
        <v>0.297023740462546</v>
      </c>
      <c r="F91" s="55" t="n">
        <f aca="false">rr_stroke_per_decade^((B91-ref_age)/10)</f>
        <v>2.36697638739445</v>
      </c>
      <c r="G91" s="57" t="n">
        <f aca="false">DH90</f>
        <v>0.0158472023039784</v>
      </c>
      <c r="H91" s="57" t="n">
        <f aca="false">DI90</f>
        <v>0.00240512883286906</v>
      </c>
      <c r="I91" s="57" t="n">
        <f aca="false">DJ90</f>
        <v>0.00122672918432413</v>
      </c>
      <c r="J91" s="57" t="n">
        <f aca="false">DK90</f>
        <v>0.0125115945982271</v>
      </c>
      <c r="K91" s="57" t="n">
        <f aca="false">DL90</f>
        <v>0.968009345080602</v>
      </c>
      <c r="L91" s="57" t="n">
        <f aca="false">1-EXP(LN(1-E91)*dt)</f>
        <v>0.0843380562700268</v>
      </c>
      <c r="M91" s="57" t="n">
        <f aca="false">G91*(1-L91)</f>
        <v>0.014510680064343</v>
      </c>
      <c r="N91" s="57" t="n">
        <f aca="false">IF(Warfarin!$B$2=1,EXP(LN(or_apx_stroke)*D91)*(1-EXP(-r_stroke*F91*dt))/(1-(1-EXP(-r_stroke*F91*dt))+EXP(LN(or_apx_stroke)*D91)*(1-EXP(-r_stroke*F91*dt))),(1-EXP(-r_stroke*F91*dt)))</f>
        <v>0.00949906268870715</v>
      </c>
      <c r="O91" s="57" t="n">
        <f aca="false">IF(Warfarin!$B$2=1,EXP(LN(or_apx_ich)*D91)*(1-EXP(-r_ich*dt))/(1-(1-EXP(-r_ich*dt))+EXP(LN(or_apx_ich)*D91)*(1-EXP(-r_ich*dt))),(1-EXP(-r_ich*dt)))</f>
        <v>0.0020060281549299</v>
      </c>
      <c r="P91" s="57" t="n">
        <f aca="false">IF(Warfarin!$B$2=1,EXP(LN(or_apx_mb)*D91)*(1-EXP(-r_mb*dt))/(1-(1-EXP(-r_mb*dt))+EXP(LN(or_apx_mb)*D91)*(1-EXP(-r_mb*dt))),(1-EXP(-r_mb*dt)))</f>
        <v>0.00835410477572107</v>
      </c>
      <c r="Q91" s="57" t="n">
        <f aca="false">IF(Warfarin!$B$2=1,EXP(LN(or_apx_mi)*D91)*(1-EXP(-r_mi*dt))/(1-(1-EXP(-r_mi*dt))+EXP(LN(or_apx_mi)*D91)*(1-EXP(-r_mi*dt))),(1-EXP(-r_mi*dt)))</f>
        <v>0.00150338686144691</v>
      </c>
      <c r="R91" s="57" t="n">
        <f aca="false">(1-EXP(-r_tia*dt))</f>
        <v>0.0020060281549299</v>
      </c>
      <c r="S91" s="57" t="n">
        <f aca="false">(1-EXP(-r_minor*dt))</f>
        <v>0.0437937690785545</v>
      </c>
      <c r="T91" s="57" t="n">
        <f aca="false">M91*N91</f>
        <v>0.000137837859586967</v>
      </c>
      <c r="U91" s="57" t="n">
        <f aca="false">M91*O91</f>
        <v>2.9108832756252E-005</v>
      </c>
      <c r="V91" s="57" t="n">
        <f aca="false">M91*P91</f>
        <v>0.000121223741624488</v>
      </c>
      <c r="W91" s="57" t="n">
        <f aca="false">M91*Q91</f>
        <v>2.18151657593929E-005</v>
      </c>
      <c r="X91" s="57" t="n">
        <f aca="false">M91*R91</f>
        <v>2.9108832756252E-005</v>
      </c>
      <c r="Y91" s="57" t="n">
        <f aca="false">M91*S91</f>
        <v>0.000635477371910622</v>
      </c>
      <c r="Z91" s="57" t="n">
        <f aca="false">T91*f_stroke_fatal</f>
        <v>3.26675727221113E-005</v>
      </c>
      <c r="AA91" s="57" t="n">
        <f aca="false">T91*(1-f_stroke_fatal)*f_stroke_major</f>
        <v>3.50217055259971E-005</v>
      </c>
      <c r="AB91" s="57" t="n">
        <f aca="false">T91*(1-f_stroke_fatal)*(1-f_stroke_major)</f>
        <v>7.0148581338859E-005</v>
      </c>
      <c r="AC91" s="57" t="n">
        <f aca="false">U91*(1-f_bleed_fatal)</f>
        <v>2.66636908047269E-005</v>
      </c>
      <c r="AD91" s="57" t="n">
        <f aca="false">V91*(1-f_bleed_fatal)</f>
        <v>0.000111040947328031</v>
      </c>
      <c r="AE91" s="57" t="n">
        <f aca="false">W91*f_mi_fatal</f>
        <v>2.63963505688654E-006</v>
      </c>
      <c r="AF91" s="57" t="n">
        <f aca="false">W91-AE91</f>
        <v>1.91755307025063E-005</v>
      </c>
      <c r="AG91" s="57" t="n">
        <f aca="false">M91-T91-U91-V91-AE91</f>
        <v>0.0142198699953184</v>
      </c>
      <c r="AH91" s="19" t="n">
        <f aca="false">Z91*c_stroke_fatal+AA91*c_stroke_major+AB91*c_stroke_minor+U91*c_ich+V91*c_major_bleed+AE91*c_mi_fatal+AF91*c_mi_nonfatal+X91*c_tia+Y91*c_minor_bleed</f>
        <v>7.06919506197904</v>
      </c>
      <c r="AI91" s="57" t="n">
        <f aca="false">dt*(AF91*dec_mi+AD91*dec_major_bleed+Y91*dec_minor_bleed+X91*dec_tia)</f>
        <v>5.96803102518106E-006</v>
      </c>
      <c r="AJ91" s="57" t="n">
        <f aca="false">G91*L91+Z91+U91-AC91+V91-AD91+AE91</f>
        <v>0.00138445738366241</v>
      </c>
      <c r="AK91" s="57" t="n">
        <f aca="false">1-EXP(LN(1-E91)*hr_death_prior_stroke*dt)</f>
        <v>0.183434778849147</v>
      </c>
      <c r="AL91" s="57" t="n">
        <f aca="false">H91*(1-AK91)</f>
        <v>0.00196394455730802</v>
      </c>
      <c r="AM91" s="57" t="n">
        <f aca="false">(1-EXP(-r_stroke*F91*rr_stroke_prior*rr_asa_stroke*dt))</f>
        <v>0.0334444231297811</v>
      </c>
      <c r="AN91" s="57" t="n">
        <f aca="false">(1-EXP(-r_ich*rr_asa_ich*dt))</f>
        <v>0.00102357767802375</v>
      </c>
      <c r="AO91" s="57" t="n">
        <f aca="false">(1-EXP(-r_mb*rr_asa_mb*dt))</f>
        <v>0.00951809672747972</v>
      </c>
      <c r="AP91" s="57" t="n">
        <f aca="false">(1-EXP(-r_mi*rr_asa_mi*dt))</f>
        <v>0.00213413516393479</v>
      </c>
      <c r="AQ91" s="57" t="n">
        <f aca="false">(1-EXP(-r_tia*rr_asa_tia*dt))</f>
        <v>0.00312764565589152</v>
      </c>
      <c r="AR91" s="57" t="n">
        <f aca="false">(1-EXP(-r_minor*rr_asa_minor*dt))</f>
        <v>0.0278181950466747</v>
      </c>
      <c r="AS91" s="57" t="n">
        <f aca="false">AL91*AM91</f>
        <v>6.56829927780401E-005</v>
      </c>
      <c r="AT91" s="57" t="n">
        <f aca="false">AL91*AN91</f>
        <v>2.01024980973672E-006</v>
      </c>
      <c r="AU91" s="57" t="n">
        <f aca="false">AL91*AO91</f>
        <v>1.86930142638651E-005</v>
      </c>
      <c r="AV91" s="57" t="n">
        <f aca="false">AL91*AP91</f>
        <v>4.1913231397694E-006</v>
      </c>
      <c r="AW91" s="57" t="n">
        <f aca="false">AL91*AQ91</f>
        <v>6.14252266307623E-006</v>
      </c>
      <c r="AX91" s="57" t="n">
        <f aca="false">AL91*AR91</f>
        <v>5.46333927560497E-005</v>
      </c>
      <c r="AY91" s="57" t="n">
        <f aca="false">AS91*f_stroke_fatal_recur</f>
        <v>2.4439984782781E-005</v>
      </c>
      <c r="AZ91" s="57" t="n">
        <f aca="false">AS91*(1-f_stroke_fatal_recur)*f_stroke_major</f>
        <v>1.37339216624213E-005</v>
      </c>
      <c r="BA91" s="57" t="n">
        <f aca="false">AS91*(1-f_stroke_fatal_recur)*(1-f_stroke_major)</f>
        <v>2.75090863328379E-005</v>
      </c>
      <c r="BB91" s="57" t="n">
        <f aca="false">AT91*(1-f_bleed_fatal)</f>
        <v>1.84138882571883E-006</v>
      </c>
      <c r="BC91" s="57" t="n">
        <f aca="false">AU91*(1-f_bleed_fatal)</f>
        <v>1.71228010657004E-005</v>
      </c>
      <c r="BD91" s="57" t="n">
        <f aca="false">AV91*f_mi_fatal</f>
        <v>5.07150099912097E-007</v>
      </c>
      <c r="BE91" s="57" t="n">
        <f aca="false">AV91-BD91</f>
        <v>3.6841730398573E-006</v>
      </c>
      <c r="BF91" s="57" t="n">
        <f aca="false">AL91-AS91-AT91-AU91-BD91</f>
        <v>0.00187705115035647</v>
      </c>
      <c r="BG91" s="19" t="n">
        <f aca="false">AY91*c_stroke_fatal+AZ91*c_stroke_major+BA91*c_stroke_minor+AT91*c_ich+AU91*c_major_bleed+BD91*c_mi_fatal+BE91*c_mi_nonfatal+AW91*c_tia+AX91*c_minor_bleed</f>
        <v>2.52917528579418</v>
      </c>
      <c r="BH91" s="57" t="n">
        <f aca="false">dt*(BE91*dec_mi+BC91*dec_major_bleed+AX91*dec_minor_bleed+AW91*dec_tia)</f>
        <v>8.44683317038025E-007</v>
      </c>
      <c r="BI91" s="57" t="n">
        <f aca="false">H91*AK91+AY91+AT91-BB91+AU91-BC91+BD91</f>
        <v>0.000467870484625918</v>
      </c>
      <c r="BJ91" s="57" t="n">
        <f aca="false">1-EXP(LN(1-E91)*hr_death_prior_stroke*dt)</f>
        <v>0.183434778849147</v>
      </c>
      <c r="BK91" s="57" t="n">
        <f aca="false">I91*(1-BJ91)</f>
        <v>0.00100170438768984</v>
      </c>
      <c r="BL91" s="57" t="n">
        <f aca="false">(1-EXP(-r_stroke*F91*rr_stroke_prior*rr_asa_stroke*dt))</f>
        <v>0.0334444231297811</v>
      </c>
      <c r="BM91" s="57" t="n">
        <f aca="false">(1-EXP(-r_ich*rr_asa_ich*dt))</f>
        <v>0.00102357767802375</v>
      </c>
      <c r="BN91" s="57" t="n">
        <f aca="false">(1-EXP(-r_mb*rr_asa_mb*dt))</f>
        <v>0.00951809672747972</v>
      </c>
      <c r="BO91" s="57" t="n">
        <f aca="false">(1-EXP(-r_mi*rr_asa_mi*dt))</f>
        <v>0.00213413516393479</v>
      </c>
      <c r="BP91" s="57" t="n">
        <f aca="false">(1-EXP(-r_tia*rr_asa_tia*dt))</f>
        <v>0.00312764565589152</v>
      </c>
      <c r="BQ91" s="57" t="n">
        <f aca="false">(1-EXP(-r_minor*rr_asa_minor*dt))</f>
        <v>0.0278181950466747</v>
      </c>
      <c r="BR91" s="57" t="n">
        <f aca="false">BK91*BL91</f>
        <v>3.35014253928574E-005</v>
      </c>
      <c r="BS91" s="57" t="n">
        <f aca="false">BK91*BM91</f>
        <v>1.02532225121777E-006</v>
      </c>
      <c r="BT91" s="57" t="n">
        <f aca="false">BK91*BN91</f>
        <v>9.53431925437275E-006</v>
      </c>
      <c r="BU91" s="57" t="n">
        <f aca="false">BK91*BO91</f>
        <v>2.13777255763666E-006</v>
      </c>
      <c r="BV91" s="57" t="n">
        <f aca="false">BK91*BP91</f>
        <v>3.13297637664561E-006</v>
      </c>
      <c r="BW91" s="57" t="n">
        <f aca="false">BK91*BQ91</f>
        <v>2.78656080358659E-005</v>
      </c>
      <c r="BX91" s="57" t="n">
        <f aca="false">BR91*f_stroke_fatal_recur</f>
        <v>1.24655453744283E-005</v>
      </c>
      <c r="BY91" s="57" t="n">
        <f aca="false">BR91*(1-f_stroke_fatal_recur)*f_stroke_major</f>
        <v>7.00494804613688E-006</v>
      </c>
      <c r="BZ91" s="57" t="n">
        <f aca="false">BR91*(1-f_stroke_fatal_recur)*(1-f_stroke_major)</f>
        <v>1.40309319722922E-005</v>
      </c>
      <c r="CA91" s="57" t="n">
        <f aca="false">BS91*(1-f_bleed_fatal)</f>
        <v>9.39195182115473E-007</v>
      </c>
      <c r="CB91" s="57" t="n">
        <f aca="false">BT91*(1-f_bleed_fatal)</f>
        <v>8.73343643700544E-006</v>
      </c>
      <c r="CC91" s="57" t="n">
        <f aca="false">BU91*f_mi_fatal</f>
        <v>2.58670479474036E-007</v>
      </c>
      <c r="CD91" s="57" t="n">
        <f aca="false">BU91-CC91</f>
        <v>1.87910207816262E-006</v>
      </c>
      <c r="CE91" s="57" t="n">
        <f aca="false">BK91-BR91-BS91-BT91-CC91</f>
        <v>0.000957384650311919</v>
      </c>
      <c r="CF91" s="19" t="n">
        <f aca="false">BX91*c_stroke_fatal+BY91*c_stroke_major+BZ91*c_stroke_minor+BS91*c_ich+BT91*c_major_bleed+CC91*c_mi_fatal+CD91*c_mi_nonfatal+BV91*c_tia+BW91*c_minor_bleed</f>
        <v>1.28999872811551</v>
      </c>
      <c r="CG91" s="57" t="n">
        <f aca="false">dt*(CD91*dec_mi+CB91*dec_major_bleed+BW91*dec_minor_bleed+BV91*dec_tia)</f>
        <v>4.30828345808895E-007</v>
      </c>
      <c r="CH91" s="57" t="n">
        <f aca="false">I91*BJ91+BX91+BS91-CA91+BT91-CB91+CC91</f>
        <v>0.000238636022374663</v>
      </c>
      <c r="CI91" s="57" t="n">
        <f aca="false">1-EXP(LN(1-E91)*dt)</f>
        <v>0.0843380562700268</v>
      </c>
      <c r="CJ91" s="57" t="n">
        <f aca="false">J91*(1-CI91)</f>
        <v>0.011456391028974</v>
      </c>
      <c r="CK91" s="57" t="n">
        <f aca="false">(1-EXP(-r_stroke*F91*rr_asa_stroke*dt))</f>
        <v>0.01534311224621</v>
      </c>
      <c r="CL91" s="57" t="n">
        <f aca="false">(1-EXP(-r_ich*rr_asa_ich*dt))</f>
        <v>0.00102357767802375</v>
      </c>
      <c r="CM91" s="57" t="n">
        <f aca="false">(1-EXP(-r_mb*rr_asa_mb*dt))</f>
        <v>0.00951809672747972</v>
      </c>
      <c r="CN91" s="57" t="n">
        <f aca="false">(1-EXP(-r_mi*rr_asa_mi*dt))</f>
        <v>0.00213413516393479</v>
      </c>
      <c r="CO91" s="57" t="n">
        <f aca="false">(1-EXP(-r_tia*rr_asa_tia*dt))</f>
        <v>0.00312764565589152</v>
      </c>
      <c r="CP91" s="57" t="n">
        <f aca="false">(1-EXP(-r_minor*rr_asa_minor*dt))</f>
        <v>0.0278181950466747</v>
      </c>
      <c r="CQ91" s="57" t="n">
        <f aca="false">CJ91*CK91</f>
        <v>0.000175776693494022</v>
      </c>
      <c r="CR91" s="57" t="n">
        <f aca="false">CJ91*CL91</f>
        <v>1.17265061279693E-005</v>
      </c>
      <c r="CS91" s="57" t="n">
        <f aca="false">CJ91*CM91</f>
        <v>0.000109043037961606</v>
      </c>
      <c r="CT91" s="57" t="n">
        <f aca="false">CJ91*CN91</f>
        <v>2.44494869467206E-005</v>
      </c>
      <c r="CU91" s="57" t="n">
        <f aca="false">CJ91*CO91</f>
        <v>3.58315316339652E-005</v>
      </c>
      <c r="CV91" s="57" t="n">
        <f aca="false">CJ91*CP91</f>
        <v>0.000318696120174974</v>
      </c>
      <c r="CW91" s="57" t="n">
        <f aca="false">CQ91*f_stroke_fatal</f>
        <v>4.16590763580832E-005</v>
      </c>
      <c r="CX91" s="57" t="n">
        <f aca="false">CQ91*(1-f_stroke_fatal)*f_stroke_major</f>
        <v>4.46611665062676E-005</v>
      </c>
      <c r="CY91" s="57" t="n">
        <f aca="false">CQ91*(1-f_stroke_fatal)*(1-f_stroke_major)</f>
        <v>8.94564506296711E-005</v>
      </c>
      <c r="CZ91" s="57" t="n">
        <f aca="false">CR91*(1-f_bleed_fatal)</f>
        <v>1.07414796132199E-005</v>
      </c>
      <c r="DA91" s="57" t="n">
        <f aca="false">CS91*(1-f_bleed_fatal)</f>
        <v>9.98834227728309E-005</v>
      </c>
      <c r="DB91" s="57" t="n">
        <f aca="false">CT91*f_mi_fatal</f>
        <v>2.95838792055319E-006</v>
      </c>
      <c r="DC91" s="57" t="n">
        <f aca="false">CT91-DB91</f>
        <v>2.14910990261674E-005</v>
      </c>
      <c r="DD91" s="57" t="n">
        <f aca="false">CJ91-CQ91-CR91-CS91-DB91</f>
        <v>0.0111568864034699</v>
      </c>
      <c r="DE91" s="19" t="n">
        <f aca="false">CW91*c_stroke_fatal+CX91*c_stroke_major+CY91*c_stroke_minor+CR91*c_ich+CS91*c_major_bleed+DB91*c_mi_fatal+DC91*c_mi_nonfatal+CU91*c_tia+CV91*c_minor_bleed</f>
        <v>8.03723001474898</v>
      </c>
      <c r="DF91" s="57" t="n">
        <f aca="false">dt*(DC91*dec_mi+DA91*dec_major_bleed+CV91*dec_minor_bleed+CU91*dec_tia)</f>
        <v>4.92733989848611E-006</v>
      </c>
      <c r="DG91" s="57" t="n">
        <f aca="false">J91*CI91+CW91+CR91-CZ91+CS91-DA91+DB91</f>
        <v>0.0011099656752352</v>
      </c>
      <c r="DH91" s="57" t="n">
        <f aca="false">AG91</f>
        <v>0.0142198699953184</v>
      </c>
      <c r="DI91" s="57" t="n">
        <f aca="false">AB91+AC91+BF91+BA91+BB91+BC91+CY91+CZ91</f>
        <v>0.0021205346289672</v>
      </c>
      <c r="DJ91" s="57" t="n">
        <f aca="false">AA91+AZ91+BY91+CX91+CE91+BZ91+CA91+CB91</f>
        <v>0.00108150995564415</v>
      </c>
      <c r="DK91" s="57" t="n">
        <f aca="false">AD91+DD91+DA91</f>
        <v>0.0113678107735707</v>
      </c>
      <c r="DL91" s="57" t="n">
        <f aca="false">K91+AJ91+BI91+CH91+DG91</f>
        <v>0.971210274646501</v>
      </c>
      <c r="DM91" s="58" t="n">
        <f aca="false">SUM(DH91:DL91)</f>
        <v>1</v>
      </c>
      <c r="DN91" s="19" t="n">
        <f aca="false">dt*(G91*Warfarin!$H$2+(H91+I91+J91)*c_aspirin)</f>
        <v>1.67979810688528</v>
      </c>
      <c r="DO91" s="19" t="n">
        <f aca="false">dt*(H91*c_lt_minor_stroke+I91*c_lt_major_stroke)</f>
        <v>14.5107456971865</v>
      </c>
      <c r="DP91" s="19" t="n">
        <f aca="false">AH91+BG91+CF91+DE91</f>
        <v>18.9255990906377</v>
      </c>
      <c r="DQ91" s="19" t="n">
        <f aca="false">DN91+DO91+DP91</f>
        <v>35.1161428947095</v>
      </c>
      <c r="DR91" s="57" t="n">
        <f aca="false">dt*(G91*(u_af-dec_per_year_over_70*MAX(B91-ref_age,0))+H91*(u_minor_stroke-dec_per_year_over_70*MAX(B91-ref_age,0))+I91*(u_major_stroke-dec_per_year_over_70*MAX(B91-ref_age,0))+J91*(u_af-dec_per_year_over_70*MAX(B91-ref_age,0)))-AI91-BH91-CG91-DF91</f>
        <v>0.00623416407521441</v>
      </c>
      <c r="DS91" s="57" t="n">
        <f aca="false">dt*(G91+H91+I91+J91)</f>
        <v>0.00799766372984968</v>
      </c>
      <c r="DT91" s="19" t="n">
        <f aca="false">DQ91*C91</f>
        <v>25.5919518393741</v>
      </c>
      <c r="DU91" s="19" t="n">
        <f aca="false">DN91*C91</f>
        <v>1.22420370540628</v>
      </c>
      <c r="DV91" s="19" t="n">
        <f aca="false">DP91*C91</f>
        <v>13.7926030746353</v>
      </c>
      <c r="DW91" s="19" t="n">
        <f aca="false">DO91*C91</f>
        <v>10.5751450593325</v>
      </c>
      <c r="DX91" s="57" t="n">
        <f aca="false">DR91*C91</f>
        <v>0.00454333573166088</v>
      </c>
      <c r="DY91" s="57" t="n">
        <f aca="false">DS91*C91</f>
        <v>0.00582853947301421</v>
      </c>
      <c r="DZ91" s="57" t="n">
        <f aca="false">T91+AS91+BR91+CQ91</f>
        <v>0.000412798971251887</v>
      </c>
      <c r="EA91" s="57" t="n">
        <f aca="false">U91+AT91+BS91+CR91</f>
        <v>4.38709109451758E-005</v>
      </c>
      <c r="EB91" s="57" t="n">
        <f aca="false">V91+AU91+BT91+CS91</f>
        <v>0.000258494113104332</v>
      </c>
      <c r="EC91" s="57" t="n">
        <f aca="false">G91*dt*C91</f>
        <v>0.0028872820640371</v>
      </c>
    </row>
    <row r="92" customFormat="false" ht="15" hidden="false" customHeight="false" outlineLevel="0" collapsed="false">
      <c r="A92" s="8" t="n">
        <v>86</v>
      </c>
      <c r="B92" s="54" t="n">
        <f aca="false">start_age+A92*dt</f>
        <v>91.5</v>
      </c>
      <c r="C92" s="16" t="n">
        <f aca="false">(1+disc_rate)^-(A92*dt)</f>
        <v>0.726072673000338</v>
      </c>
      <c r="D92" s="55" t="n">
        <f aca="false">IF(A92*dt&gt;=wane_start,(1-wane_decay)^(A92*dt-wane_start),1)</f>
        <v>1</v>
      </c>
      <c r="E92" s="25" t="n">
        <f aca="false">MIN(p_nonvasc_death*MIN(EXP(gomp_int+gomp_slope*INT(B92)),1)/qx_ref,0.999)</f>
        <v>0.297023740462546</v>
      </c>
      <c r="F92" s="55" t="n">
        <f aca="false">rr_stroke_per_decade^((B92-ref_age)/10)</f>
        <v>2.39109156260281</v>
      </c>
      <c r="G92" s="57" t="n">
        <f aca="false">DH91</f>
        <v>0.0142198699953184</v>
      </c>
      <c r="H92" s="57" t="n">
        <f aca="false">DI91</f>
        <v>0.0021205346289672</v>
      </c>
      <c r="I92" s="57" t="n">
        <f aca="false">DJ91</f>
        <v>0.00108150995564415</v>
      </c>
      <c r="J92" s="57" t="n">
        <f aca="false">DK91</f>
        <v>0.0113678107735707</v>
      </c>
      <c r="K92" s="57" t="n">
        <f aca="false">DL91</f>
        <v>0.971210274646501</v>
      </c>
      <c r="L92" s="57" t="n">
        <f aca="false">1-EXP(LN(1-E92)*dt)</f>
        <v>0.0843380562700268</v>
      </c>
      <c r="M92" s="57" t="n">
        <f aca="false">G92*(1-L92)</f>
        <v>0.0130205937995008</v>
      </c>
      <c r="N92" s="57" t="n">
        <f aca="false">IF(Warfarin!$B$2=1,EXP(LN(or_apx_stroke)*D92)*(1-EXP(-r_stroke*F92*dt))/(1-(1-EXP(-r_stroke*F92*dt))+EXP(LN(or_apx_stroke)*D92)*(1-EXP(-r_stroke*F92*dt))),(1-EXP(-r_stroke*F92*dt)))</f>
        <v>0.00959537502802677</v>
      </c>
      <c r="O92" s="57" t="n">
        <f aca="false">IF(Warfarin!$B$2=1,EXP(LN(or_apx_ich)*D92)*(1-EXP(-r_ich*dt))/(1-(1-EXP(-r_ich*dt))+EXP(LN(or_apx_ich)*D92)*(1-EXP(-r_ich*dt))),(1-EXP(-r_ich*dt)))</f>
        <v>0.0020060281549299</v>
      </c>
      <c r="P92" s="57" t="n">
        <f aca="false">IF(Warfarin!$B$2=1,EXP(LN(or_apx_mb)*D92)*(1-EXP(-r_mb*dt))/(1-(1-EXP(-r_mb*dt))+EXP(LN(or_apx_mb)*D92)*(1-EXP(-r_mb*dt))),(1-EXP(-r_mb*dt)))</f>
        <v>0.00835410477572107</v>
      </c>
      <c r="Q92" s="57" t="n">
        <f aca="false">IF(Warfarin!$B$2=1,EXP(LN(or_apx_mi)*D92)*(1-EXP(-r_mi*dt))/(1-(1-EXP(-r_mi*dt))+EXP(LN(or_apx_mi)*D92)*(1-EXP(-r_mi*dt))),(1-EXP(-r_mi*dt)))</f>
        <v>0.00150338686144691</v>
      </c>
      <c r="R92" s="57" t="n">
        <f aca="false">(1-EXP(-r_tia*dt))</f>
        <v>0.0020060281549299</v>
      </c>
      <c r="S92" s="57" t="n">
        <f aca="false">(1-EXP(-r_minor*dt))</f>
        <v>0.0437937690785545</v>
      </c>
      <c r="T92" s="57" t="n">
        <f aca="false">M92*N92</f>
        <v>0.00012493748059381</v>
      </c>
      <c r="U92" s="57" t="n">
        <f aca="false">M92*O92</f>
        <v>2.61196777557042E-005</v>
      </c>
      <c r="V92" s="57" t="n">
        <f aca="false">M92*P92</f>
        <v>0.000108775404843134</v>
      </c>
      <c r="W92" s="57" t="n">
        <f aca="false">M92*Q92</f>
        <v>1.95749896464066E-005</v>
      </c>
      <c r="X92" s="57" t="n">
        <f aca="false">M92*R92</f>
        <v>2.61196777557042E-005</v>
      </c>
      <c r="Y92" s="57" t="n">
        <f aca="false">M92*S92</f>
        <v>0.000570220878120996</v>
      </c>
      <c r="Z92" s="57" t="n">
        <f aca="false">T92*f_stroke_fatal</f>
        <v>2.9610182900733E-005</v>
      </c>
      <c r="AA92" s="57" t="n">
        <f aca="false">T92*(1-f_stroke_fatal)*f_stroke_major</f>
        <v>3.17439901317946E-005</v>
      </c>
      <c r="AB92" s="57" t="n">
        <f aca="false">T92*(1-f_stroke_fatal)*(1-f_stroke_major)</f>
        <v>6.35833075612824E-005</v>
      </c>
      <c r="AC92" s="57" t="n">
        <f aca="false">U92*(1-f_bleed_fatal)</f>
        <v>2.3925624824225E-005</v>
      </c>
      <c r="AD92" s="57" t="n">
        <f aca="false">V92*(1-f_bleed_fatal)</f>
        <v>9.96382708363105E-005</v>
      </c>
      <c r="AE92" s="57" t="n">
        <f aca="false">W92*f_mi_fatal</f>
        <v>2.3685737472152E-006</v>
      </c>
      <c r="AF92" s="57" t="n">
        <f aca="false">W92-AE92</f>
        <v>1.72064158991914E-005</v>
      </c>
      <c r="AG92" s="57" t="n">
        <f aca="false">M92-T92-U92-V92-AE92</f>
        <v>0.0127583926625609</v>
      </c>
      <c r="AH92" s="19" t="n">
        <f aca="false">Z92*c_stroke_fatal+AA92*c_stroke_major+AB92*c_stroke_minor+U92*c_ich+V92*c_major_bleed+AE92*c_mi_fatal+AF92*c_mi_nonfatal+X92*c_tia+Y92*c_minor_bleed</f>
        <v>6.389600907239</v>
      </c>
      <c r="AI92" s="57" t="n">
        <f aca="false">dt*(AF92*dec_mi+AD92*dec_major_bleed+Y92*dec_minor_bleed+X92*dec_tia)</f>
        <v>5.35518028218749E-006</v>
      </c>
      <c r="AJ92" s="57" t="n">
        <f aca="false">G92*L92+Z92+U92-AC92+V92-AD92+AE92</f>
        <v>0.00124258613940388</v>
      </c>
      <c r="AK92" s="57" t="n">
        <f aca="false">1-EXP(LN(1-E92)*hr_death_prior_stroke*dt)</f>
        <v>0.183434778849147</v>
      </c>
      <c r="AL92" s="57" t="n">
        <f aca="false">H92*(1-AK92)</f>
        <v>0.00173155482826065</v>
      </c>
      <c r="AM92" s="57" t="n">
        <f aca="false">(1-EXP(-r_stroke*F92*rr_stroke_prior*rr_asa_stroke*dt))</f>
        <v>0.0337793403120517</v>
      </c>
      <c r="AN92" s="57" t="n">
        <f aca="false">(1-EXP(-r_ich*rr_asa_ich*dt))</f>
        <v>0.00102357767802375</v>
      </c>
      <c r="AO92" s="57" t="n">
        <f aca="false">(1-EXP(-r_mb*rr_asa_mb*dt))</f>
        <v>0.00951809672747972</v>
      </c>
      <c r="AP92" s="57" t="n">
        <f aca="false">(1-EXP(-r_mi*rr_asa_mi*dt))</f>
        <v>0.00213413516393479</v>
      </c>
      <c r="AQ92" s="57" t="n">
        <f aca="false">(1-EXP(-r_tia*rr_asa_tia*dt))</f>
        <v>0.00312764565589152</v>
      </c>
      <c r="AR92" s="57" t="n">
        <f aca="false">(1-EXP(-r_minor*rr_asa_minor*dt))</f>
        <v>0.0278181950466747</v>
      </c>
      <c r="AS92" s="57" t="n">
        <f aca="false">AL92*AM92</f>
        <v>5.84907798127925E-005</v>
      </c>
      <c r="AT92" s="57" t="n">
        <f aca="false">AL92*AN92</f>
        <v>1.77238087048184E-006</v>
      </c>
      <c r="AU92" s="57" t="n">
        <f aca="false">AL92*AO92</f>
        <v>1.64811063443194E-005</v>
      </c>
      <c r="AV92" s="57" t="n">
        <f aca="false">AL92*AP92</f>
        <v>3.69537204727211E-006</v>
      </c>
      <c r="AW92" s="57" t="n">
        <f aca="false">AL92*AQ92</f>
        <v>5.4156899365474E-006</v>
      </c>
      <c r="AX92" s="57" t="n">
        <f aca="false">AL92*AR92</f>
        <v>4.8168729946566E-005</v>
      </c>
      <c r="AY92" s="57" t="n">
        <f aca="false">AS92*f_stroke_fatal_recur</f>
        <v>2.1763834260542E-005</v>
      </c>
      <c r="AZ92" s="57" t="n">
        <f aca="false">AS92*(1-f_stroke_fatal_recur)*f_stroke_major</f>
        <v>1.22300728688994E-005</v>
      </c>
      <c r="BA92" s="57" t="n">
        <f aca="false">AS92*(1-f_stroke_fatal_recur)*(1-f_stroke_major)</f>
        <v>2.44968726833511E-005</v>
      </c>
      <c r="BB92" s="57" t="n">
        <f aca="false">AT92*(1-f_bleed_fatal)</f>
        <v>1.62350087736136E-006</v>
      </c>
      <c r="BC92" s="57" t="n">
        <f aca="false">AU92*(1-f_bleed_fatal)</f>
        <v>1.50966934113965E-005</v>
      </c>
      <c r="BD92" s="57" t="n">
        <f aca="false">AV92*f_mi_fatal</f>
        <v>4.47140017719926E-007</v>
      </c>
      <c r="BE92" s="57" t="n">
        <f aca="false">AV92-BD92</f>
        <v>3.24823202955219E-006</v>
      </c>
      <c r="BF92" s="57" t="n">
        <f aca="false">AL92-AS92-AT92-AU92-BD92</f>
        <v>0.00165436342121533</v>
      </c>
      <c r="BG92" s="19" t="n">
        <f aca="false">AY92*c_stroke_fatal+AZ92*c_stroke_major+BA92*c_stroke_minor+AT92*c_ich+AU92*c_major_bleed+BD92*c_mi_fatal+BE92*c_mi_nonfatal+AW92*c_tia+AX92*c_minor_bleed</f>
        <v>2.24989849122007</v>
      </c>
      <c r="BH92" s="57" t="n">
        <f aca="false">dt*(BE92*dec_mi+BC92*dec_major_bleed+AX92*dec_minor_bleed+AW92*dec_tia)</f>
        <v>7.44733587578061E-007</v>
      </c>
      <c r="BI92" s="57" t="n">
        <f aca="false">H92*AK92+AY92+AT92-BB92+AU92-BC92+BD92</f>
        <v>0.000412724067910861</v>
      </c>
      <c r="BJ92" s="57" t="n">
        <f aca="false">1-EXP(LN(1-E92)*hr_death_prior_stroke*dt)</f>
        <v>0.183434778849147</v>
      </c>
      <c r="BK92" s="57" t="n">
        <f aca="false">I92*(1-BJ92)</f>
        <v>0.000883123416107419</v>
      </c>
      <c r="BL92" s="57" t="n">
        <f aca="false">(1-EXP(-r_stroke*F92*rr_stroke_prior*rr_asa_stroke*dt))</f>
        <v>0.0337793403120517</v>
      </c>
      <c r="BM92" s="57" t="n">
        <f aca="false">(1-EXP(-r_ich*rr_asa_ich*dt))</f>
        <v>0.00102357767802375</v>
      </c>
      <c r="BN92" s="57" t="n">
        <f aca="false">(1-EXP(-r_mb*rr_asa_mb*dt))</f>
        <v>0.00951809672747972</v>
      </c>
      <c r="BO92" s="57" t="n">
        <f aca="false">(1-EXP(-r_mi*rr_asa_mi*dt))</f>
        <v>0.00213413516393479</v>
      </c>
      <c r="BP92" s="57" t="n">
        <f aca="false">(1-EXP(-r_tia*rr_asa_tia*dt))</f>
        <v>0.00312764565589152</v>
      </c>
      <c r="BQ92" s="57" t="n">
        <f aca="false">(1-EXP(-r_minor*rr_asa_minor*dt))</f>
        <v>0.0278181950466747</v>
      </c>
      <c r="BR92" s="57" t="n">
        <f aca="false">BK92*BL92</f>
        <v>2.98313264102341E-005</v>
      </c>
      <c r="BS92" s="57" t="n">
        <f aca="false">BK92*BM92</f>
        <v>9.0394541566763E-007</v>
      </c>
      <c r="BT92" s="57" t="n">
        <f aca="false">BK92*BN92</f>
        <v>8.40565409681273E-006</v>
      </c>
      <c r="BU92" s="57" t="n">
        <f aca="false">BK92*BO92</f>
        <v>1.88470473640906E-006</v>
      </c>
      <c r="BV92" s="57" t="n">
        <f aca="false">BK92*BP92</f>
        <v>2.76209711600445E-006</v>
      </c>
      <c r="BW92" s="57" t="n">
        <f aca="false">BK92*BQ92</f>
        <v>2.45668994395618E-005</v>
      </c>
      <c r="BX92" s="57" t="n">
        <f aca="false">BR92*f_stroke_fatal_recur</f>
        <v>1.1099938243984E-005</v>
      </c>
      <c r="BY92" s="57" t="n">
        <f aca="false">BR92*(1-f_stroke_fatal_recur)*f_stroke_major</f>
        <v>6.23755225936128E-006</v>
      </c>
      <c r="BZ92" s="57" t="n">
        <f aca="false">BR92*(1-f_stroke_fatal_recur)*(1-f_stroke_major)</f>
        <v>1.24938359068888E-005</v>
      </c>
      <c r="CA92" s="57" t="n">
        <f aca="false">BS92*(1-f_bleed_fatal)</f>
        <v>8.28014000751549E-007</v>
      </c>
      <c r="CB92" s="57" t="n">
        <f aca="false">BT92*(1-f_bleed_fatal)</f>
        <v>7.69957915268046E-006</v>
      </c>
      <c r="CC92" s="57" t="n">
        <f aca="false">BU92*f_mi_fatal</f>
        <v>2.28049273105496E-007</v>
      </c>
      <c r="CD92" s="57" t="n">
        <f aca="false">BU92-CC92</f>
        <v>1.65665546330356E-006</v>
      </c>
      <c r="CE92" s="57" t="n">
        <f aca="false">BK92-BR92-BS92-BT92-CC92</f>
        <v>0.000843754440911599</v>
      </c>
      <c r="CF92" s="19" t="n">
        <f aca="false">BX92*c_stroke_fatal+BY92*c_stroke_major+BZ92*c_stroke_minor+BS92*c_ich+BT92*c_major_bleed+CC92*c_mi_fatal+CD92*c_mi_nonfatal+BV92*c_tia+BW92*c_minor_bleed</f>
        <v>1.1474878005781</v>
      </c>
      <c r="CG92" s="57" t="n">
        <f aca="false">dt*(CD92*dec_mi+CB92*dec_major_bleed+BW92*dec_minor_bleed+BV92*dec_tia)</f>
        <v>3.79827227655578E-007</v>
      </c>
      <c r="CH92" s="57" t="n">
        <f aca="false">I92*BJ92+BX92+BS92-CA92+BT92-CB92+CC92</f>
        <v>0.000210496533412874</v>
      </c>
      <c r="CI92" s="57" t="n">
        <f aca="false">1-EXP(LN(1-E92)*dt)</f>
        <v>0.0843380562700268</v>
      </c>
      <c r="CJ92" s="57" t="n">
        <f aca="false">J92*(1-CI92)</f>
        <v>0.0104090717088823</v>
      </c>
      <c r="CK92" s="57" t="n">
        <f aca="false">(1-EXP(-r_stroke*F92*rr_asa_stroke*dt))</f>
        <v>0.0154982129923326</v>
      </c>
      <c r="CL92" s="57" t="n">
        <f aca="false">(1-EXP(-r_ich*rr_asa_ich*dt))</f>
        <v>0.00102357767802375</v>
      </c>
      <c r="CM92" s="57" t="n">
        <f aca="false">(1-EXP(-r_mb*rr_asa_mb*dt))</f>
        <v>0.00951809672747972</v>
      </c>
      <c r="CN92" s="57" t="n">
        <f aca="false">(1-EXP(-r_mi*rr_asa_mi*dt))</f>
        <v>0.00213413516393479</v>
      </c>
      <c r="CO92" s="57" t="n">
        <f aca="false">(1-EXP(-r_tia*rr_asa_tia*dt))</f>
        <v>0.00312764565589152</v>
      </c>
      <c r="CP92" s="57" t="n">
        <f aca="false">(1-EXP(-r_minor*rr_asa_minor*dt))</f>
        <v>0.0278181950466747</v>
      </c>
      <c r="CQ92" s="57" t="n">
        <f aca="false">CJ92*CK92</f>
        <v>0.000161322010396721</v>
      </c>
      <c r="CR92" s="57" t="n">
        <f aca="false">CJ92*CL92</f>
        <v>1.06544934501604E-005</v>
      </c>
      <c r="CS92" s="57" t="n">
        <f aca="false">CJ92*CM92</f>
        <v>9.90745513684145E-005</v>
      </c>
      <c r="CT92" s="57" t="n">
        <f aca="false">CJ92*CN92</f>
        <v>2.22143659578446E-005</v>
      </c>
      <c r="CU92" s="57" t="n">
        <f aca="false">CJ92*CO92</f>
        <v>3.25558879121491E-005</v>
      </c>
      <c r="CV92" s="57" t="n">
        <f aca="false">CJ92*CP92</f>
        <v>0.000289561587052512</v>
      </c>
      <c r="CW92" s="57" t="n">
        <f aca="false">CQ92*f_stroke_fatal</f>
        <v>3.82333164640229E-005</v>
      </c>
      <c r="CX92" s="57" t="n">
        <f aca="false">CQ92*(1-f_stroke_fatal)*f_stroke_major</f>
        <v>4.09885350795885E-005</v>
      </c>
      <c r="CY92" s="57" t="n">
        <f aca="false">CQ92*(1-f_stroke_fatal)*(1-f_stroke_major)</f>
        <v>8.21001588531098E-005</v>
      </c>
      <c r="CZ92" s="57" t="n">
        <f aca="false">CR92*(1-f_bleed_fatal)</f>
        <v>9.75951600034695E-006</v>
      </c>
      <c r="DA92" s="57" t="n">
        <f aca="false">CS92*(1-f_bleed_fatal)</f>
        <v>9.07522890534677E-005</v>
      </c>
      <c r="DB92" s="57" t="n">
        <f aca="false">CT92*f_mi_fatal</f>
        <v>2.68793828089919E-006</v>
      </c>
      <c r="DC92" s="57" t="n">
        <f aca="false">CT92-DB92</f>
        <v>1.95264276769454E-005</v>
      </c>
      <c r="DD92" s="57" t="n">
        <f aca="false">CJ92-CQ92-CR92-CS92-DB92</f>
        <v>0.0101353327153861</v>
      </c>
      <c r="DE92" s="19" t="n">
        <f aca="false">CW92*c_stroke_fatal+CX92*c_stroke_major+CY92*c_stroke_minor+CR92*c_ich+CS92*c_major_bleed+DB92*c_mi_fatal+DC92*c_mi_nonfatal+CU92*c_tia+CV92*c_minor_bleed</f>
        <v>7.36213352689004</v>
      </c>
      <c r="DF92" s="57" t="n">
        <f aca="false">dt*(DC92*dec_mi+DA92*dec_major_bleed+CV92*dec_minor_bleed+CU92*dec_tia)</f>
        <v>4.4768927847928E-006</v>
      </c>
      <c r="DG92" s="57" t="n">
        <f aca="false">J92*CI92+CW92+CR92-CZ92+CS92-DA92+DB92</f>
        <v>0.00100887755919811</v>
      </c>
      <c r="DH92" s="57" t="n">
        <f aca="false">AG92</f>
        <v>0.0127583926625609</v>
      </c>
      <c r="DI92" s="57" t="n">
        <f aca="false">AB92+AC92+BF92+BA92+BB92+BC92+CY92+CZ92</f>
        <v>0.00187494909542641</v>
      </c>
      <c r="DJ92" s="57" t="n">
        <f aca="false">AA92+AZ92+BY92+CX92+CE92+BZ92+CA92+CB92</f>
        <v>0.000955976020311564</v>
      </c>
      <c r="DK92" s="57" t="n">
        <f aca="false">AD92+DD92+DA92</f>
        <v>0.0103257232752759</v>
      </c>
      <c r="DL92" s="57" t="n">
        <f aca="false">K92+AJ92+BI92+CH92+DG92</f>
        <v>0.974084958946426</v>
      </c>
      <c r="DM92" s="58" t="n">
        <f aca="false">SUM(DH92:DL92)</f>
        <v>1</v>
      </c>
      <c r="DN92" s="19" t="n">
        <f aca="false">dt*(G92*Warfarin!$H$2+(H92+I92+J92)*c_aspirin)</f>
        <v>1.50812279944997</v>
      </c>
      <c r="DO92" s="19" t="n">
        <f aca="false">dt*(H92*c_lt_minor_stroke+I92*c_lt_major_stroke)</f>
        <v>12.793307743898</v>
      </c>
      <c r="DP92" s="19" t="n">
        <f aca="false">AH92+BG92+CF92+DE92</f>
        <v>17.1491207259272</v>
      </c>
      <c r="DQ92" s="19" t="n">
        <f aca="false">DN92+DO92+DP92</f>
        <v>31.4505512692751</v>
      </c>
      <c r="DR92" s="57" t="n">
        <f aca="false">dt*(G92*(u_af-dec_per_year_over_70*MAX(B92-ref_age,0))+H92*(u_minor_stroke-dec_per_year_over_70*MAX(B92-ref_age,0))+I92*(u_major_stroke-dec_per_year_over_70*MAX(B92-ref_age,0))+J92*(u_af-dec_per_year_over_70*MAX(B92-ref_age,0)))-AI92-BH92-CG92-DF92</f>
        <v>0.00561320053316623</v>
      </c>
      <c r="DS92" s="57" t="n">
        <f aca="false">dt*(G92+H92+I92+J92)</f>
        <v>0.00719743133837513</v>
      </c>
      <c r="DT92" s="19" t="n">
        <f aca="false">DQ92*C92</f>
        <v>22.8353858274168</v>
      </c>
      <c r="DU92" s="19" t="n">
        <f aca="false">DN92*C92</f>
        <v>1.09500675220939</v>
      </c>
      <c r="DV92" s="19" t="n">
        <f aca="false">DP92*C92</f>
        <v>12.4515079250795</v>
      </c>
      <c r="DW92" s="19" t="n">
        <f aca="false">DO92*C92</f>
        <v>9.28887115012791</v>
      </c>
      <c r="DX92" s="57" t="n">
        <f aca="false">DR92*C92</f>
        <v>0.00407559151520293</v>
      </c>
      <c r="DY92" s="57" t="n">
        <f aca="false">DS92*C92</f>
        <v>0.00522585821059043</v>
      </c>
      <c r="DZ92" s="57" t="n">
        <f aca="false">T92+AS92+BR92+CQ92</f>
        <v>0.000374581597213558</v>
      </c>
      <c r="EA92" s="57" t="n">
        <f aca="false">U92+AT92+BS92+CR92</f>
        <v>3.94504974920141E-005</v>
      </c>
      <c r="EB92" s="57" t="n">
        <f aca="false">V92+AU92+BT92+CS92</f>
        <v>0.00023273671665268</v>
      </c>
      <c r="EC92" s="57" t="n">
        <f aca="false">G92*dt*C92</f>
        <v>0.00258116475430454</v>
      </c>
    </row>
    <row r="93" customFormat="false" ht="15" hidden="false" customHeight="false" outlineLevel="0" collapsed="false">
      <c r="A93" s="8" t="n">
        <v>87</v>
      </c>
      <c r="B93" s="54" t="n">
        <f aca="false">start_age+A93*dt</f>
        <v>91.75</v>
      </c>
      <c r="C93" s="16" t="n">
        <f aca="false">(1+disc_rate)^-(A93*dt)</f>
        <v>0.72337514275739</v>
      </c>
      <c r="D93" s="55" t="n">
        <f aca="false">IF(A93*dt&gt;=wane_start,(1-wane_decay)^(A93*dt-wane_start),1)</f>
        <v>1</v>
      </c>
      <c r="E93" s="25" t="n">
        <f aca="false">MIN(p_nonvasc_death*MIN(EXP(gomp_int+gomp_slope*INT(B93)),1)/qx_ref,0.999)</f>
        <v>0.297023740462546</v>
      </c>
      <c r="F93" s="55" t="n">
        <f aca="false">rr_stroke_per_decade^((B93-ref_age)/10)</f>
        <v>2.41545242749291</v>
      </c>
      <c r="G93" s="57" t="n">
        <f aca="false">DH92</f>
        <v>0.0127583926625609</v>
      </c>
      <c r="H93" s="57" t="n">
        <f aca="false">DI92</f>
        <v>0.00187494909542641</v>
      </c>
      <c r="I93" s="57" t="n">
        <f aca="false">DJ92</f>
        <v>0.000955976020311564</v>
      </c>
      <c r="J93" s="57" t="n">
        <f aca="false">DK92</f>
        <v>0.0103257232752759</v>
      </c>
      <c r="K93" s="57" t="n">
        <f aca="false">DL92</f>
        <v>0.974084958946426</v>
      </c>
      <c r="L93" s="57" t="n">
        <f aca="false">1-EXP(LN(1-E93)*dt)</f>
        <v>0.0843380562700268</v>
      </c>
      <c r="M93" s="57" t="n">
        <f aca="false">G93*(1-L93)</f>
        <v>0.0116823746242708</v>
      </c>
      <c r="N93" s="57" t="n">
        <f aca="false">IF(Warfarin!$B$2=1,EXP(LN(or_apx_stroke)*D93)*(1-EXP(-r_stroke*F93*dt))/(1-(1-EXP(-r_stroke*F93*dt))+EXP(LN(or_apx_stroke)*D93)*(1-EXP(-r_stroke*F93*dt))),(1-EXP(-r_stroke*F93*dt)))</f>
        <v>0.00969265910591255</v>
      </c>
      <c r="O93" s="57" t="n">
        <f aca="false">IF(Warfarin!$B$2=1,EXP(LN(or_apx_ich)*D93)*(1-EXP(-r_ich*dt))/(1-(1-EXP(-r_ich*dt))+EXP(LN(or_apx_ich)*D93)*(1-EXP(-r_ich*dt))),(1-EXP(-r_ich*dt)))</f>
        <v>0.0020060281549299</v>
      </c>
      <c r="P93" s="57" t="n">
        <f aca="false">IF(Warfarin!$B$2=1,EXP(LN(or_apx_mb)*D93)*(1-EXP(-r_mb*dt))/(1-(1-EXP(-r_mb*dt))+EXP(LN(or_apx_mb)*D93)*(1-EXP(-r_mb*dt))),(1-EXP(-r_mb*dt)))</f>
        <v>0.00835410477572107</v>
      </c>
      <c r="Q93" s="57" t="n">
        <f aca="false">IF(Warfarin!$B$2=1,EXP(LN(or_apx_mi)*D93)*(1-EXP(-r_mi*dt))/(1-(1-EXP(-r_mi*dt))+EXP(LN(or_apx_mi)*D93)*(1-EXP(-r_mi*dt))),(1-EXP(-r_mi*dt)))</f>
        <v>0.00150338686144691</v>
      </c>
      <c r="R93" s="57" t="n">
        <f aca="false">(1-EXP(-r_tia*dt))</f>
        <v>0.0020060281549299</v>
      </c>
      <c r="S93" s="57" t="n">
        <f aca="false">(1-EXP(-r_minor*dt))</f>
        <v>0.0437937690785545</v>
      </c>
      <c r="T93" s="57" t="n">
        <f aca="false">M93*N93</f>
        <v>0.00011323327478062</v>
      </c>
      <c r="U93" s="57" t="n">
        <f aca="false">M93*O93</f>
        <v>2.34351724127257E-005</v>
      </c>
      <c r="V93" s="57" t="n">
        <f aca="false">M93*P93</f>
        <v>9.75957816403831E-005</v>
      </c>
      <c r="W93" s="57" t="n">
        <f aca="false">M93*Q93</f>
        <v>1.75631285206294E-005</v>
      </c>
      <c r="X93" s="57" t="n">
        <f aca="false">M93*R93</f>
        <v>2.34351724127257E-005</v>
      </c>
      <c r="Y93" s="57" t="n">
        <f aca="false">M93*S93</f>
        <v>0.000511615216584479</v>
      </c>
      <c r="Z93" s="57" t="n">
        <f aca="false">T93*f_stroke_fatal</f>
        <v>2.68362861230069E-005</v>
      </c>
      <c r="AA93" s="57" t="n">
        <f aca="false">T93*(1-f_stroke_fatal)*f_stroke_major</f>
        <v>2.87701972229851E-005</v>
      </c>
      <c r="AB93" s="57" t="n">
        <f aca="false">T93*(1-f_stroke_fatal)*(1-f_stroke_major)</f>
        <v>5.76267914346278E-005</v>
      </c>
      <c r="AC93" s="57" t="n">
        <f aca="false">U93*(1-f_bleed_fatal)</f>
        <v>2.14666179300568E-005</v>
      </c>
      <c r="AD93" s="57" t="n">
        <f aca="false">V93*(1-f_bleed_fatal)</f>
        <v>8.93977359825909E-005</v>
      </c>
      <c r="AE93" s="57" t="n">
        <f aca="false">W93*f_mi_fatal</f>
        <v>2.12513855099616E-006</v>
      </c>
      <c r="AF93" s="57" t="n">
        <f aca="false">W93-AE93</f>
        <v>1.54379899696333E-005</v>
      </c>
      <c r="AG93" s="57" t="n">
        <f aca="false">M93-T93-U93-V93-AE93</f>
        <v>0.011445985256886</v>
      </c>
      <c r="AH93" s="19" t="n">
        <f aca="false">Z93*c_stroke_fatal+AA93*c_stroke_major+AB93*c_stroke_minor+U93*c_ich+V93*c_major_bleed+AE93*c_mi_fatal+AF93*c_mi_nonfatal+X93*c_tia+Y93*c_minor_bleed</f>
        <v>5.7748874230942</v>
      </c>
      <c r="AI93" s="57" t="n">
        <f aca="false">dt*(AF93*dec_mi+AD93*dec_major_bleed+Y93*dec_minor_bleed+X93*dec_tia)</f>
        <v>4.80479025767787E-006</v>
      </c>
      <c r="AJ93" s="57" t="n">
        <f aca="false">G93*L93+Z93+U93-AC93+V93-AD93+AE93</f>
        <v>0.00111514606310462</v>
      </c>
      <c r="AK93" s="57" t="n">
        <f aca="false">1-EXP(LN(1-E93)*hr_death_prior_stroke*dt)</f>
        <v>0.183434778849147</v>
      </c>
      <c r="AL93" s="57" t="n">
        <f aca="false">H93*(1-AK93)</f>
        <v>0.00153101822275346</v>
      </c>
      <c r="AM93" s="57" t="n">
        <f aca="false">(1-EXP(-r_stroke*F93*rr_stroke_prior*rr_asa_stroke*dt))</f>
        <v>0.0341175518597983</v>
      </c>
      <c r="AN93" s="57" t="n">
        <f aca="false">(1-EXP(-r_ich*rr_asa_ich*dt))</f>
        <v>0.00102357767802375</v>
      </c>
      <c r="AO93" s="57" t="n">
        <f aca="false">(1-EXP(-r_mb*rr_asa_mb*dt))</f>
        <v>0.00951809672747972</v>
      </c>
      <c r="AP93" s="57" t="n">
        <f aca="false">(1-EXP(-r_mi*rr_asa_mi*dt))</f>
        <v>0.00213413516393479</v>
      </c>
      <c r="AQ93" s="57" t="n">
        <f aca="false">(1-EXP(-r_tia*rr_asa_tia*dt))</f>
        <v>0.00312764565589152</v>
      </c>
      <c r="AR93" s="57" t="n">
        <f aca="false">(1-EXP(-r_minor*rr_asa_minor*dt))</f>
        <v>0.0278181950466747</v>
      </c>
      <c r="AS93" s="57" t="n">
        <f aca="false">AL93*AM93</f>
        <v>5.22345936130872E-005</v>
      </c>
      <c r="AT93" s="57" t="n">
        <f aca="false">AL93*AN93</f>
        <v>1.56711607745802E-006</v>
      </c>
      <c r="AU93" s="57" t="n">
        <f aca="false">AL93*AO93</f>
        <v>1.45723795357015E-005</v>
      </c>
      <c r="AV93" s="57" t="n">
        <f aca="false">AL93*AP93</f>
        <v>3.2673998258031E-006</v>
      </c>
      <c r="AW93" s="57" t="n">
        <f aca="false">AL93*AQ93</f>
        <v>4.7884824934856E-006</v>
      </c>
      <c r="AX93" s="57" t="n">
        <f aca="false">AL93*AR93</f>
        <v>4.25901635405689E-005</v>
      </c>
      <c r="AY93" s="57" t="n">
        <f aca="false">AS93*f_stroke_fatal_recur</f>
        <v>1.94359699374936E-005</v>
      </c>
      <c r="AZ93" s="57" t="n">
        <f aca="false">AS93*(1-f_stroke_fatal_recur)*f_stroke_major</f>
        <v>1.09219416839727E-005</v>
      </c>
      <c r="BA93" s="57" t="n">
        <f aca="false">AS93*(1-f_stroke_fatal_recur)*(1-f_stroke_major)</f>
        <v>2.18766819916209E-005</v>
      </c>
      <c r="BB93" s="57" t="n">
        <f aca="false">AT93*(1-f_bleed_fatal)</f>
        <v>1.43547832695155E-006</v>
      </c>
      <c r="BC93" s="57" t="n">
        <f aca="false">AU93*(1-f_bleed_fatal)</f>
        <v>1.33482996547026E-005</v>
      </c>
      <c r="BD93" s="57" t="n">
        <f aca="false">AV93*f_mi_fatal</f>
        <v>3.95355378922175E-007</v>
      </c>
      <c r="BE93" s="57" t="n">
        <f aca="false">AV93-BD93</f>
        <v>2.87204444688092E-006</v>
      </c>
      <c r="BF93" s="57" t="n">
        <f aca="false">AL93-AS93-AT93-AU93-BD93</f>
        <v>0.00146224877814829</v>
      </c>
      <c r="BG93" s="19" t="n">
        <f aca="false">AY93*c_stroke_fatal+AZ93*c_stroke_major+BA93*c_stroke_minor+AT93*c_ich+AU93*c_major_bleed+BD93*c_mi_fatal+BE93*c_mi_nonfatal+AW93*c_tia+AX93*c_minor_bleed</f>
        <v>2.00718467748942</v>
      </c>
      <c r="BH93" s="57" t="n">
        <f aca="false">dt*(BE93*dec_mi+BC93*dec_major_bleed+AX93*dec_minor_bleed+AW93*dec_tia)</f>
        <v>6.58483736737291E-007</v>
      </c>
      <c r="BI93" s="57" t="n">
        <f aca="false">H93*AK93+AY93+AT93-BB93+AU93-BC93+BD93</f>
        <v>0.000365117915620871</v>
      </c>
      <c r="BJ93" s="57" t="n">
        <f aca="false">1-EXP(LN(1-E93)*hr_death_prior_stroke*dt)</f>
        <v>0.183434778849147</v>
      </c>
      <c r="BK93" s="57" t="n">
        <f aca="false">I93*(1-BJ93)</f>
        <v>0.000780616770440625</v>
      </c>
      <c r="BL93" s="57" t="n">
        <f aca="false">(1-EXP(-r_stroke*F93*rr_stroke_prior*rr_asa_stroke*dt))</f>
        <v>0.0341175518597983</v>
      </c>
      <c r="BM93" s="57" t="n">
        <f aca="false">(1-EXP(-r_ich*rr_asa_ich*dt))</f>
        <v>0.00102357767802375</v>
      </c>
      <c r="BN93" s="57" t="n">
        <f aca="false">(1-EXP(-r_mb*rr_asa_mb*dt))</f>
        <v>0.00951809672747972</v>
      </c>
      <c r="BO93" s="57" t="n">
        <f aca="false">(1-EXP(-r_mi*rr_asa_mi*dt))</f>
        <v>0.00213413516393479</v>
      </c>
      <c r="BP93" s="57" t="n">
        <f aca="false">(1-EXP(-r_tia*rr_asa_tia*dt))</f>
        <v>0.00312764565589152</v>
      </c>
      <c r="BQ93" s="57" t="n">
        <f aca="false">(1-EXP(-r_minor*rr_asa_minor*dt))</f>
        <v>0.0278181950466747</v>
      </c>
      <c r="BR93" s="57" t="n">
        <f aca="false">BK93*BL93</f>
        <v>2.66327331481362E-005</v>
      </c>
      <c r="BS93" s="57" t="n">
        <f aca="false">BK93*BM93</f>
        <v>7.9902190131401E-007</v>
      </c>
      <c r="BT93" s="57" t="n">
        <f aca="false">BK93*BN93</f>
        <v>7.4299859281467E-006</v>
      </c>
      <c r="BU93" s="57" t="n">
        <f aca="false">BK93*BO93</f>
        <v>1.66594169935455E-006</v>
      </c>
      <c r="BV93" s="57" t="n">
        <f aca="false">BK93*BP93</f>
        <v>2.44149265098469E-006</v>
      </c>
      <c r="BW93" s="57" t="n">
        <f aca="false">BK93*BQ93</f>
        <v>2.17153495768226E-005</v>
      </c>
      <c r="BX93" s="57" t="n">
        <f aca="false">BR93*f_stroke_fatal_recur</f>
        <v>9.90977367709001E-006</v>
      </c>
      <c r="BY93" s="57" t="n">
        <f aca="false">BR93*(1-f_stroke_fatal_recur)*f_stroke_major</f>
        <v>5.56874550385839E-006</v>
      </c>
      <c r="BZ93" s="57" t="n">
        <f aca="false">BR93*(1-f_stroke_fatal_recur)*(1-f_stroke_major)</f>
        <v>1.11542139671878E-005</v>
      </c>
      <c r="CA93" s="57" t="n">
        <f aca="false">BS93*(1-f_bleed_fatal)</f>
        <v>7.31904061603633E-007</v>
      </c>
      <c r="CB93" s="57" t="n">
        <f aca="false">BT93*(1-f_bleed_fatal)</f>
        <v>6.80586711018237E-006</v>
      </c>
      <c r="CC93" s="57" t="n">
        <f aca="false">BU93*f_mi_fatal</f>
        <v>2.01578945621901E-007</v>
      </c>
      <c r="CD93" s="57" t="n">
        <f aca="false">BU93-CC93</f>
        <v>1.46436275373265E-006</v>
      </c>
      <c r="CE93" s="57" t="n">
        <f aca="false">BK93-BR93-BS93-BT93-CC93</f>
        <v>0.000745553450517406</v>
      </c>
      <c r="CF93" s="19" t="n">
        <f aca="false">BX93*c_stroke_fatal+BY93*c_stroke_major+BZ93*c_stroke_minor+BS93*c_ich+BT93*c_major_bleed+CC93*c_mi_fatal+CD93*c_mi_nonfatal+BV93*c_tia+BW93*c_minor_bleed</f>
        <v>1.02339867503459</v>
      </c>
      <c r="CG93" s="57" t="n">
        <f aca="false">dt*(CD93*dec_mi+CB93*dec_major_bleed+BW93*dec_minor_bleed+BV93*dec_tia)</f>
        <v>3.35739601475869E-007</v>
      </c>
      <c r="CH93" s="57" t="n">
        <f aca="false">I93*BJ93+BX93+BS93-CA93+BT93-CB93+CC93</f>
        <v>0.000186161839151325</v>
      </c>
      <c r="CI93" s="57" t="n">
        <f aca="false">1-EXP(LN(1-E93)*dt)</f>
        <v>0.0843380562700268</v>
      </c>
      <c r="CJ93" s="57" t="n">
        <f aca="false">J93*(1-CI93)</f>
        <v>0.00945487184465696</v>
      </c>
      <c r="CK93" s="57" t="n">
        <f aca="false">(1-EXP(-r_stroke*F93*rr_asa_stroke*dt))</f>
        <v>0.0156548691266555</v>
      </c>
      <c r="CL93" s="57" t="n">
        <f aca="false">(1-EXP(-r_ich*rr_asa_ich*dt))</f>
        <v>0.00102357767802375</v>
      </c>
      <c r="CM93" s="57" t="n">
        <f aca="false">(1-EXP(-r_mb*rr_asa_mb*dt))</f>
        <v>0.00951809672747972</v>
      </c>
      <c r="CN93" s="57" t="n">
        <f aca="false">(1-EXP(-r_mi*rr_asa_mi*dt))</f>
        <v>0.00213413516393479</v>
      </c>
      <c r="CO93" s="57" t="n">
        <f aca="false">(1-EXP(-r_tia*rr_asa_tia*dt))</f>
        <v>0.00312764565589152</v>
      </c>
      <c r="CP93" s="57" t="n">
        <f aca="false">(1-EXP(-r_minor*rr_asa_minor*dt))</f>
        <v>0.0278181950466747</v>
      </c>
      <c r="CQ93" s="57" t="n">
        <f aca="false">CJ93*CK93</f>
        <v>0.000148014781337404</v>
      </c>
      <c r="CR93" s="57" t="n">
        <f aca="false">CJ93*CL93</f>
        <v>9.67779576876606E-006</v>
      </c>
      <c r="CS93" s="57" t="n">
        <f aca="false">CJ93*CM93</f>
        <v>8.99923847633696E-005</v>
      </c>
      <c r="CT93" s="57" t="n">
        <f aca="false">CJ93*CN93</f>
        <v>2.01779744741794E-005</v>
      </c>
      <c r="CU93" s="57" t="n">
        <f aca="false">CJ93*CO93</f>
        <v>2.95714888519524E-005</v>
      </c>
      <c r="CV93" s="57" t="n">
        <f aca="false">CJ93*CP93</f>
        <v>0.00026301746911598</v>
      </c>
      <c r="CW93" s="57" t="n">
        <f aca="false">CQ93*f_stroke_fatal</f>
        <v>3.50795031769648E-005</v>
      </c>
      <c r="CX93" s="57" t="n">
        <f aca="false">CQ93*(1-f_stroke_fatal)*f_stroke_major</f>
        <v>3.76074476274264E-005</v>
      </c>
      <c r="CY93" s="57" t="n">
        <f aca="false">CQ93*(1-f_stroke_fatal)*(1-f_stroke_major)</f>
        <v>7.53278305330132E-005</v>
      </c>
      <c r="CZ93" s="57" t="n">
        <f aca="false">CR93*(1-f_bleed_fatal)</f>
        <v>8.86486092418972E-006</v>
      </c>
      <c r="DA93" s="57" t="n">
        <f aca="false">CS93*(1-f_bleed_fatal)</f>
        <v>8.24330244432465E-005</v>
      </c>
      <c r="DB93" s="57" t="n">
        <f aca="false">CT93*f_mi_fatal</f>
        <v>2.44153491137571E-006</v>
      </c>
      <c r="DC93" s="57" t="n">
        <f aca="false">CT93-DB93</f>
        <v>1.77364395628037E-005</v>
      </c>
      <c r="DD93" s="57" t="n">
        <f aca="false">CJ93-CQ93-CR93-CS93-DB93</f>
        <v>0.00920474534787604</v>
      </c>
      <c r="DE93" s="19" t="n">
        <f aca="false">CW93*c_stroke_fatal+CX93*c_stroke_major+CY93*c_stroke_minor+CR93*c_ich+CS93*c_major_bleed+DB93*c_mi_fatal+DC93*c_mi_nonfatal+CU93*c_tia+CV93*c_minor_bleed</f>
        <v>6.74197205073734</v>
      </c>
      <c r="DF93" s="57" t="n">
        <f aca="false">dt*(DC93*dec_mi+DA93*dec_major_bleed+CV93*dec_minor_bleed+CU93*dec_tia)</f>
        <v>4.066495911097E-006</v>
      </c>
      <c r="DG93" s="57" t="n">
        <f aca="false">J93*CI93+CW93+CR93-CZ93+CS93-DA93+DB93</f>
        <v>0.000916744763871984</v>
      </c>
      <c r="DH93" s="57" t="n">
        <f aca="false">AG93</f>
        <v>0.011445985256886</v>
      </c>
      <c r="DI93" s="57" t="n">
        <f aca="false">AB93+AC93+BF93+BA93+BB93+BC93+CY93+CZ93</f>
        <v>0.00166219533894345</v>
      </c>
      <c r="DJ93" s="57" t="n">
        <f aca="false">AA93+AZ93+BY93+CX93+CE93+BZ93+CA93+CB93</f>
        <v>0.000847113767694622</v>
      </c>
      <c r="DK93" s="57" t="n">
        <f aca="false">AD93+DD93+DA93</f>
        <v>0.00937657610830188</v>
      </c>
      <c r="DL93" s="57" t="n">
        <f aca="false">K93+AJ93+BI93+CH93+DG93</f>
        <v>0.976668129528175</v>
      </c>
      <c r="DM93" s="58" t="n">
        <f aca="false">SUM(DH93:DL93)</f>
        <v>1</v>
      </c>
      <c r="DN93" s="19" t="n">
        <f aca="false">dt*(G93*Warfarin!$H$2+(H93+I93+J93)*c_aspirin)</f>
        <v>1.3539444671788</v>
      </c>
      <c r="DO93" s="19" t="n">
        <f aca="false">dt*(H93*c_lt_minor_stroke+I93*c_lt_major_stroke)</f>
        <v>11.3098415477946</v>
      </c>
      <c r="DP93" s="19" t="n">
        <f aca="false">AH93+BG93+CF93+DE93</f>
        <v>15.5474428263555</v>
      </c>
      <c r="DQ93" s="19" t="n">
        <f aca="false">DN93+DO93+DP93</f>
        <v>28.2112288413289</v>
      </c>
      <c r="DR93" s="57" t="n">
        <f aca="false">dt*(G93*(u_af-dec_per_year_over_70*MAX(B93-ref_age,0))+H93*(u_minor_stroke-dec_per_year_over_70*MAX(B93-ref_age,0))+I93*(u_major_stroke-dec_per_year_over_70*MAX(B93-ref_age,0))+J93*(u_af-dec_per_year_over_70*MAX(B93-ref_age,0)))-AI93-BH93-CG93-DF93</f>
        <v>0.00505484554902497</v>
      </c>
      <c r="DS93" s="57" t="n">
        <f aca="false">dt*(G93+H93+I93+J93)</f>
        <v>0.0064787602633937</v>
      </c>
      <c r="DT93" s="19" t="n">
        <f aca="false">DQ93*C93</f>
        <v>20.4073016904577</v>
      </c>
      <c r="DU93" s="19" t="n">
        <f aca="false">DN93*C93</f>
        <v>0.979409772231041</v>
      </c>
      <c r="DV93" s="19" t="n">
        <f aca="false">DP93*C93</f>
        <v>11.2466336740273</v>
      </c>
      <c r="DW93" s="19" t="n">
        <f aca="false">DO93*C93</f>
        <v>8.18125824419938</v>
      </c>
      <c r="DX93" s="57" t="n">
        <f aca="false">DR93*C93</f>
        <v>0.0036565496206425</v>
      </c>
      <c r="DY93" s="57" t="n">
        <f aca="false">DS93*C93</f>
        <v>0.00468657413042332</v>
      </c>
      <c r="DZ93" s="57" t="n">
        <f aca="false">T93+AS93+BR93+CQ93</f>
        <v>0.000340115382879248</v>
      </c>
      <c r="EA93" s="57" t="n">
        <f aca="false">U93+AT93+BS93+CR93</f>
        <v>3.54791061602638E-005</v>
      </c>
      <c r="EB93" s="57" t="n">
        <f aca="false">V93+AU93+BT93+CS93</f>
        <v>0.000209590531867601</v>
      </c>
      <c r="EC93" s="57" t="n">
        <f aca="false">G93*dt*C93</f>
        <v>0.00230727602840871</v>
      </c>
    </row>
    <row r="94" customFormat="false" ht="15" hidden="false" customHeight="false" outlineLevel="0" collapsed="false">
      <c r="A94" s="8" t="n">
        <v>88</v>
      </c>
      <c r="B94" s="54" t="n">
        <f aca="false">start_age+A94*dt</f>
        <v>92</v>
      </c>
      <c r="C94" s="16" t="n">
        <f aca="false">(1+disc_rate)^-(A94*dt)</f>
        <v>0.720687634471861</v>
      </c>
      <c r="D94" s="55" t="n">
        <f aca="false">IF(A94*dt&gt;=wane_start,(1-wane_decay)^(A94*dt-wane_start),1)</f>
        <v>1</v>
      </c>
      <c r="E94" s="25" t="n">
        <f aca="false">MIN(p_nonvasc_death*MIN(EXP(gomp_int+gomp_slope*INT(B94)),1)/qx_ref,0.999)</f>
        <v>0.329786546979476</v>
      </c>
      <c r="F94" s="55" t="n">
        <f aca="false">rr_stroke_per_decade^((B94-ref_age)/10)</f>
        <v>2.44006148519482</v>
      </c>
      <c r="G94" s="57" t="n">
        <f aca="false">DH93</f>
        <v>0.011445985256886</v>
      </c>
      <c r="H94" s="57" t="n">
        <f aca="false">DI93</f>
        <v>0.00166219533894345</v>
      </c>
      <c r="I94" s="57" t="n">
        <f aca="false">DJ93</f>
        <v>0.000847113767694622</v>
      </c>
      <c r="J94" s="57" t="n">
        <f aca="false">DK93</f>
        <v>0.00937657610830188</v>
      </c>
      <c r="K94" s="57" t="n">
        <f aca="false">DL93</f>
        <v>0.976668129528175</v>
      </c>
      <c r="L94" s="57" t="n">
        <f aca="false">1-EXP(LN(1-E94)*dt)</f>
        <v>0.0951985554893469</v>
      </c>
      <c r="M94" s="57" t="n">
        <f aca="false">G94*(1-L94)</f>
        <v>0.0103563439942781</v>
      </c>
      <c r="N94" s="57" t="n">
        <f aca="false">IF(Warfarin!$B$2=1,EXP(LN(or_apx_stroke)*D94)*(1-EXP(-r_stroke*F94*dt))/(1-(1-EXP(-r_stroke*F94*dt))+EXP(LN(or_apx_stroke)*D94)*(1-EXP(-r_stroke*F94*dt))),(1-EXP(-r_stroke*F94*dt)))</f>
        <v>0.00979092462882447</v>
      </c>
      <c r="O94" s="57" t="n">
        <f aca="false">IF(Warfarin!$B$2=1,EXP(LN(or_apx_ich)*D94)*(1-EXP(-r_ich*dt))/(1-(1-EXP(-r_ich*dt))+EXP(LN(or_apx_ich)*D94)*(1-EXP(-r_ich*dt))),(1-EXP(-r_ich*dt)))</f>
        <v>0.0020060281549299</v>
      </c>
      <c r="P94" s="57" t="n">
        <f aca="false">IF(Warfarin!$B$2=1,EXP(LN(or_apx_mb)*D94)*(1-EXP(-r_mb*dt))/(1-(1-EXP(-r_mb*dt))+EXP(LN(or_apx_mb)*D94)*(1-EXP(-r_mb*dt))),(1-EXP(-r_mb*dt)))</f>
        <v>0.00835410477572107</v>
      </c>
      <c r="Q94" s="57" t="n">
        <f aca="false">IF(Warfarin!$B$2=1,EXP(LN(or_apx_mi)*D94)*(1-EXP(-r_mi*dt))/(1-(1-EXP(-r_mi*dt))+EXP(LN(or_apx_mi)*D94)*(1-EXP(-r_mi*dt))),(1-EXP(-r_mi*dt)))</f>
        <v>0.00150338686144691</v>
      </c>
      <c r="R94" s="57" t="n">
        <f aca="false">(1-EXP(-r_tia*dt))</f>
        <v>0.0020060281549299</v>
      </c>
      <c r="S94" s="57" t="n">
        <f aca="false">(1-EXP(-r_minor*dt))</f>
        <v>0.0437937690785545</v>
      </c>
      <c r="T94" s="57" t="n">
        <f aca="false">M94*N94</f>
        <v>0.000101398183478156</v>
      </c>
      <c r="U94" s="57" t="n">
        <f aca="false">M94*O94</f>
        <v>2.07751176346611E-005</v>
      </c>
      <c r="V94" s="57" t="n">
        <f aca="false">M94*P94</f>
        <v>8.65179828216092E-005</v>
      </c>
      <c r="W94" s="57" t="n">
        <f aca="false">M94*Q94</f>
        <v>1.55695914936223E-005</v>
      </c>
      <c r="X94" s="57" t="n">
        <f aca="false">M94*R94</f>
        <v>2.07751176346611E-005</v>
      </c>
      <c r="Y94" s="57" t="n">
        <f aca="false">M94*S94</f>
        <v>0.000453543337383491</v>
      </c>
      <c r="Z94" s="57" t="n">
        <f aca="false">T94*f_stroke_fatal</f>
        <v>2.4031369484323E-005</v>
      </c>
      <c r="AA94" s="57" t="n">
        <f aca="false">T94*(1-f_stroke_fatal)*f_stroke_major</f>
        <v>2.57631490599464E-005</v>
      </c>
      <c r="AB94" s="57" t="n">
        <f aca="false">T94*(1-f_stroke_fatal)*(1-f_stroke_major)</f>
        <v>5.16036649338867E-005</v>
      </c>
      <c r="AC94" s="57" t="n">
        <f aca="false">U94*(1-f_bleed_fatal)</f>
        <v>1.90300077533495E-005</v>
      </c>
      <c r="AD94" s="57" t="n">
        <f aca="false">V94*(1-f_bleed_fatal)</f>
        <v>7.9250472264594E-005</v>
      </c>
      <c r="AE94" s="57" t="n">
        <f aca="false">W94*f_mi_fatal</f>
        <v>1.8839205707283E-006</v>
      </c>
      <c r="AF94" s="57" t="n">
        <f aca="false">W94-AE94</f>
        <v>1.3685670922894E-005</v>
      </c>
      <c r="AG94" s="57" t="n">
        <f aca="false">M94-T94-U94-V94-AE94</f>
        <v>0.010145768789773</v>
      </c>
      <c r="AH94" s="19" t="n">
        <f aca="false">Z94*c_stroke_fatal+AA94*c_stroke_major+AB94*c_stroke_minor+U94*c_ich+V94*c_major_bleed+AE94*c_mi_fatal+AF94*c_mi_nonfatal+X94*c_tia+Y94*c_minor_bleed</f>
        <v>5.15699815886144</v>
      </c>
      <c r="AI94" s="57" t="n">
        <f aca="false">dt*(AF94*dec_mi+AD94*dec_major_bleed+Y94*dec_minor_bleed+X94*dec_tia)</f>
        <v>4.25941320401497E-006</v>
      </c>
      <c r="AJ94" s="57" t="n">
        <f aca="false">G94*L94+Z94+U94-AC94+V94-AD94+AE94</f>
        <v>0.00112456917310129</v>
      </c>
      <c r="AK94" s="57" t="n">
        <f aca="false">1-EXP(LN(1-E94)*hr_death_prior_stroke*dt)</f>
        <v>0.205539048452053</v>
      </c>
      <c r="AL94" s="57" t="n">
        <f aca="false">H94*(1-AK94)</f>
        <v>0.00132054929063557</v>
      </c>
      <c r="AM94" s="57" t="n">
        <f aca="false">(1-EXP(-r_stroke*F94*rr_stroke_prior*rr_asa_stroke*dt))</f>
        <v>0.0344590889655114</v>
      </c>
      <c r="AN94" s="57" t="n">
        <f aca="false">(1-EXP(-r_ich*rr_asa_ich*dt))</f>
        <v>0.00102357767802375</v>
      </c>
      <c r="AO94" s="57" t="n">
        <f aca="false">(1-EXP(-r_mb*rr_asa_mb*dt))</f>
        <v>0.00951809672747972</v>
      </c>
      <c r="AP94" s="57" t="n">
        <f aca="false">(1-EXP(-r_mi*rr_asa_mi*dt))</f>
        <v>0.00213413516393479</v>
      </c>
      <c r="AQ94" s="57" t="n">
        <f aca="false">(1-EXP(-r_tia*rr_asa_tia*dt))</f>
        <v>0.00312764565589152</v>
      </c>
      <c r="AR94" s="57" t="n">
        <f aca="false">(1-EXP(-r_minor*rr_asa_minor*dt))</f>
        <v>0.0278181950466747</v>
      </c>
      <c r="AS94" s="57" t="n">
        <f aca="false">AL94*AM94</f>
        <v>4.55049254893542E-005</v>
      </c>
      <c r="AT94" s="57" t="n">
        <f aca="false">AL94*AN94</f>
        <v>1.35168477662467E-006</v>
      </c>
      <c r="AU94" s="57" t="n">
        <f aca="false">AL94*AO94</f>
        <v>1.25691158816741E-005</v>
      </c>
      <c r="AV94" s="57" t="n">
        <f aca="false">AL94*AP94</f>
        <v>2.81823067685452E-006</v>
      </c>
      <c r="AW94" s="57" t="n">
        <f aca="false">AL94*AQ94</f>
        <v>4.13021025224698E-006</v>
      </c>
      <c r="AX94" s="57" t="n">
        <f aca="false">AL94*AR94</f>
        <v>3.67352977356483E-005</v>
      </c>
      <c r="AY94" s="57" t="n">
        <f aca="false">AS94*f_stroke_fatal_recur</f>
        <v>1.69319277253338E-005</v>
      </c>
      <c r="AZ94" s="57" t="n">
        <f aca="false">AS94*(1-f_stroke_fatal_recur)*f_stroke_major</f>
        <v>9.5148082554188E-006</v>
      </c>
      <c r="BA94" s="57" t="n">
        <f aca="false">AS94*(1-f_stroke_fatal_recur)*(1-f_stroke_major)</f>
        <v>1.90581895086016E-005</v>
      </c>
      <c r="BB94" s="57" t="n">
        <f aca="false">AT94*(1-f_bleed_fatal)</f>
        <v>1.23814325538819E-006</v>
      </c>
      <c r="BC94" s="57" t="n">
        <f aca="false">AU94*(1-f_bleed_fatal)</f>
        <v>1.15133101476135E-005</v>
      </c>
      <c r="BD94" s="57" t="n">
        <f aca="false">AV94*f_mi_fatal</f>
        <v>3.41005911899397E-007</v>
      </c>
      <c r="BE94" s="57" t="n">
        <f aca="false">AV94-BD94</f>
        <v>2.47722476495513E-006</v>
      </c>
      <c r="BF94" s="57" t="n">
        <f aca="false">AL94-AS94-AT94-AU94-BD94</f>
        <v>0.00126078255857602</v>
      </c>
      <c r="BG94" s="19" t="n">
        <f aca="false">AY94*c_stroke_fatal+AZ94*c_stroke_major+BA94*c_stroke_minor+AT94*c_ich+AU94*c_major_bleed+BD94*c_mi_fatal+BE94*c_mi_nonfatal+AW94*c_tia+AX94*c_minor_bleed</f>
        <v>1.74680799425435</v>
      </c>
      <c r="BH94" s="57" t="n">
        <f aca="false">dt*(BE94*dec_mi+BC94*dec_major_bleed+AX94*dec_minor_bleed+AW94*dec_tia)</f>
        <v>5.67962038936175E-007</v>
      </c>
      <c r="BI94" s="57" t="n">
        <f aca="false">H94*AK94+AY94+AT94-BB94+AU94-BC94+BD94</f>
        <v>0.000360088329200405</v>
      </c>
      <c r="BJ94" s="57" t="n">
        <f aca="false">1-EXP(LN(1-E94)*hr_death_prior_stroke*dt)</f>
        <v>0.205539048452053</v>
      </c>
      <c r="BK94" s="57" t="n">
        <f aca="false">I94*(1-BJ94)</f>
        <v>0.000672998809952036</v>
      </c>
      <c r="BL94" s="57" t="n">
        <f aca="false">(1-EXP(-r_stroke*F94*rr_stroke_prior*rr_asa_stroke*dt))</f>
        <v>0.0344590889655114</v>
      </c>
      <c r="BM94" s="57" t="n">
        <f aca="false">(1-EXP(-r_ich*rr_asa_ich*dt))</f>
        <v>0.00102357767802375</v>
      </c>
      <c r="BN94" s="57" t="n">
        <f aca="false">(1-EXP(-r_mb*rr_asa_mb*dt))</f>
        <v>0.00951809672747972</v>
      </c>
      <c r="BO94" s="57" t="n">
        <f aca="false">(1-EXP(-r_mi*rr_asa_mi*dt))</f>
        <v>0.00213413516393479</v>
      </c>
      <c r="BP94" s="57" t="n">
        <f aca="false">(1-EXP(-r_tia*rr_asa_tia*dt))</f>
        <v>0.00312764565589152</v>
      </c>
      <c r="BQ94" s="57" t="n">
        <f aca="false">(1-EXP(-r_minor*rr_asa_minor*dt))</f>
        <v>0.0278181950466747</v>
      </c>
      <c r="BR94" s="57" t="n">
        <f aca="false">BK94*BL94</f>
        <v>2.31909258658205E-005</v>
      </c>
      <c r="BS94" s="57" t="n">
        <f aca="false">BK94*BM94</f>
        <v>6.88866559203449E-007</v>
      </c>
      <c r="BT94" s="57" t="n">
        <f aca="false">BK94*BN94</f>
        <v>6.40566777060222E-006</v>
      </c>
      <c r="BU94" s="57" t="n">
        <f aca="false">BK94*BO94</f>
        <v>1.43627042560491E-006</v>
      </c>
      <c r="BV94" s="57" t="n">
        <f aca="false">BK94*BP94</f>
        <v>2.10490180436665E-006</v>
      </c>
      <c r="BW94" s="57" t="n">
        <f aca="false">BK94*BQ94</f>
        <v>1.87216121614257E-005</v>
      </c>
      <c r="BX94" s="57" t="n">
        <f aca="false">BR94*f_stroke_fatal_recur</f>
        <v>8.62911160541315E-006</v>
      </c>
      <c r="BY94" s="57" t="n">
        <f aca="false">BR94*(1-f_stroke_fatal_recur)*f_stroke_major</f>
        <v>4.84908414871565E-006</v>
      </c>
      <c r="BZ94" s="57" t="n">
        <f aca="false">BR94*(1-f_stroke_fatal_recur)*(1-f_stroke_major)</f>
        <v>9.71273011169171E-006</v>
      </c>
      <c r="CA94" s="57" t="n">
        <f aca="false">BS94*(1-f_bleed_fatal)</f>
        <v>6.31001768230359E-007</v>
      </c>
      <c r="CB94" s="57" t="n">
        <f aca="false">BT94*(1-f_bleed_fatal)</f>
        <v>5.86759167787163E-006</v>
      </c>
      <c r="CC94" s="57" t="n">
        <f aca="false">BU94*f_mi_fatal</f>
        <v>1.73788721498194E-007</v>
      </c>
      <c r="CD94" s="57" t="n">
        <f aca="false">BU94-CC94</f>
        <v>1.26248170410671E-006</v>
      </c>
      <c r="CE94" s="57" t="n">
        <f aca="false">BK94-BR94-BS94-BT94-CC94</f>
        <v>0.000642539561034912</v>
      </c>
      <c r="CF94" s="19" t="n">
        <f aca="false">BX94*c_stroke_fatal+BY94*c_stroke_major+BZ94*c_stroke_minor+BS94*c_ich+BT94*c_major_bleed+CC94*c_mi_fatal+CD94*c_mi_nonfatal+BV94*c_tia+BW94*c_minor_bleed</f>
        <v>0.890235381355642</v>
      </c>
      <c r="CG94" s="57" t="n">
        <f aca="false">dt*(CD94*dec_mi+CB94*dec_major_bleed+BW94*dec_minor_bleed+BV94*dec_tia)</f>
        <v>2.89453622831457E-007</v>
      </c>
      <c r="CH94" s="57" t="n">
        <f aca="false">I94*BJ94+BX94+BS94-CA94+BT94-CB94+CC94</f>
        <v>0.000183513798953201</v>
      </c>
      <c r="CI94" s="57" t="n">
        <f aca="false">1-EXP(LN(1-E94)*dt)</f>
        <v>0.0951985554893469</v>
      </c>
      <c r="CJ94" s="57" t="n">
        <f aca="false">J94*(1-CI94)</f>
        <v>0.00848393960735562</v>
      </c>
      <c r="CK94" s="57" t="n">
        <f aca="false">(1-EXP(-r_stroke*F94*rr_asa_stroke*dt))</f>
        <v>0.0158130959917532</v>
      </c>
      <c r="CL94" s="57" t="n">
        <f aca="false">(1-EXP(-r_ich*rr_asa_ich*dt))</f>
        <v>0.00102357767802375</v>
      </c>
      <c r="CM94" s="57" t="n">
        <f aca="false">(1-EXP(-r_mb*rr_asa_mb*dt))</f>
        <v>0.00951809672747972</v>
      </c>
      <c r="CN94" s="57" t="n">
        <f aca="false">(1-EXP(-r_mi*rr_asa_mi*dt))</f>
        <v>0.00213413516393479</v>
      </c>
      <c r="CO94" s="57" t="n">
        <f aca="false">(1-EXP(-r_tia*rr_asa_tia*dt))</f>
        <v>0.00312764565589152</v>
      </c>
      <c r="CP94" s="57" t="n">
        <f aca="false">(1-EXP(-r_minor*rr_asa_minor*dt))</f>
        <v>0.0278181950466747</v>
      </c>
      <c r="CQ94" s="57" t="n">
        <f aca="false">CJ94*CK94</f>
        <v>0.000134157351399351</v>
      </c>
      <c r="CR94" s="57" t="n">
        <f aca="false">CJ94*CL94</f>
        <v>8.68397120379076E-006</v>
      </c>
      <c r="CS94" s="57" t="n">
        <f aca="false">CJ94*CM94</f>
        <v>8.07509578129071E-005</v>
      </c>
      <c r="CT94" s="57" t="n">
        <f aca="false">CJ94*CN94</f>
        <v>1.81058738447568E-005</v>
      </c>
      <c r="CU94" s="57" t="n">
        <f aca="false">CJ94*CO94</f>
        <v>2.65347568577918E-005</v>
      </c>
      <c r="CV94" s="57" t="n">
        <f aca="false">CJ94*CP94</f>
        <v>0.000236007886761628</v>
      </c>
      <c r="CW94" s="57" t="n">
        <f aca="false">CQ94*f_stroke_fatal</f>
        <v>3.17952922816462E-005</v>
      </c>
      <c r="CX94" s="57" t="n">
        <f aca="false">CQ94*(1-f_stroke_fatal)*f_stroke_major</f>
        <v>3.40865656861958E-005</v>
      </c>
      <c r="CY94" s="57" t="n">
        <f aca="false">CQ94*(1-f_stroke_fatal)*(1-f_stroke_major)</f>
        <v>6.82754934315092E-005</v>
      </c>
      <c r="CZ94" s="57" t="n">
        <f aca="false">CR94*(1-f_bleed_fatal)</f>
        <v>7.95451762267233E-006</v>
      </c>
      <c r="DA94" s="57" t="n">
        <f aca="false">CS94*(1-f_bleed_fatal)</f>
        <v>7.39678773566229E-005</v>
      </c>
      <c r="DB94" s="57" t="n">
        <f aca="false">CT94*f_mi_fatal</f>
        <v>2.19081073521557E-006</v>
      </c>
      <c r="DC94" s="57" t="n">
        <f aca="false">CT94-DB94</f>
        <v>1.59150631095412E-005</v>
      </c>
      <c r="DD94" s="57" t="n">
        <f aca="false">CJ94-CQ94-CR94-CS94-DB94</f>
        <v>0.00825815651620436</v>
      </c>
      <c r="DE94" s="19" t="n">
        <f aca="false">CW94*c_stroke_fatal+CX94*c_stroke_major+CY94*c_stroke_minor+CR94*c_ich+CS94*c_major_bleed+DB94*c_mi_fatal+DC94*c_mi_nonfatal+CU94*c_tia+CV94*c_minor_bleed</f>
        <v>6.09922880345691</v>
      </c>
      <c r="DF94" s="57" t="n">
        <f aca="false">dt*(DC94*dec_mi+DA94*dec_major_bleed+CV94*dec_minor_bleed+CU94*dec_tia)</f>
        <v>3.64890252243892E-006</v>
      </c>
      <c r="DG94" s="57" t="n">
        <f aca="false">J94*CI94+CW94+CR94-CZ94+CS94-DA94+DB94</f>
        <v>0.000934135138000525</v>
      </c>
      <c r="DH94" s="57" t="n">
        <f aca="false">AG94</f>
        <v>0.010145768789773</v>
      </c>
      <c r="DI94" s="57" t="n">
        <f aca="false">AB94+AC94+BF94+BA94+BB94+BC94+CY94+CZ94</f>
        <v>0.00143945588522904</v>
      </c>
      <c r="DJ94" s="57" t="n">
        <f aca="false">AA94+AZ94+BY94+CX94+CE94+BZ94+CA94+CB94</f>
        <v>0.000732964491742982</v>
      </c>
      <c r="DK94" s="57" t="n">
        <f aca="false">AD94+DD94+DA94</f>
        <v>0.00841137486582557</v>
      </c>
      <c r="DL94" s="57" t="n">
        <f aca="false">K94+AJ94+BI94+CH94+DG94</f>
        <v>0.979270435967431</v>
      </c>
      <c r="DM94" s="58" t="n">
        <f aca="false">SUM(DH94:DL94)</f>
        <v>1</v>
      </c>
      <c r="DN94" s="19" t="n">
        <f aca="false">dt*(G94*Warfarin!$H$2+(H94+I94+J94)*c_aspirin)</f>
        <v>1.21547562731445</v>
      </c>
      <c r="DO94" s="19" t="n">
        <f aca="false">dt*(H94*c_lt_minor_stroke+I94*c_lt_major_stroke)</f>
        <v>10.0239741073623</v>
      </c>
      <c r="DP94" s="19" t="n">
        <f aca="false">AH94+BG94+CF94+DE94</f>
        <v>13.8932703379283</v>
      </c>
      <c r="DQ94" s="19" t="n">
        <f aca="false">DN94+DO94+DP94</f>
        <v>25.1327200726051</v>
      </c>
      <c r="DR94" s="57" t="n">
        <f aca="false">dt*(G94*(u_af-dec_per_year_over_70*MAX(B94-ref_age,0))+H94*(u_minor_stroke-dec_per_year_over_70*MAX(B94-ref_age,0))+I94*(u_major_stroke-dec_per_year_over_70*MAX(B94-ref_age,0))+J94*(u_af-dec_per_year_over_70*MAX(B94-ref_age,0)))-AI94-BH94-CG94-DF94</f>
        <v>0.00455268774749548</v>
      </c>
      <c r="DS94" s="57" t="n">
        <f aca="false">dt*(G94+H94+I94+J94)</f>
        <v>0.0058329676179565</v>
      </c>
      <c r="DT94" s="19" t="n">
        <f aca="false">DQ94*C94</f>
        <v>18.1128405769692</v>
      </c>
      <c r="DU94" s="19" t="n">
        <f aca="false">DN94*C94</f>
        <v>0.87597825460745</v>
      </c>
      <c r="DV94" s="19" t="n">
        <f aca="false">DP94*C94</f>
        <v>10.0127081349196</v>
      </c>
      <c r="DW94" s="19" t="n">
        <f aca="false">DO94*C94</f>
        <v>7.22415418744211</v>
      </c>
      <c r="DX94" s="57" t="n">
        <f aca="false">DR94*C94</f>
        <v>0.00328106576323154</v>
      </c>
      <c r="DY94" s="57" t="n">
        <f aca="false">DS94*C94</f>
        <v>0.00420374763453603</v>
      </c>
      <c r="DZ94" s="57" t="n">
        <f aca="false">T94+AS94+BR94+CQ94</f>
        <v>0.000304251386232682</v>
      </c>
      <c r="EA94" s="57" t="n">
        <f aca="false">U94+AT94+BS94+CR94</f>
        <v>3.14996401742799E-005</v>
      </c>
      <c r="EB94" s="57" t="n">
        <f aca="false">V94+AU94+BT94+CS94</f>
        <v>0.000186243724286793</v>
      </c>
      <c r="EC94" s="57" t="n">
        <f aca="false">G94*dt*C94</f>
        <v>0.00206224500974625</v>
      </c>
    </row>
    <row r="95" customFormat="false" ht="15" hidden="false" customHeight="false" outlineLevel="0" collapsed="false">
      <c r="A95" s="8" t="n">
        <v>89</v>
      </c>
      <c r="B95" s="54" t="n">
        <f aca="false">start_age+A95*dt</f>
        <v>92.25</v>
      </c>
      <c r="C95" s="16" t="n">
        <f aca="false">(1+disc_rate)^-(A95*dt)</f>
        <v>0.718010110909828</v>
      </c>
      <c r="D95" s="55" t="n">
        <f aca="false">IF(A95*dt&gt;=wane_start,(1-wane_decay)^(A95*dt-wane_start),1)</f>
        <v>1</v>
      </c>
      <c r="E95" s="25" t="n">
        <f aca="false">MIN(p_nonvasc_death*MIN(EXP(gomp_int+gomp_slope*INT(B95)),1)/qx_ref,0.999)</f>
        <v>0.329786546979476</v>
      </c>
      <c r="F95" s="55" t="n">
        <f aca="false">rr_stroke_per_decade^((B95-ref_age)/10)</f>
        <v>2.46492126434091</v>
      </c>
      <c r="G95" s="57" t="n">
        <f aca="false">DH94</f>
        <v>0.010145768789773</v>
      </c>
      <c r="H95" s="57" t="n">
        <f aca="false">DI94</f>
        <v>0.00143945588522904</v>
      </c>
      <c r="I95" s="57" t="n">
        <f aca="false">DJ94</f>
        <v>0.000732964491742982</v>
      </c>
      <c r="J95" s="57" t="n">
        <f aca="false">DK94</f>
        <v>0.00841137486582557</v>
      </c>
      <c r="K95" s="57" t="n">
        <f aca="false">DL94</f>
        <v>0.979270435967431</v>
      </c>
      <c r="L95" s="57" t="n">
        <f aca="false">1-EXP(LN(1-E95)*dt)</f>
        <v>0.0951985554893469</v>
      </c>
      <c r="M95" s="57" t="n">
        <f aca="false">G95*(1-L95)</f>
        <v>0.00917990625665769</v>
      </c>
      <c r="N95" s="57" t="n">
        <f aca="false">IF(Warfarin!$B$2=1,EXP(LN(or_apx_stroke)*D95)*(1-EXP(-r_stroke*F95*dt))/(1-(1-EXP(-r_stroke*F95*dt))+EXP(LN(or_apx_stroke)*D95)*(1-EXP(-r_stroke*F95*dt))),(1-EXP(-r_stroke*F95*dt)))</f>
        <v>0.0098901813981741</v>
      </c>
      <c r="O95" s="57" t="n">
        <f aca="false">IF(Warfarin!$B$2=1,EXP(LN(or_apx_ich)*D95)*(1-EXP(-r_ich*dt))/(1-(1-EXP(-r_ich*dt))+EXP(LN(or_apx_ich)*D95)*(1-EXP(-r_ich*dt))),(1-EXP(-r_ich*dt)))</f>
        <v>0.0020060281549299</v>
      </c>
      <c r="P95" s="57" t="n">
        <f aca="false">IF(Warfarin!$B$2=1,EXP(LN(or_apx_mb)*D95)*(1-EXP(-r_mb*dt))/(1-(1-EXP(-r_mb*dt))+EXP(LN(or_apx_mb)*D95)*(1-EXP(-r_mb*dt))),(1-EXP(-r_mb*dt)))</f>
        <v>0.00835410477572107</v>
      </c>
      <c r="Q95" s="57" t="n">
        <f aca="false">IF(Warfarin!$B$2=1,EXP(LN(or_apx_mi)*D95)*(1-EXP(-r_mi*dt))/(1-(1-EXP(-r_mi*dt))+EXP(LN(or_apx_mi)*D95)*(1-EXP(-r_mi*dt))),(1-EXP(-r_mi*dt)))</f>
        <v>0.00150338686144691</v>
      </c>
      <c r="R95" s="57" t="n">
        <f aca="false">(1-EXP(-r_tia*dt))</f>
        <v>0.0020060281549299</v>
      </c>
      <c r="S95" s="57" t="n">
        <f aca="false">(1-EXP(-r_minor*dt))</f>
        <v>0.0437937690785545</v>
      </c>
      <c r="T95" s="57" t="n">
        <f aca="false">M95*N95</f>
        <v>9.0790938096578E-005</v>
      </c>
      <c r="U95" s="57" t="n">
        <f aca="false">M95*O95</f>
        <v>1.84151504104724E-005</v>
      </c>
      <c r="V95" s="57" t="n">
        <f aca="false">M95*P95</f>
        <v>7.66898986994158E-005</v>
      </c>
      <c r="W95" s="57" t="n">
        <f aca="false">M95*Q95</f>
        <v>1.38009504555734E-005</v>
      </c>
      <c r="X95" s="57" t="n">
        <f aca="false">M95*R95</f>
        <v>1.84151504104724E-005</v>
      </c>
      <c r="Y95" s="57" t="n">
        <f aca="false">M95*S95</f>
        <v>0.000402022694766844</v>
      </c>
      <c r="Z95" s="57" t="n">
        <f aca="false">T95*f_stroke_fatal</f>
        <v>2.1517452328889E-005</v>
      </c>
      <c r="AA95" s="57" t="n">
        <f aca="false">T95*(1-f_stroke_fatal)*f_stroke_major</f>
        <v>2.30680707606404E-005</v>
      </c>
      <c r="AB95" s="57" t="n">
        <f aca="false">T95*(1-f_stroke_fatal)*(1-f_stroke_major)</f>
        <v>4.62054150070485E-005</v>
      </c>
      <c r="AC95" s="57" t="n">
        <f aca="false">U95*(1-f_bleed_fatal)</f>
        <v>1.68682777759927E-005</v>
      </c>
      <c r="AD95" s="57" t="n">
        <f aca="false">V95*(1-f_bleed_fatal)</f>
        <v>7.02479472086648E-005</v>
      </c>
      <c r="AE95" s="57" t="n">
        <f aca="false">W95*f_mi_fatal</f>
        <v>1.66991500512439E-006</v>
      </c>
      <c r="AF95" s="57" t="n">
        <f aca="false">W95-AE95</f>
        <v>1.21310354504491E-005</v>
      </c>
      <c r="AG95" s="57" t="n">
        <f aca="false">M95-T95-U95-V95-AE95</f>
        <v>0.0089923403544461</v>
      </c>
      <c r="AH95" s="19" t="n">
        <f aca="false">Z95*c_stroke_fatal+AA95*c_stroke_major+AB95*c_stroke_minor+U95*c_ich+V95*c_major_bleed+AE95*c_mi_fatal+AF95*c_mi_nonfatal+X95*c_tia+Y95*c_minor_bleed</f>
        <v>4.60485004319535</v>
      </c>
      <c r="AI95" s="57" t="n">
        <f aca="false">dt*(AF95*dec_mi+AD95*dec_major_bleed+Y95*dec_minor_bleed+X95*dec_tia)</f>
        <v>3.77556152468773E-006</v>
      </c>
      <c r="AJ95" s="57" t="n">
        <f aca="false">G95*L95+Z95+U95-AC95+V95-AD95+AE95</f>
        <v>0.00099703872457453</v>
      </c>
      <c r="AK95" s="57" t="n">
        <f aca="false">1-EXP(LN(1-E95)*hr_death_prior_stroke*dt)</f>
        <v>0.205539048452053</v>
      </c>
      <c r="AL95" s="57" t="n">
        <f aca="false">H95*(1-AK95)</f>
        <v>0.00114359149229036</v>
      </c>
      <c r="AM95" s="57" t="n">
        <f aca="false">(1-EXP(-r_stroke*F95*rr_stroke_prior*rr_asa_stroke*dt))</f>
        <v>0.0348039830922006</v>
      </c>
      <c r="AN95" s="57" t="n">
        <f aca="false">(1-EXP(-r_ich*rr_asa_ich*dt))</f>
        <v>0.00102357767802375</v>
      </c>
      <c r="AO95" s="57" t="n">
        <f aca="false">(1-EXP(-r_mb*rr_asa_mb*dt))</f>
        <v>0.00951809672747972</v>
      </c>
      <c r="AP95" s="57" t="n">
        <f aca="false">(1-EXP(-r_mi*rr_asa_mi*dt))</f>
        <v>0.00213413516393479</v>
      </c>
      <c r="AQ95" s="57" t="n">
        <f aca="false">(1-EXP(-r_tia*rr_asa_tia*dt))</f>
        <v>0.00312764565589152</v>
      </c>
      <c r="AR95" s="57" t="n">
        <f aca="false">(1-EXP(-r_minor*rr_asa_minor*dt))</f>
        <v>0.0278181950466747</v>
      </c>
      <c r="AS95" s="57" t="n">
        <f aca="false">AL95*AM95</f>
        <v>3.9801538962058E-005</v>
      </c>
      <c r="AT95" s="57" t="n">
        <f aca="false">AL95*AN95</f>
        <v>1.17055472428627E-006</v>
      </c>
      <c r="AU95" s="57" t="n">
        <f aca="false">AL95*AO95</f>
        <v>1.08848144403425E-005</v>
      </c>
      <c r="AV95" s="57" t="n">
        <f aca="false">AL95*AP95</f>
        <v>2.44057881687351E-006</v>
      </c>
      <c r="AW95" s="57" t="n">
        <f aca="false">AL95*AQ95</f>
        <v>3.57674896297644E-006</v>
      </c>
      <c r="AX95" s="57" t="n">
        <f aca="false">AL95*AR95</f>
        <v>3.1812651186251E-005</v>
      </c>
      <c r="AY95" s="57" t="n">
        <f aca="false">AS95*f_stroke_fatal_recur</f>
        <v>1.48097546323922E-005</v>
      </c>
      <c r="AZ95" s="57" t="n">
        <f aca="false">AS95*(1-f_stroke_fatal_recur)*f_stroke_major</f>
        <v>8.32226418177873E-006</v>
      </c>
      <c r="BA95" s="57" t="n">
        <f aca="false">AS95*(1-f_stroke_fatal_recur)*(1-f_stroke_major)</f>
        <v>1.66695201478871E-005</v>
      </c>
      <c r="BB95" s="57" t="n">
        <f aca="false">AT95*(1-f_bleed_fatal)</f>
        <v>1.07222812744623E-006</v>
      </c>
      <c r="BC95" s="57" t="n">
        <f aca="false">AU95*(1-f_bleed_fatal)</f>
        <v>9.97049002735373E-006</v>
      </c>
      <c r="BD95" s="57" t="n">
        <f aca="false">AV95*f_mi_fatal</f>
        <v>2.95310036841695E-007</v>
      </c>
      <c r="BE95" s="57" t="n">
        <f aca="false">AV95-BD95</f>
        <v>2.14526878003182E-006</v>
      </c>
      <c r="BF95" s="57" t="n">
        <f aca="false">AL95-AS95-AT95-AU95-BD95</f>
        <v>0.00109143927412683</v>
      </c>
      <c r="BG95" s="19" t="n">
        <f aca="false">AY95*c_stroke_fatal+AZ95*c_stroke_major+BA95*c_stroke_minor+AT95*c_ich+AU95*c_major_bleed+BD95*c_mi_fatal+BE95*c_mi_nonfatal+AW95*c_tia+AX95*c_minor_bleed</f>
        <v>1.52632949420624</v>
      </c>
      <c r="BH95" s="57" t="n">
        <f aca="false">dt*(BE95*dec_mi+BC95*dec_major_bleed+AX95*dec_minor_bleed+AW95*dec_tia)</f>
        <v>4.91853322157089E-007</v>
      </c>
      <c r="BI95" s="57" t="n">
        <f aca="false">H95*AK95+AY95+AT95-BB95+AU95-BC95+BD95</f>
        <v>0.000311982108617748</v>
      </c>
      <c r="BJ95" s="57" t="n">
        <f aca="false">1-EXP(LN(1-E95)*hr_death_prior_stroke*dt)</f>
        <v>0.205539048452053</v>
      </c>
      <c r="BK95" s="57" t="n">
        <f aca="false">I95*(1-BJ95)</f>
        <v>0.000582311667560987</v>
      </c>
      <c r="BL95" s="57" t="n">
        <f aca="false">(1-EXP(-r_stroke*F95*rr_stroke_prior*rr_asa_stroke*dt))</f>
        <v>0.0348039830922006</v>
      </c>
      <c r="BM95" s="57" t="n">
        <f aca="false">(1-EXP(-r_ich*rr_asa_ich*dt))</f>
        <v>0.00102357767802375</v>
      </c>
      <c r="BN95" s="57" t="n">
        <f aca="false">(1-EXP(-r_mb*rr_asa_mb*dt))</f>
        <v>0.00951809672747972</v>
      </c>
      <c r="BO95" s="57" t="n">
        <f aca="false">(1-EXP(-r_mi*rr_asa_mi*dt))</f>
        <v>0.00213413516393479</v>
      </c>
      <c r="BP95" s="57" t="n">
        <f aca="false">(1-EXP(-r_tia*rr_asa_tia*dt))</f>
        <v>0.00312764565589152</v>
      </c>
      <c r="BQ95" s="57" t="n">
        <f aca="false">(1-EXP(-r_minor*rr_asa_minor*dt))</f>
        <v>0.0278181950466747</v>
      </c>
      <c r="BR95" s="57" t="n">
        <f aca="false">BK95*BL95</f>
        <v>2.02667654321837E-005</v>
      </c>
      <c r="BS95" s="57" t="n">
        <f aca="false">BK95*BM95</f>
        <v>5.9604122456821E-007</v>
      </c>
      <c r="BT95" s="57" t="n">
        <f aca="false">BK95*BN95</f>
        <v>5.54249877738548E-006</v>
      </c>
      <c r="BU95" s="57" t="n">
        <f aca="false">BK95*BO95</f>
        <v>1.24273180611141E-006</v>
      </c>
      <c r="BV95" s="57" t="n">
        <f aca="false">BK95*BP95</f>
        <v>1.82126455742207E-006</v>
      </c>
      <c r="BW95" s="57" t="n">
        <f aca="false">BK95*BQ95</f>
        <v>1.61988595461659E-005</v>
      </c>
      <c r="BX95" s="57" t="n">
        <f aca="false">BR95*f_stroke_fatal_recur</f>
        <v>7.54106074966123E-006</v>
      </c>
      <c r="BY95" s="57" t="n">
        <f aca="false">BR95*(1-f_stroke_fatal_recur)*f_stroke_major</f>
        <v>4.23765965927998E-006</v>
      </c>
      <c r="BZ95" s="57" t="n">
        <f aca="false">BR95*(1-f_stroke_fatal_recur)*(1-f_stroke_major)</f>
        <v>8.48804502324248E-006</v>
      </c>
      <c r="CA95" s="57" t="n">
        <f aca="false">BS95*(1-f_bleed_fatal)</f>
        <v>5.4597376170448E-007</v>
      </c>
      <c r="CB95" s="57" t="n">
        <f aca="false">BT95*(1-f_bleed_fatal)</f>
        <v>5.0769288800851E-006</v>
      </c>
      <c r="CC95" s="57" t="n">
        <f aca="false">BU95*f_mi_fatal</f>
        <v>1.5037054853948E-007</v>
      </c>
      <c r="CD95" s="57" t="n">
        <f aca="false">BU95-CC95</f>
        <v>1.09236125757193E-006</v>
      </c>
      <c r="CE95" s="57" t="n">
        <f aca="false">BK95-BR95-BS95-BT95-CC95</f>
        <v>0.00055575599157831</v>
      </c>
      <c r="CF95" s="19" t="n">
        <f aca="false">BX95*c_stroke_fatal+BY95*c_stroke_major+BZ95*c_stroke_minor+BS95*c_ich+BT95*c_major_bleed+CC95*c_mi_fatal+CD95*c_mi_nonfatal+BV95*c_tia+BW95*c_minor_bleed</f>
        <v>0.777200144466525</v>
      </c>
      <c r="CG95" s="57" t="n">
        <f aca="false">dt*(CD95*dec_mi+CB95*dec_major_bleed+BW95*dec_minor_bleed+BV95*dec_tia)</f>
        <v>2.50449509419738E-007</v>
      </c>
      <c r="CH95" s="57" t="n">
        <f aca="false">I95*BJ95+BX95+BS95-CA95+BT95-CB95+CC95</f>
        <v>0.00015885989284036</v>
      </c>
      <c r="CI95" s="57" t="n">
        <f aca="false">1-EXP(LN(1-E95)*dt)</f>
        <v>0.0951985554893469</v>
      </c>
      <c r="CJ95" s="57" t="n">
        <f aca="false">J95*(1-CI95)</f>
        <v>0.00761062412891958</v>
      </c>
      <c r="CK95" s="57" t="n">
        <f aca="false">(1-EXP(-r_stroke*F95*rr_asa_stroke*dt))</f>
        <v>0.0159729090763145</v>
      </c>
      <c r="CL95" s="57" t="n">
        <f aca="false">(1-EXP(-r_ich*rr_asa_ich*dt))</f>
        <v>0.00102357767802375</v>
      </c>
      <c r="CM95" s="57" t="n">
        <f aca="false">(1-EXP(-r_mb*rr_asa_mb*dt))</f>
        <v>0.00951809672747972</v>
      </c>
      <c r="CN95" s="57" t="n">
        <f aca="false">(1-EXP(-r_mi*rr_asa_mi*dt))</f>
        <v>0.00213413516393479</v>
      </c>
      <c r="CO95" s="57" t="n">
        <f aca="false">(1-EXP(-r_tia*rr_asa_tia*dt))</f>
        <v>0.00312764565589152</v>
      </c>
      <c r="CP95" s="57" t="n">
        <f aca="false">(1-EXP(-r_minor*rr_asa_minor*dt))</f>
        <v>0.0278181950466747</v>
      </c>
      <c r="CQ95" s="57" t="n">
        <f aca="false">CJ95*CK95</f>
        <v>0.000121563807225238</v>
      </c>
      <c r="CR95" s="57" t="n">
        <f aca="false">CJ95*CL95</f>
        <v>7.790064974191E-006</v>
      </c>
      <c r="CS95" s="57" t="n">
        <f aca="false">CJ95*CM95</f>
        <v>7.24386566155476E-005</v>
      </c>
      <c r="CT95" s="57" t="n">
        <f aca="false">CJ95*CN95</f>
        <v>1.62421005730179E-005</v>
      </c>
      <c r="CU95" s="57" t="n">
        <f aca="false">CJ95*CO95</f>
        <v>2.38033354954385E-005</v>
      </c>
      <c r="CV95" s="57" t="n">
        <f aca="false">CJ95*CP95</f>
        <v>0.000211713826445214</v>
      </c>
      <c r="CW95" s="57" t="n">
        <f aca="false">CQ95*f_stroke_fatal</f>
        <v>2.88106223123814E-005</v>
      </c>
      <c r="CX95" s="57" t="n">
        <f aca="false">CQ95*(1-f_stroke_fatal)*f_stroke_major</f>
        <v>3.08868105759813E-005</v>
      </c>
      <c r="CY95" s="57" t="n">
        <f aca="false">CQ95*(1-f_stroke_fatal)*(1-f_stroke_major)</f>
        <v>6.18663743368754E-005</v>
      </c>
      <c r="CZ95" s="57" t="n">
        <f aca="false">CR95*(1-f_bleed_fatal)</f>
        <v>7.13569951635895E-006</v>
      </c>
      <c r="DA95" s="57" t="n">
        <f aca="false">CS95*(1-f_bleed_fatal)</f>
        <v>6.63538094598416E-005</v>
      </c>
      <c r="DB95" s="57" t="n">
        <f aca="false">CT95*f_mi_fatal</f>
        <v>1.96529416933516E-006</v>
      </c>
      <c r="DC95" s="57" t="n">
        <f aca="false">CT95-DB95</f>
        <v>1.42768064036827E-005</v>
      </c>
      <c r="DD95" s="57" t="n">
        <f aca="false">CJ95-CQ95-CR95-CS95-DB95</f>
        <v>0.00740686630593527</v>
      </c>
      <c r="DE95" s="19" t="n">
        <f aca="false">CW95*c_stroke_fatal+CX95*c_stroke_major+CY95*c_stroke_minor+CR95*c_ich+CS95*c_major_bleed+DB95*c_mi_fatal+DC95*c_mi_nonfatal+CU95*c_tia+CV95*c_minor_bleed</f>
        <v>5.51632804328875</v>
      </c>
      <c r="DF95" s="57" t="n">
        <f aca="false">dt*(DC95*dec_mi+DA95*dec_major_bleed+CV95*dec_minor_bleed+CU95*dec_tia)</f>
        <v>3.27329364264593E-006</v>
      </c>
      <c r="DG95" s="57" t="n">
        <f aca="false">J95*CI95+CW95+CR95-CZ95+CS95-DA95+DB95</f>
        <v>0.000838265866001248</v>
      </c>
      <c r="DH95" s="57" t="n">
        <f aca="false">AG95</f>
        <v>0.0089923403544461</v>
      </c>
      <c r="DI95" s="57" t="n">
        <f aca="false">AB95+AC95+BF95+BA95+BB95+BC95+CY95+CZ95</f>
        <v>0.00125122727906579</v>
      </c>
      <c r="DJ95" s="57" t="n">
        <f aca="false">AA95+AZ95+BY95+CX95+CE95+BZ95+CA95+CB95</f>
        <v>0.000636381744421022</v>
      </c>
      <c r="DK95" s="57" t="n">
        <f aca="false">AD95+DD95+DA95</f>
        <v>0.00754346806260377</v>
      </c>
      <c r="DL95" s="57" t="n">
        <f aca="false">K95+AJ95+BI95+CH95+DG95</f>
        <v>0.981576582559464</v>
      </c>
      <c r="DM95" s="58" t="n">
        <f aca="false">SUM(DH95:DL95)</f>
        <v>1</v>
      </c>
      <c r="DN95" s="19" t="n">
        <f aca="false">dt*(G95*Warfarin!$H$2+(H95+I95+J95)*c_aspirin)</f>
        <v>1.07787206544272</v>
      </c>
      <c r="DO95" s="19" t="n">
        <f aca="false">dt*(H95*c_lt_minor_stroke+I95*c_lt_major_stroke)</f>
        <v>8.67659489786133</v>
      </c>
      <c r="DP95" s="19" t="n">
        <f aca="false">AH95+BG95+CF95+DE95</f>
        <v>12.4247077251569</v>
      </c>
      <c r="DQ95" s="19" t="n">
        <f aca="false">DN95+DO95+DP95</f>
        <v>22.1791746884609</v>
      </c>
      <c r="DR95" s="57" t="n">
        <f aca="false">dt*(G95*(u_af-dec_per_year_over_70*MAX(B95-ref_age,0))+H95*(u_minor_stroke-dec_per_year_over_70*MAX(B95-ref_age,0))+I95*(u_major_stroke-dec_per_year_over_70*MAX(B95-ref_age,0))+J95*(u_af-dec_per_year_over_70*MAX(B95-ref_age,0)))-AI95-BH95-CG95-DF95</f>
        <v>0.00404743503024863</v>
      </c>
      <c r="DS95" s="57" t="n">
        <f aca="false">dt*(G95+H95+I95+J95)</f>
        <v>0.00518239100814264</v>
      </c>
      <c r="DT95" s="19" t="n">
        <f aca="false">DQ95*C95</f>
        <v>15.9248716779503</v>
      </c>
      <c r="DU95" s="19" t="n">
        <f aca="false">DN95*C95</f>
        <v>0.77392304125513</v>
      </c>
      <c r="DV95" s="19" t="n">
        <f aca="false">DP95*C95</f>
        <v>8.92106577176208</v>
      </c>
      <c r="DW95" s="19" t="n">
        <f aca="false">DO95*C95</f>
        <v>6.22988286493306</v>
      </c>
      <c r="DX95" s="57" t="n">
        <f aca="false">DR95*C95</f>
        <v>0.00290609927496914</v>
      </c>
      <c r="DY95" s="57" t="n">
        <f aca="false">DS95*C95</f>
        <v>0.00372100914253459</v>
      </c>
      <c r="DZ95" s="57" t="n">
        <f aca="false">T95+AS95+BR95+CQ95</f>
        <v>0.000272423049716058</v>
      </c>
      <c r="EA95" s="57" t="n">
        <f aca="false">U95+AT95+BS95+CR95</f>
        <v>2.79718113335179E-005</v>
      </c>
      <c r="EB95" s="57" t="n">
        <f aca="false">V95+AU95+BT95+CS95</f>
        <v>0.000165555868532691</v>
      </c>
      <c r="EC95" s="57" t="n">
        <f aca="false">G95*dt*C95</f>
        <v>0.00182119114350259</v>
      </c>
    </row>
    <row r="96" customFormat="false" ht="15" hidden="false" customHeight="false" outlineLevel="0" collapsed="false">
      <c r="A96" s="8" t="n">
        <v>90</v>
      </c>
      <c r="B96" s="54" t="n">
        <f aca="false">start_age+A96*dt</f>
        <v>92.5</v>
      </c>
      <c r="C96" s="16" t="n">
        <f aca="false">(1+disc_rate)^-(A96*dt)</f>
        <v>0.715342534975703</v>
      </c>
      <c r="D96" s="55" t="n">
        <f aca="false">IF(A96*dt&gt;=wane_start,(1-wane_decay)^(A96*dt-wane_start),1)</f>
        <v>1</v>
      </c>
      <c r="E96" s="25" t="n">
        <f aca="false">MIN(p_nonvasc_death*MIN(EXP(gomp_int+gomp_slope*INT(B96)),1)/qx_ref,0.999)</f>
        <v>0.329786546979476</v>
      </c>
      <c r="F96" s="55" t="n">
        <f aca="false">rr_stroke_per_decade^((B96-ref_age)/10)</f>
        <v>2.49003431932572</v>
      </c>
      <c r="G96" s="57" t="n">
        <f aca="false">DH95</f>
        <v>0.0089923403544461</v>
      </c>
      <c r="H96" s="57" t="n">
        <f aca="false">DI95</f>
        <v>0.00125122727906579</v>
      </c>
      <c r="I96" s="57" t="n">
        <f aca="false">DJ95</f>
        <v>0.000636381744421022</v>
      </c>
      <c r="J96" s="57" t="n">
        <f aca="false">DK95</f>
        <v>0.00754346806260377</v>
      </c>
      <c r="K96" s="57" t="n">
        <f aca="false">DL95</f>
        <v>0.981576582559464</v>
      </c>
      <c r="L96" s="57" t="n">
        <f aca="false">1-EXP(LN(1-E96)*dt)</f>
        <v>0.0951985554893469</v>
      </c>
      <c r="M96" s="57" t="n">
        <f aca="false">G96*(1-L96)</f>
        <v>0.00813628254223427</v>
      </c>
      <c r="N96" s="57" t="n">
        <f aca="false">IF(Warfarin!$B$2=1,EXP(LN(or_apx_stroke)*D96)*(1-EXP(-r_stroke*F96*dt))/(1-(1-EXP(-r_stroke*F96*dt))+EXP(LN(or_apx_stroke)*D96)*(1-EXP(-r_stroke*F96*dt))),(1-EXP(-r_stroke*F96*dt)))</f>
        <v>0.00999043931121213</v>
      </c>
      <c r="O96" s="57" t="n">
        <f aca="false">IF(Warfarin!$B$2=1,EXP(LN(or_apx_ich)*D96)*(1-EXP(-r_ich*dt))/(1-(1-EXP(-r_ich*dt))+EXP(LN(or_apx_ich)*D96)*(1-EXP(-r_ich*dt))),(1-EXP(-r_ich*dt)))</f>
        <v>0.0020060281549299</v>
      </c>
      <c r="P96" s="57" t="n">
        <f aca="false">IF(Warfarin!$B$2=1,EXP(LN(or_apx_mb)*D96)*(1-EXP(-r_mb*dt))/(1-(1-EXP(-r_mb*dt))+EXP(LN(or_apx_mb)*D96)*(1-EXP(-r_mb*dt))),(1-EXP(-r_mb*dt)))</f>
        <v>0.00835410477572107</v>
      </c>
      <c r="Q96" s="57" t="n">
        <f aca="false">IF(Warfarin!$B$2=1,EXP(LN(or_apx_mi)*D96)*(1-EXP(-r_mi*dt))/(1-(1-EXP(-r_mi*dt))+EXP(LN(or_apx_mi)*D96)*(1-EXP(-r_mi*dt))),(1-EXP(-r_mi*dt)))</f>
        <v>0.00150338686144691</v>
      </c>
      <c r="R96" s="57" t="n">
        <f aca="false">(1-EXP(-r_tia*dt))</f>
        <v>0.0020060281549299</v>
      </c>
      <c r="S96" s="57" t="n">
        <f aca="false">(1-EXP(-r_minor*dt))</f>
        <v>0.0437937690785545</v>
      </c>
      <c r="T96" s="57" t="n">
        <f aca="false">M96*N96</f>
        <v>8.12850369570662E-005</v>
      </c>
      <c r="U96" s="57" t="n">
        <f aca="false">M96*O96</f>
        <v>1.63216118561865E-005</v>
      </c>
      <c r="V96" s="57" t="n">
        <f aca="false">M96*P96</f>
        <v>6.79713568426953E-005</v>
      </c>
      <c r="W96" s="57" t="n">
        <f aca="false">M96*Q96</f>
        <v>1.22319802750149E-005</v>
      </c>
      <c r="X96" s="57" t="n">
        <f aca="false">M96*R96</f>
        <v>1.63216118561865E-005</v>
      </c>
      <c r="Y96" s="57" t="n">
        <f aca="false">M96*S96</f>
        <v>0.000356318478812482</v>
      </c>
      <c r="Z96" s="57" t="n">
        <f aca="false">T96*f_stroke_fatal</f>
        <v>1.92645537588247E-005</v>
      </c>
      <c r="AA96" s="57" t="n">
        <f aca="false">T96*(1-f_stroke_fatal)*f_stroke_major</f>
        <v>2.06528209050144E-005</v>
      </c>
      <c r="AB96" s="57" t="n">
        <f aca="false">T96*(1-f_stroke_fatal)*(1-f_stroke_major)</f>
        <v>4.13676622932271E-005</v>
      </c>
      <c r="AC96" s="57" t="n">
        <f aca="false">U96*(1-f_bleed_fatal)</f>
        <v>1.49505964602669E-005</v>
      </c>
      <c r="AD96" s="57" t="n">
        <f aca="false">V96*(1-f_bleed_fatal)</f>
        <v>6.22617628679089E-005</v>
      </c>
      <c r="AE96" s="57" t="n">
        <f aca="false">W96*f_mi_fatal</f>
        <v>1.4800696132768E-006</v>
      </c>
      <c r="AF96" s="57" t="n">
        <f aca="false">W96-AE96</f>
        <v>1.07519106617381E-005</v>
      </c>
      <c r="AG96" s="57" t="n">
        <f aca="false">M96-T96-U96-V96-AE96</f>
        <v>0.00796922446696504</v>
      </c>
      <c r="AH96" s="19" t="n">
        <f aca="false">Z96*c_stroke_fatal+AA96*c_stroke_major+AB96*c_stroke_minor+U96*c_ich+V96*c_major_bleed+AE96*c_mi_fatal+AF96*c_mi_nonfatal+X96*c_tia+Y96*c_minor_bleed</f>
        <v>4.11148378961967</v>
      </c>
      <c r="AI96" s="57" t="n">
        <f aca="false">dt*(AF96*dec_mi+AD96*dec_major_bleed+Y96*dec_minor_bleed+X96*dec_tia)</f>
        <v>3.34633431557859E-006</v>
      </c>
      <c r="AJ96" s="57" t="n">
        <f aca="false">G96*L96+Z96+U96-AC96+V96-AD96+AE96</f>
        <v>0.000883883044954637</v>
      </c>
      <c r="AK96" s="57" t="n">
        <f aca="false">1-EXP(LN(1-E96)*hr_death_prior_stroke*dt)</f>
        <v>0.205539048452053</v>
      </c>
      <c r="AL96" s="57" t="n">
        <f aca="false">H96*(1-AK96)</f>
        <v>0.000994051214729357</v>
      </c>
      <c r="AM96" s="57" t="n">
        <f aca="false">(1-EXP(-r_stroke*F96*rr_stroke_prior*rr_asa_stroke*dt))</f>
        <v>0.0351522659752204</v>
      </c>
      <c r="AN96" s="57" t="n">
        <f aca="false">(1-EXP(-r_ich*rr_asa_ich*dt))</f>
        <v>0.00102357767802375</v>
      </c>
      <c r="AO96" s="57" t="n">
        <f aca="false">(1-EXP(-r_mb*rr_asa_mb*dt))</f>
        <v>0.00951809672747972</v>
      </c>
      <c r="AP96" s="57" t="n">
        <f aca="false">(1-EXP(-r_mi*rr_asa_mi*dt))</f>
        <v>0.00213413516393479</v>
      </c>
      <c r="AQ96" s="57" t="n">
        <f aca="false">(1-EXP(-r_tia*rr_asa_tia*dt))</f>
        <v>0.00312764565589152</v>
      </c>
      <c r="AR96" s="57" t="n">
        <f aca="false">(1-EXP(-r_minor*rr_asa_minor*dt))</f>
        <v>0.0278181950466747</v>
      </c>
      <c r="AS96" s="57" t="n">
        <f aca="false">AL96*AM96</f>
        <v>3.49431526931573E-005</v>
      </c>
      <c r="AT96" s="57" t="n">
        <f aca="false">AL96*AN96</f>
        <v>1.01748863420936E-006</v>
      </c>
      <c r="AU96" s="57" t="n">
        <f aca="false">AL96*AO96</f>
        <v>9.46147561386273E-006</v>
      </c>
      <c r="AV96" s="57" t="n">
        <f aca="false">AL96*AP96</f>
        <v>2.12143965210602E-006</v>
      </c>
      <c r="AW96" s="57" t="n">
        <f aca="false">AL96*AQ96</f>
        <v>3.10903996348196E-006</v>
      </c>
      <c r="AX96" s="57" t="n">
        <f aca="false">AL96*AR96</f>
        <v>2.76527105777252E-005</v>
      </c>
      <c r="AY96" s="57" t="n">
        <f aca="false">AS96*f_stroke_fatal_recur</f>
        <v>1.30019976855969E-005</v>
      </c>
      <c r="AZ96" s="57" t="n">
        <f aca="false">AS96*(1-f_stroke_fatal_recur)*f_stroke_major</f>
        <v>7.3064046175176E-006</v>
      </c>
      <c r="BA96" s="57" t="n">
        <f aca="false">AS96*(1-f_stroke_fatal_recur)*(1-f_stroke_major)</f>
        <v>1.46347503900428E-005</v>
      </c>
      <c r="BB96" s="57" t="n">
        <f aca="false">AT96*(1-f_bleed_fatal)</f>
        <v>9.32019588935773E-007</v>
      </c>
      <c r="BC96" s="57" t="n">
        <f aca="false">AU96*(1-f_bleed_fatal)</f>
        <v>8.66671166229827E-006</v>
      </c>
      <c r="BD96" s="57" t="n">
        <f aca="false">AV96*f_mi_fatal</f>
        <v>2.56694197904828E-007</v>
      </c>
      <c r="BE96" s="57" t="n">
        <f aca="false">AV96-BD96</f>
        <v>1.86474545420119E-006</v>
      </c>
      <c r="BF96" s="57" t="n">
        <f aca="false">AL96-AS96-AT96-AU96-BD96</f>
        <v>0.000948372403590223</v>
      </c>
      <c r="BG96" s="19" t="n">
        <f aca="false">AY96*c_stroke_fatal+AZ96*c_stroke_major+BA96*c_stroke_minor+AT96*c_ich+AU96*c_major_bleed+BD96*c_mi_fatal+BE96*c_mi_nonfatal+AW96*c_tia+AX96*c_minor_bleed</f>
        <v>1.33867813991526</v>
      </c>
      <c r="BH96" s="57" t="n">
        <f aca="false">dt*(BE96*dec_mi+BC96*dec_major_bleed+AX96*dec_minor_bleed+AW96*dec_tia)</f>
        <v>4.27536752113915E-007</v>
      </c>
      <c r="BI96" s="57" t="n">
        <f aca="false">H96*AK96+AY96+AT96-BB96+AU96-BC96+BD96</f>
        <v>0.000271314989216774</v>
      </c>
      <c r="BJ96" s="57" t="n">
        <f aca="false">1-EXP(LN(1-E96)*hr_death_prior_stroke*dt)</f>
        <v>0.205539048452053</v>
      </c>
      <c r="BK96" s="57" t="n">
        <f aca="false">I96*(1-BJ96)</f>
        <v>0.000505580446220467</v>
      </c>
      <c r="BL96" s="57" t="n">
        <f aca="false">(1-EXP(-r_stroke*F96*rr_stroke_prior*rr_asa_stroke*dt))</f>
        <v>0.0351522659752204</v>
      </c>
      <c r="BM96" s="57" t="n">
        <f aca="false">(1-EXP(-r_ich*rr_asa_ich*dt))</f>
        <v>0.00102357767802375</v>
      </c>
      <c r="BN96" s="57" t="n">
        <f aca="false">(1-EXP(-r_mb*rr_asa_mb*dt))</f>
        <v>0.00951809672747972</v>
      </c>
      <c r="BO96" s="57" t="n">
        <f aca="false">(1-EXP(-r_mi*rr_asa_mi*dt))</f>
        <v>0.00213413516393479</v>
      </c>
      <c r="BP96" s="57" t="n">
        <f aca="false">(1-EXP(-r_tia*rr_asa_tia*dt))</f>
        <v>0.00312764565589152</v>
      </c>
      <c r="BQ96" s="57" t="n">
        <f aca="false">(1-EXP(-r_minor*rr_asa_minor*dt))</f>
        <v>0.0278181950466747</v>
      </c>
      <c r="BR96" s="57" t="n">
        <f aca="false">BK96*BL96</f>
        <v>1.77722983174125E-005</v>
      </c>
      <c r="BS96" s="57" t="n">
        <f aca="false">BK96*BM96</f>
        <v>5.17500859196555E-007</v>
      </c>
      <c r="BT96" s="57" t="n">
        <f aca="false">BK96*BN96</f>
        <v>4.81216359064877E-006</v>
      </c>
      <c r="BU96" s="57" t="n">
        <f aca="false">BK96*BO96</f>
        <v>1.07897700847694E-006</v>
      </c>
      <c r="BV96" s="57" t="n">
        <f aca="false">BK96*BP96</f>
        <v>1.58127648632514E-006</v>
      </c>
      <c r="BW96" s="57" t="n">
        <f aca="false">BK96*BQ96</f>
        <v>1.40643354647458E-005</v>
      </c>
      <c r="BX96" s="57" t="n">
        <f aca="false">BR96*f_stroke_fatal_recur</f>
        <v>6.612894480926E-006</v>
      </c>
      <c r="BY96" s="57" t="n">
        <f aca="false">BR96*(1-f_stroke_fatal_recur)*f_stroke_major</f>
        <v>3.71608147754999E-006</v>
      </c>
      <c r="BZ96" s="57" t="n">
        <f aca="false">BR96*(1-f_stroke_fatal_recur)*(1-f_stroke_major)</f>
        <v>7.44332235893647E-006</v>
      </c>
      <c r="CA96" s="57" t="n">
        <f aca="false">BS96*(1-f_bleed_fatal)</f>
        <v>4.74030787024045E-007</v>
      </c>
      <c r="CB96" s="57" t="n">
        <f aca="false">BT96*(1-f_bleed_fatal)</f>
        <v>4.40794184903427E-006</v>
      </c>
      <c r="CC96" s="57" t="n">
        <f aca="false">BU96*f_mi_fatal</f>
        <v>1.3055621802571E-007</v>
      </c>
      <c r="CD96" s="57" t="n">
        <f aca="false">BU96-CC96</f>
        <v>9.48420790451232E-007</v>
      </c>
      <c r="CE96" s="57" t="n">
        <f aca="false">BK96-BR96-BS96-BT96-CC96</f>
        <v>0.000482347927235184</v>
      </c>
      <c r="CF96" s="19" t="n">
        <f aca="false">BX96*c_stroke_fatal+BY96*c_stroke_major+BZ96*c_stroke_minor+BS96*c_ich+BT96*c_major_bleed+CC96*c_mi_fatal+CD96*c_mi_nonfatal+BV96*c_tia+BW96*c_minor_bleed</f>
        <v>0.68085977995431</v>
      </c>
      <c r="CG96" s="57" t="n">
        <f aca="false">dt*(CD96*dec_mi+CB96*dec_major_bleed+BW96*dec_minor_bleed+BV96*dec_tia)</f>
        <v>2.17447772012685E-007</v>
      </c>
      <c r="CH96" s="57" t="n">
        <f aca="false">I96*BJ96+BX96+BS96-CA96+BT96-CB96+CC96</f>
        <v>0.000137992440713293</v>
      </c>
      <c r="CI96" s="57" t="n">
        <f aca="false">1-EXP(LN(1-E96)*dt)</f>
        <v>0.0951985554893469</v>
      </c>
      <c r="CJ96" s="57" t="n">
        <f aca="false">J96*(1-CI96)</f>
        <v>0.00682534079966387</v>
      </c>
      <c r="CK96" s="57" t="n">
        <f aca="false">(1-EXP(-r_stroke*F96*rr_asa_stroke*dt))</f>
        <v>0.0161343240164265</v>
      </c>
      <c r="CL96" s="57" t="n">
        <f aca="false">(1-EXP(-r_ich*rr_asa_ich*dt))</f>
        <v>0.00102357767802375</v>
      </c>
      <c r="CM96" s="57" t="n">
        <f aca="false">(1-EXP(-r_mb*rr_asa_mb*dt))</f>
        <v>0.00951809672747972</v>
      </c>
      <c r="CN96" s="57" t="n">
        <f aca="false">(1-EXP(-r_mi*rr_asa_mi*dt))</f>
        <v>0.00213413516393479</v>
      </c>
      <c r="CO96" s="57" t="n">
        <f aca="false">(1-EXP(-r_tia*rr_asa_tia*dt))</f>
        <v>0.00312764565589152</v>
      </c>
      <c r="CP96" s="57" t="n">
        <f aca="false">(1-EXP(-r_minor*rr_asa_minor*dt))</f>
        <v>0.0278181950466747</v>
      </c>
      <c r="CQ96" s="57" t="n">
        <f aca="false">CJ96*CK96</f>
        <v>0.000110122259984312</v>
      </c>
      <c r="CR96" s="57" t="n">
        <f aca="false">CJ96*CL96</f>
        <v>6.98626648744068E-006</v>
      </c>
      <c r="CS96" s="57" t="n">
        <f aca="false">CJ96*CM96</f>
        <v>6.49642539292145E-005</v>
      </c>
      <c r="CT96" s="57" t="n">
        <f aca="false">CJ96*CN96</f>
        <v>1.45661998064015E-005</v>
      </c>
      <c r="CU96" s="57" t="n">
        <f aca="false">CJ96*CO96</f>
        <v>2.13472475020479E-005</v>
      </c>
      <c r="CV96" s="57" t="n">
        <f aca="false">CJ96*CP96</f>
        <v>0.000189868661625076</v>
      </c>
      <c r="CW96" s="57" t="n">
        <f aca="false">CQ96*f_stroke_fatal</f>
        <v>2.6098975616282E-005</v>
      </c>
      <c r="CX96" s="57" t="n">
        <f aca="false">CQ96*(1-f_stroke_fatal)*f_stroke_major</f>
        <v>2.7979753694554E-005</v>
      </c>
      <c r="CY96" s="57" t="n">
        <f aca="false">CQ96*(1-f_stroke_fatal)*(1-f_stroke_major)</f>
        <v>5.60435306734761E-005</v>
      </c>
      <c r="CZ96" s="57" t="n">
        <f aca="false">CR96*(1-f_bleed_fatal)</f>
        <v>6.39942010249567E-006</v>
      </c>
      <c r="DA96" s="57" t="n">
        <f aca="false">CS96*(1-f_bleed_fatal)</f>
        <v>5.95072565991605E-005</v>
      </c>
      <c r="DB96" s="57" t="n">
        <f aca="false">CT96*f_mi_fatal</f>
        <v>1.76251017657458E-006</v>
      </c>
      <c r="DC96" s="57" t="n">
        <f aca="false">CT96-DB96</f>
        <v>1.28036896298269E-005</v>
      </c>
      <c r="DD96" s="57" t="n">
        <f aca="false">CJ96-CQ96-CR96-CS96-DB96</f>
        <v>0.00664150550908633</v>
      </c>
      <c r="DE96" s="19" t="n">
        <f aca="false">CW96*c_stroke_fatal+CX96*c_stroke_major+CY96*c_stroke_minor+CR96*c_ich+CS96*c_major_bleed+DB96*c_mi_fatal+DC96*c_mi_nonfatal+CU96*c_tia+CV96*c_minor_bleed</f>
        <v>4.98784509619669</v>
      </c>
      <c r="DF96" s="57" t="n">
        <f aca="false">dt*(DC96*dec_mi+DA96*dec_major_bleed+CV96*dec_minor_bleed+CU96*dec_tia)</f>
        <v>2.93554697617201E-006</v>
      </c>
      <c r="DG96" s="57" t="n">
        <f aca="false">J96*CI96+CW96+CR96-CZ96+CS96-DA96+DB96</f>
        <v>0.000752032592447757</v>
      </c>
      <c r="DH96" s="57" t="n">
        <f aca="false">AG96</f>
        <v>0.00796922446696504</v>
      </c>
      <c r="DI96" s="57" t="n">
        <f aca="false">AB96+AC96+BF96+BA96+BB96+BC96+CY96+CZ96</f>
        <v>0.00109136709476097</v>
      </c>
      <c r="DJ96" s="57" t="n">
        <f aca="false">AA96+AZ96+BY96+CX96+CE96+BZ96+CA96+CB96</f>
        <v>0.000554328282924815</v>
      </c>
      <c r="DK96" s="57" t="n">
        <f aca="false">AD96+DD96+DA96</f>
        <v>0.0067632745285534</v>
      </c>
      <c r="DL96" s="57" t="n">
        <f aca="false">K96+AJ96+BI96+CH96+DG96</f>
        <v>0.983621805626797</v>
      </c>
      <c r="DM96" s="58" t="n">
        <f aca="false">SUM(DH96:DL96)</f>
        <v>1</v>
      </c>
      <c r="DN96" s="19" t="n">
        <f aca="false">dt*(G96*Warfarin!$H$2+(H96+I96+J96)*c_aspirin)</f>
        <v>0.955826421004052</v>
      </c>
      <c r="DO96" s="19" t="n">
        <f aca="false">dt*(H96*c_lt_minor_stroke+I96*c_lt_major_stroke)</f>
        <v>7.53719566287389</v>
      </c>
      <c r="DP96" s="19" t="n">
        <f aca="false">AH96+BG96+CF96+DE96</f>
        <v>11.1188668056859</v>
      </c>
      <c r="DQ96" s="19" t="n">
        <f aca="false">DN96+DO96+DP96</f>
        <v>19.6118888895639</v>
      </c>
      <c r="DR96" s="57" t="n">
        <f aca="false">dt*(G96*(u_af-dec_per_year_over_70*MAX(B96-ref_age,0))+H96*(u_minor_stroke-dec_per_year_over_70*MAX(B96-ref_age,0))+I96*(u_major_stroke-dec_per_year_over_70*MAX(B96-ref_age,0))+J96*(u_af-dec_per_year_over_70*MAX(B96-ref_age,0)))-AI96-BH96-CG96-DF96</f>
        <v>0.00359904139581029</v>
      </c>
      <c r="DS96" s="57" t="n">
        <f aca="false">dt*(G96+H96+I96+J96)</f>
        <v>0.00460585436013417</v>
      </c>
      <c r="DT96" s="19" t="n">
        <f aca="false">DQ96*C96</f>
        <v>14.0292183139224</v>
      </c>
      <c r="DU96" s="19" t="n">
        <f aca="false">DN96*C96</f>
        <v>0.683743294997792</v>
      </c>
      <c r="DV96" s="19" t="n">
        <f aca="false">DP96*C96</f>
        <v>7.95379836683657</v>
      </c>
      <c r="DW96" s="19" t="n">
        <f aca="false">DO96*C96</f>
        <v>5.39167665208808</v>
      </c>
      <c r="DX96" s="57" t="n">
        <f aca="false">DR96*C96</f>
        <v>0.00257454739556142</v>
      </c>
      <c r="DY96" s="57" t="n">
        <f aca="false">DS96*C96</f>
        <v>0.00329476353370727</v>
      </c>
      <c r="DZ96" s="57" t="n">
        <f aca="false">T96+AS96+BR96+CQ96</f>
        <v>0.000244122747951948</v>
      </c>
      <c r="EA96" s="57" t="n">
        <f aca="false">U96+AT96+BS96+CR96</f>
        <v>2.48428678370331E-005</v>
      </c>
      <c r="EB96" s="57" t="n">
        <f aca="false">V96+AU96+BT96+CS96</f>
        <v>0.000147209249976421</v>
      </c>
      <c r="EC96" s="57" t="n">
        <f aca="false">G96*dt*C96</f>
        <v>0.00160815088612844</v>
      </c>
    </row>
    <row r="97" customFormat="false" ht="15" hidden="false" customHeight="false" outlineLevel="0" collapsed="false">
      <c r="A97" s="8" t="n">
        <v>91</v>
      </c>
      <c r="B97" s="54" t="n">
        <f aca="false">start_age+A97*dt</f>
        <v>92.75</v>
      </c>
      <c r="C97" s="16" t="n">
        <f aca="false">(1+disc_rate)^-(A97*dt)</f>
        <v>0.712684869711714</v>
      </c>
      <c r="D97" s="55" t="n">
        <f aca="false">IF(A97*dt&gt;=wane_start,(1-wane_decay)^(A97*dt-wane_start),1)</f>
        <v>1</v>
      </c>
      <c r="E97" s="25" t="n">
        <f aca="false">MIN(p_nonvasc_death*MIN(EXP(gomp_int+gomp_slope*INT(B97)),1)/qx_ref,0.999)</f>
        <v>0.329786546979476</v>
      </c>
      <c r="F97" s="55" t="n">
        <f aca="false">rr_stroke_per_decade^((B97-ref_age)/10)</f>
        <v>2.51540323056842</v>
      </c>
      <c r="G97" s="57" t="n">
        <f aca="false">DH96</f>
        <v>0.00796922446696504</v>
      </c>
      <c r="H97" s="57" t="n">
        <f aca="false">DI96</f>
        <v>0.00109136709476097</v>
      </c>
      <c r="I97" s="57" t="n">
        <f aca="false">DJ96</f>
        <v>0.000554328282924815</v>
      </c>
      <c r="J97" s="57" t="n">
        <f aca="false">DK96</f>
        <v>0.0067632745285534</v>
      </c>
      <c r="K97" s="57" t="n">
        <f aca="false">DL96</f>
        <v>0.983621805626797</v>
      </c>
      <c r="L97" s="57" t="n">
        <f aca="false">1-EXP(LN(1-E97)*dt)</f>
        <v>0.0951985554893469</v>
      </c>
      <c r="M97" s="57" t="n">
        <f aca="false">G97*(1-L97)</f>
        <v>0.00721056580933961</v>
      </c>
      <c r="N97" s="57" t="n">
        <f aca="false">IF(Warfarin!$B$2=1,EXP(LN(or_apx_stroke)*D97)*(1-EXP(-r_stroke*F97*dt))/(1-(1-EXP(-r_stroke*F97*dt))+EXP(LN(or_apx_stroke)*D97)*(1-EXP(-r_stroke*F97*dt))),(1-EXP(-r_stroke*F97*dt)))</f>
        <v>0.0100917083619241</v>
      </c>
      <c r="O97" s="57" t="n">
        <f aca="false">IF(Warfarin!$B$2=1,EXP(LN(or_apx_ich)*D97)*(1-EXP(-r_ich*dt))/(1-(1-EXP(-r_ich*dt))+EXP(LN(or_apx_ich)*D97)*(1-EXP(-r_ich*dt))),(1-EXP(-r_ich*dt)))</f>
        <v>0.0020060281549299</v>
      </c>
      <c r="P97" s="57" t="n">
        <f aca="false">IF(Warfarin!$B$2=1,EXP(LN(or_apx_mb)*D97)*(1-EXP(-r_mb*dt))/(1-(1-EXP(-r_mb*dt))+EXP(LN(or_apx_mb)*D97)*(1-EXP(-r_mb*dt))),(1-EXP(-r_mb*dt)))</f>
        <v>0.00835410477572107</v>
      </c>
      <c r="Q97" s="57" t="n">
        <f aca="false">IF(Warfarin!$B$2=1,EXP(LN(or_apx_mi)*D97)*(1-EXP(-r_mi*dt))/(1-(1-EXP(-r_mi*dt))+EXP(LN(or_apx_mi)*D97)*(1-EXP(-r_mi*dt))),(1-EXP(-r_mi*dt)))</f>
        <v>0.00150338686144691</v>
      </c>
      <c r="R97" s="57" t="n">
        <f aca="false">(1-EXP(-r_tia*dt))</f>
        <v>0.0020060281549299</v>
      </c>
      <c r="S97" s="57" t="n">
        <f aca="false">(1-EXP(-r_minor*dt))</f>
        <v>0.0437937690785545</v>
      </c>
      <c r="T97" s="57" t="n">
        <f aca="false">M97*N97</f>
        <v>7.27669272723164E-005</v>
      </c>
      <c r="U97" s="57" t="n">
        <f aca="false">M97*O97</f>
        <v>1.44645980265101E-005</v>
      </c>
      <c r="V97" s="57" t="n">
        <f aca="false">M97*P97</f>
        <v>6.02378222634551E-005</v>
      </c>
      <c r="W97" s="57" t="n">
        <f aca="false">M97*Q97</f>
        <v>1.08402699013595E-005</v>
      </c>
      <c r="X97" s="57" t="n">
        <f aca="false">M97*R97</f>
        <v>1.44645980265101E-005</v>
      </c>
      <c r="Y97" s="57" t="n">
        <f aca="false">M97*S97</f>
        <v>0.000315777853979939</v>
      </c>
      <c r="Z97" s="57" t="n">
        <f aca="false">T97*f_stroke_fatal</f>
        <v>1.7245761763539E-005</v>
      </c>
      <c r="AA97" s="57" t="n">
        <f aca="false">T97*(1-f_stroke_fatal)*f_stroke_major</f>
        <v>1.84885481144229E-005</v>
      </c>
      <c r="AB97" s="57" t="n">
        <f aca="false">T97*(1-f_stroke_fatal)*(1-f_stroke_major)</f>
        <v>3.70326173943545E-005</v>
      </c>
      <c r="AC97" s="57" t="n">
        <f aca="false">U97*(1-f_bleed_fatal)</f>
        <v>1.32495717922833E-005</v>
      </c>
      <c r="AD97" s="57" t="n">
        <f aca="false">V97*(1-f_bleed_fatal)</f>
        <v>5.51778451933249E-005</v>
      </c>
      <c r="AE97" s="57" t="n">
        <f aca="false">W97*f_mi_fatal</f>
        <v>1.3116726580645E-006</v>
      </c>
      <c r="AF97" s="57" t="n">
        <f aca="false">W97-AE97</f>
        <v>9.52859724329497E-006</v>
      </c>
      <c r="AG97" s="57" t="n">
        <f aca="false">M97-T97-U97-V97-AE97</f>
        <v>0.00706178478911926</v>
      </c>
      <c r="AH97" s="19" t="n">
        <f aca="false">Z97*c_stroke_fatal+AA97*c_stroke_major+AB97*c_stroke_minor+U97*c_ich+V97*c_major_bleed+AE97*c_mi_fatal+AF97*c_mi_nonfatal+X97*c_tia+Y97*c_minor_bleed</f>
        <v>3.6706734929209</v>
      </c>
      <c r="AI97" s="57" t="n">
        <f aca="false">dt*(AF97*dec_mi+AD97*dec_major_bleed+Y97*dec_minor_bleed+X97*dec_tia)</f>
        <v>2.96560052791688E-006</v>
      </c>
      <c r="AJ97" s="57" t="n">
        <f aca="false">G97*L97+Z97+U97-AC97+V97-AD97+AE97</f>
        <v>0.000783491095351393</v>
      </c>
      <c r="AK97" s="57" t="n">
        <f aca="false">1-EXP(LN(1-E97)*hr_death_prior_stroke*dt)</f>
        <v>0.205539048452053</v>
      </c>
      <c r="AL97" s="57" t="n">
        <f aca="false">H97*(1-AK97)</f>
        <v>0.000867048540591915</v>
      </c>
      <c r="AM97" s="57" t="n">
        <f aca="false">(1-EXP(-r_stroke*F97*rr_stroke_prior*rr_asa_stroke*dt))</f>
        <v>0.0355039696240991</v>
      </c>
      <c r="AN97" s="57" t="n">
        <f aca="false">(1-EXP(-r_ich*rr_asa_ich*dt))</f>
        <v>0.00102357767802375</v>
      </c>
      <c r="AO97" s="57" t="n">
        <f aca="false">(1-EXP(-r_mb*rr_asa_mb*dt))</f>
        <v>0.00951809672747972</v>
      </c>
      <c r="AP97" s="57" t="n">
        <f aca="false">(1-EXP(-r_mi*rr_asa_mi*dt))</f>
        <v>0.00213413516393479</v>
      </c>
      <c r="AQ97" s="57" t="n">
        <f aca="false">(1-EXP(-r_tia*rr_asa_tia*dt))</f>
        <v>0.00312764565589152</v>
      </c>
      <c r="AR97" s="57" t="n">
        <f aca="false">(1-EXP(-r_minor*rr_asa_minor*dt))</f>
        <v>0.0278181950466747</v>
      </c>
      <c r="AS97" s="57" t="n">
        <f aca="false">AL97*AM97</f>
        <v>3.07836650477948E-005</v>
      </c>
      <c r="AT97" s="57" t="n">
        <f aca="false">AL97*AN97</f>
        <v>8.8749153191295E-007</v>
      </c>
      <c r="AU97" s="57" t="n">
        <f aca="false">AL97*AO97</f>
        <v>8.25265187677397E-006</v>
      </c>
      <c r="AV97" s="57" t="n">
        <f aca="false">AL97*AP97</f>
        <v>1.85039877931555E-006</v>
      </c>
      <c r="AW97" s="57" t="n">
        <f aca="false">AL97*AQ97</f>
        <v>2.71182060142938E-006</v>
      </c>
      <c r="AX97" s="57" t="n">
        <f aca="false">AL97*AR97</f>
        <v>2.41197254171205E-005</v>
      </c>
      <c r="AY97" s="57" t="n">
        <f aca="false">AS97*f_stroke_fatal_recur</f>
        <v>1.1454293927634E-005</v>
      </c>
      <c r="AZ97" s="57" t="n">
        <f aca="false">AS97*(1-f_stroke_fatal_recur)*f_stroke_major</f>
        <v>6.43668058301355E-006</v>
      </c>
      <c r="BA97" s="57" t="n">
        <f aca="false">AS97*(1-f_stroke_fatal_recur)*(1-f_stroke_major)</f>
        <v>1.28926905371473E-005</v>
      </c>
      <c r="BB97" s="57" t="n">
        <f aca="false">AT97*(1-f_bleed_fatal)</f>
        <v>8.12942243232262E-007</v>
      </c>
      <c r="BC97" s="57" t="n">
        <f aca="false">AU97*(1-f_bleed_fatal)</f>
        <v>7.55942911912496E-006</v>
      </c>
      <c r="BD97" s="57" t="n">
        <f aca="false">AV97*f_mi_fatal</f>
        <v>2.23898252297181E-007</v>
      </c>
      <c r="BE97" s="57" t="n">
        <f aca="false">AV97-BD97</f>
        <v>1.62650052701837E-006</v>
      </c>
      <c r="BF97" s="57" t="n">
        <f aca="false">AL97-AS97-AT97-AU97-BD97</f>
        <v>0.000826900833883136</v>
      </c>
      <c r="BG97" s="19" t="n">
        <f aca="false">AY97*c_stroke_fatal+AZ97*c_stroke_major+BA97*c_stroke_minor+AT97*c_ich+AU97*c_major_bleed+BD97*c_mi_fatal+BE97*c_mi_nonfatal+AW97*c_tia+AX97*c_minor_bleed</f>
        <v>1.17815930515758</v>
      </c>
      <c r="BH97" s="57" t="n">
        <f aca="false">dt*(BE97*dec_mi+BC97*dec_major_bleed+AX97*dec_minor_bleed+AW97*dec_tia)</f>
        <v>3.72913499301646E-007</v>
      </c>
      <c r="BI97" s="57" t="n">
        <f aca="false">H97*AK97+AY97+AT97-BB97+AU97-BC97+BD97</f>
        <v>0.000236764518395312</v>
      </c>
      <c r="BJ97" s="57" t="n">
        <f aca="false">1-EXP(LN(1-E97)*hr_death_prior_stroke*dt)</f>
        <v>0.205539048452053</v>
      </c>
      <c r="BK97" s="57" t="n">
        <f aca="false">I97*(1-BJ97)</f>
        <v>0.000440392175122388</v>
      </c>
      <c r="BL97" s="57" t="n">
        <f aca="false">(1-EXP(-r_stroke*F97*rr_stroke_prior*rr_asa_stroke*dt))</f>
        <v>0.0355039696240991</v>
      </c>
      <c r="BM97" s="57" t="n">
        <f aca="false">(1-EXP(-r_ich*rr_asa_ich*dt))</f>
        <v>0.00102357767802375</v>
      </c>
      <c r="BN97" s="57" t="n">
        <f aca="false">(1-EXP(-r_mb*rr_asa_mb*dt))</f>
        <v>0.00951809672747972</v>
      </c>
      <c r="BO97" s="57" t="n">
        <f aca="false">(1-EXP(-r_mi*rr_asa_mi*dt))</f>
        <v>0.00213413516393479</v>
      </c>
      <c r="BP97" s="57" t="n">
        <f aca="false">(1-EXP(-r_tia*rr_asa_tia*dt))</f>
        <v>0.00312764565589152</v>
      </c>
      <c r="BQ97" s="57" t="n">
        <f aca="false">(1-EXP(-r_minor*rr_asa_minor*dt))</f>
        <v>0.0278181950466747</v>
      </c>
      <c r="BR97" s="57" t="n">
        <f aca="false">BK97*BL97</f>
        <v>1.56356704082362E-005</v>
      </c>
      <c r="BS97" s="57" t="n">
        <f aca="false">BK97*BM97</f>
        <v>4.50775600031601E-007</v>
      </c>
      <c r="BT97" s="57" t="n">
        <f aca="false">BK97*BN97</f>
        <v>4.19169532084008E-006</v>
      </c>
      <c r="BU97" s="57" t="n">
        <f aca="false">BK97*BO97</f>
        <v>9.39856426850417E-007</v>
      </c>
      <c r="BV97" s="57" t="n">
        <f aca="false">BK97*BP97</f>
        <v>1.37739067341015E-006</v>
      </c>
      <c r="BW97" s="57" t="n">
        <f aca="false">BK97*BQ97</f>
        <v>1.22509154245839E-005</v>
      </c>
      <c r="BX97" s="57" t="n">
        <f aca="false">BR97*f_stroke_fatal_recur</f>
        <v>5.8178766022006E-006</v>
      </c>
      <c r="BY97" s="57" t="n">
        <f aca="false">BR97*(1-f_stroke_fatal_recur)*f_stroke_major</f>
        <v>3.26932533740985E-006</v>
      </c>
      <c r="BZ97" s="57" t="n">
        <f aca="false">BR97*(1-f_stroke_fatal_recur)*(1-f_stroke_major)</f>
        <v>6.54846846862573E-006</v>
      </c>
      <c r="CA97" s="57" t="n">
        <f aca="false">BS97*(1-f_bleed_fatal)</f>
        <v>4.12910449628946E-007</v>
      </c>
      <c r="CB97" s="57" t="n">
        <f aca="false">BT97*(1-f_bleed_fatal)</f>
        <v>3.83959291388951E-006</v>
      </c>
      <c r="CC97" s="57" t="n">
        <f aca="false">BU97*f_mi_fatal</f>
        <v>1.137226276489E-007</v>
      </c>
      <c r="CD97" s="57" t="n">
        <f aca="false">BU97-CC97</f>
        <v>8.26133799201516E-007</v>
      </c>
      <c r="CE97" s="57" t="n">
        <f aca="false">BK97-BR97-BS97-BT97-CC97</f>
        <v>0.000420000311165631</v>
      </c>
      <c r="CF97" s="19" t="n">
        <f aca="false">BX97*c_stroke_fatal+BY97*c_stroke_major+BZ97*c_stroke_minor+BS97*c_ich+BT97*c_major_bleed+CC97*c_mi_fatal+CD97*c_mi_nonfatal+BV97*c_tia+BW97*c_minor_bleed</f>
        <v>0.598411870556659</v>
      </c>
      <c r="CG97" s="57" t="n">
        <f aca="false">dt*(CD97*dec_mi+CB97*dec_major_bleed+BW97*dec_minor_bleed+BV97*dec_tia)</f>
        <v>1.89410603214715E-007</v>
      </c>
      <c r="CH97" s="57" t="n">
        <f aca="false">I97*BJ97+BX97+BS97-CA97+BT97-CB97+CC97</f>
        <v>0.00012025767458963</v>
      </c>
      <c r="CI97" s="57" t="n">
        <f aca="false">1-EXP(LN(1-E97)*dt)</f>
        <v>0.0951985554893469</v>
      </c>
      <c r="CJ97" s="57" t="n">
        <f aca="false">J97*(1-CI97)</f>
        <v>0.00611942056305722</v>
      </c>
      <c r="CK97" s="57" t="n">
        <f aca="false">(1-EXP(-r_stroke*F97*rr_asa_stroke*dt))</f>
        <v>0.0162973565968672</v>
      </c>
      <c r="CL97" s="57" t="n">
        <f aca="false">(1-EXP(-r_ich*rr_asa_ich*dt))</f>
        <v>0.00102357767802375</v>
      </c>
      <c r="CM97" s="57" t="n">
        <f aca="false">(1-EXP(-r_mb*rr_asa_mb*dt))</f>
        <v>0.00951809672747972</v>
      </c>
      <c r="CN97" s="57" t="n">
        <f aca="false">(1-EXP(-r_mi*rr_asa_mi*dt))</f>
        <v>0.00213413516393479</v>
      </c>
      <c r="CO97" s="57" t="n">
        <f aca="false">(1-EXP(-r_tia*rr_asa_tia*dt))</f>
        <v>0.00312764565589152</v>
      </c>
      <c r="CP97" s="57" t="n">
        <f aca="false">(1-EXP(-r_minor*rr_asa_minor*dt))</f>
        <v>0.0278181950466747</v>
      </c>
      <c r="CQ97" s="57" t="n">
        <f aca="false">CJ97*CK97</f>
        <v>9.97303790823451E-005</v>
      </c>
      <c r="CR97" s="57" t="n">
        <f aca="false">CJ97*CL97</f>
        <v>6.26370229078488E-006</v>
      </c>
      <c r="CS97" s="57" t="n">
        <f aca="false">CJ97*CM97</f>
        <v>5.82452368353071E-005</v>
      </c>
      <c r="CT97" s="57" t="n">
        <f aca="false">CJ97*CN97</f>
        <v>1.30596706065261E-005</v>
      </c>
      <c r="CU97" s="57" t="n">
        <f aca="false">CJ97*CO97</f>
        <v>1.91393791406192E-005</v>
      </c>
      <c r="CV97" s="57" t="n">
        <f aca="false">CJ97*CP97</f>
        <v>0.000170231234795758</v>
      </c>
      <c r="CW97" s="57" t="n">
        <f aca="false">CQ97*f_stroke_fatal</f>
        <v>2.36360998425158E-005</v>
      </c>
      <c r="CX97" s="57" t="n">
        <f aca="false">CQ97*(1-f_stroke_fatal)*f_stroke_major</f>
        <v>2.53393949868632E-005</v>
      </c>
      <c r="CY97" s="57" t="n">
        <f aca="false">CQ97*(1-f_stroke_fatal)*(1-f_stroke_major)</f>
        <v>5.07548842529662E-005</v>
      </c>
      <c r="CZ97" s="57" t="n">
        <f aca="false">CR97*(1-f_bleed_fatal)</f>
        <v>5.73755129835895E-006</v>
      </c>
      <c r="DA97" s="57" t="n">
        <f aca="false">CS97*(1-f_bleed_fatal)</f>
        <v>5.33526369411413E-005</v>
      </c>
      <c r="DB97" s="57" t="n">
        <f aca="false">CT97*f_mi_fatal</f>
        <v>1.58022014338965E-006</v>
      </c>
      <c r="DC97" s="57" t="n">
        <f aca="false">CT97-DB97</f>
        <v>1.14794504631364E-005</v>
      </c>
      <c r="DD97" s="57" t="n">
        <f aca="false">CJ97-CQ97-CR97-CS97-DB97</f>
        <v>0.0059536010247054</v>
      </c>
      <c r="DE97" s="19" t="n">
        <f aca="false">CW97*c_stroke_fatal+CX97*c_stroke_major+CY97*c_stroke_minor+CR97*c_ich+CS97*c_major_bleed+DB97*c_mi_fatal+DC97*c_mi_nonfatal+CU97*c_tia+CV97*c_minor_bleed</f>
        <v>4.50883172912988</v>
      </c>
      <c r="DF97" s="57" t="n">
        <f aca="false">dt*(DC97*dec_mi+DA97*dec_major_bleed+CV97*dec_minor_bleed+CU97*dec_tia)</f>
        <v>2.63193400257642E-006</v>
      </c>
      <c r="DG97" s="57" t="n">
        <f aca="false">J97*CI97+CW97+CR97-CZ97+CS97-DA97+DB97</f>
        <v>0.000674489036368674</v>
      </c>
      <c r="DH97" s="57" t="n">
        <f aca="false">AG97</f>
        <v>0.00706178478911926</v>
      </c>
      <c r="DI97" s="57" t="n">
        <f aca="false">AB97+AC97+BF97+BA97+BB97+BC97+CY97+CZ97</f>
        <v>0.000954940520520603</v>
      </c>
      <c r="DJ97" s="57" t="n">
        <f aca="false">AA97+AZ97+BY97+CX97+CE97+BZ97+CA97+CB97</f>
        <v>0.000484335232019485</v>
      </c>
      <c r="DK97" s="57" t="n">
        <f aca="false">AD97+DD97+DA97</f>
        <v>0.00606213150683986</v>
      </c>
      <c r="DL97" s="57" t="n">
        <f aca="false">K97+AJ97+BI97+CH97+DG97</f>
        <v>0.985436807951502</v>
      </c>
      <c r="DM97" s="58" t="n">
        <f aca="false">SUM(DH97:DL97)</f>
        <v>1</v>
      </c>
      <c r="DN97" s="19" t="n">
        <f aca="false">dt*(G97*Warfarin!$H$2+(H97+I97+J97)*c_aspirin)</f>
        <v>0.847572999224673</v>
      </c>
      <c r="DO97" s="19" t="n">
        <f aca="false">dt*(H97*c_lt_minor_stroke+I97*c_lt_major_stroke)</f>
        <v>6.56934229300023</v>
      </c>
      <c r="DP97" s="19" t="n">
        <f aca="false">AH97+BG97+CF97+DE97</f>
        <v>9.95607639776502</v>
      </c>
      <c r="DQ97" s="19" t="n">
        <f aca="false">DN97+DO97+DP97</f>
        <v>17.3729916899899</v>
      </c>
      <c r="DR97" s="57" t="n">
        <f aca="false">dt*(G97*(u_af-dec_per_year_over_70*MAX(B97-ref_age,0))+H97*(u_minor_stroke-dec_per_year_over_70*MAX(B97-ref_age,0))+I97*(u_major_stroke-dec_per_year_over_70*MAX(B97-ref_age,0))+J97*(u_af-dec_per_year_over_70*MAX(B97-ref_age,0)))-AI97-BH97-CG97-DF97</f>
        <v>0.00320088113060805</v>
      </c>
      <c r="DS97" s="57" t="n">
        <f aca="false">dt*(G97+H97+I97+J97)</f>
        <v>0.00409454859330106</v>
      </c>
      <c r="DT97" s="19" t="n">
        <f aca="false">DQ97*C97</f>
        <v>12.3814683190832</v>
      </c>
      <c r="DU97" s="19" t="n">
        <f aca="false">DN97*C97</f>
        <v>0.604052452523603</v>
      </c>
      <c r="DV97" s="19" t="n">
        <f aca="false">DP97*C97</f>
        <v>7.09554501038104</v>
      </c>
      <c r="DW97" s="19" t="n">
        <f aca="false">DO97*C97</f>
        <v>4.68187085617852</v>
      </c>
      <c r="DX97" s="57" t="n">
        <f aca="false">DR97*C97</f>
        <v>0.00228121955153008</v>
      </c>
      <c r="DY97" s="57" t="n">
        <f aca="false">DS97*C97</f>
        <v>0.00291812283074505</v>
      </c>
      <c r="DZ97" s="57" t="n">
        <f aca="false">T97+AS97+BR97+CQ97</f>
        <v>0.000218916641810692</v>
      </c>
      <c r="EA97" s="57" t="n">
        <f aca="false">U97+AT97+BS97+CR97</f>
        <v>2.20665674492396E-005</v>
      </c>
      <c r="EB97" s="57" t="n">
        <f aca="false">V97+AU97+BT97+CS97</f>
        <v>0.000130927406296376</v>
      </c>
      <c r="EC97" s="57" t="n">
        <f aca="false">G97*dt*C97</f>
        <v>0.0014198864252356</v>
      </c>
    </row>
    <row r="98" customFormat="false" ht="15" hidden="false" customHeight="false" outlineLevel="0" collapsed="false">
      <c r="A98" s="8" t="n">
        <v>92</v>
      </c>
      <c r="B98" s="54" t="n">
        <f aca="false">start_age+A98*dt</f>
        <v>93</v>
      </c>
      <c r="C98" s="16" t="n">
        <f aca="false">(1+disc_rate)^-(A98*dt)</f>
        <v>0.7100370782974</v>
      </c>
      <c r="D98" s="55" t="n">
        <f aca="false">IF(A98*dt&gt;=wane_start,(1-wane_decay)^(A98*dt-wane_start),1)</f>
        <v>1</v>
      </c>
      <c r="E98" s="25" t="n">
        <f aca="false">MIN(p_nonvasc_death*MIN(EXP(gomp_int+gomp_slope*INT(B98)),1)/qx_ref,0.999)</f>
        <v>0.366163211059421</v>
      </c>
      <c r="F98" s="55" t="n">
        <f aca="false">rr_stroke_per_decade^((B98-ref_age)/10)</f>
        <v>2.54103060477792</v>
      </c>
      <c r="G98" s="57" t="n">
        <f aca="false">DH97</f>
        <v>0.00706178478911926</v>
      </c>
      <c r="H98" s="57" t="n">
        <f aca="false">DI97</f>
        <v>0.000954940520520603</v>
      </c>
      <c r="I98" s="57" t="n">
        <f aca="false">DJ97</f>
        <v>0.000484335232019485</v>
      </c>
      <c r="J98" s="57" t="n">
        <f aca="false">DK97</f>
        <v>0.00606213150683986</v>
      </c>
      <c r="K98" s="57" t="n">
        <f aca="false">DL97</f>
        <v>0.985436807951502</v>
      </c>
      <c r="L98" s="57" t="n">
        <f aca="false">1-EXP(LN(1-E98)*dt)</f>
        <v>0.10773396655429</v>
      </c>
      <c r="M98" s="57" t="n">
        <f aca="false">G98*(1-L98)</f>
        <v>0.0063009907028347</v>
      </c>
      <c r="N98" s="57" t="n">
        <f aca="false">IF(Warfarin!$B$2=1,EXP(LN(or_apx_stroke)*D98)*(1-EXP(-r_stroke*F98*dt))/(1-(1-EXP(-r_stroke*F98*dt))+EXP(LN(or_apx_stroke)*D98)*(1-EXP(-r_stroke*F98*dt))),(1-EXP(-r_stroke*F98*dt)))</f>
        <v>0.010193998641932</v>
      </c>
      <c r="O98" s="57" t="n">
        <f aca="false">IF(Warfarin!$B$2=1,EXP(LN(or_apx_ich)*D98)*(1-EXP(-r_ich*dt))/(1-(1-EXP(-r_ich*dt))+EXP(LN(or_apx_ich)*D98)*(1-EXP(-r_ich*dt))),(1-EXP(-r_ich*dt)))</f>
        <v>0.0020060281549299</v>
      </c>
      <c r="P98" s="57" t="n">
        <f aca="false">IF(Warfarin!$B$2=1,EXP(LN(or_apx_mb)*D98)*(1-EXP(-r_mb*dt))/(1-(1-EXP(-r_mb*dt))+EXP(LN(or_apx_mb)*D98)*(1-EXP(-r_mb*dt))),(1-EXP(-r_mb*dt)))</f>
        <v>0.00835410477572107</v>
      </c>
      <c r="Q98" s="57" t="n">
        <f aca="false">IF(Warfarin!$B$2=1,EXP(LN(or_apx_mi)*D98)*(1-EXP(-r_mi*dt))/(1-(1-EXP(-r_mi*dt))+EXP(LN(or_apx_mi)*D98)*(1-EXP(-r_mi*dt))),(1-EXP(-r_mi*dt)))</f>
        <v>0.00150338686144691</v>
      </c>
      <c r="R98" s="57" t="n">
        <f aca="false">(1-EXP(-r_tia*dt))</f>
        <v>0.0020060281549299</v>
      </c>
      <c r="S98" s="57" t="n">
        <f aca="false">(1-EXP(-r_minor*dt))</f>
        <v>0.0437937690785545</v>
      </c>
      <c r="T98" s="57" t="n">
        <f aca="false">M98*N98</f>
        <v>6.42322906675233E-005</v>
      </c>
      <c r="U98" s="57" t="n">
        <f aca="false">M98*O98</f>
        <v>1.26399647538379E-005</v>
      </c>
      <c r="V98" s="57" t="n">
        <f aca="false">M98*P98</f>
        <v>5.26391365223254E-005</v>
      </c>
      <c r="W98" s="57" t="n">
        <f aca="false">M98*Q98</f>
        <v>9.47282663674081E-006</v>
      </c>
      <c r="X98" s="57" t="n">
        <f aca="false">M98*R98</f>
        <v>1.26399647538379E-005</v>
      </c>
      <c r="Y98" s="57" t="n">
        <f aca="false">M98*S98</f>
        <v>0.000275944131806061</v>
      </c>
      <c r="Z98" s="57" t="n">
        <f aca="false">T98*f_stroke_fatal</f>
        <v>1.5223052888203E-005</v>
      </c>
      <c r="AA98" s="57" t="n">
        <f aca="false">T98*(1-f_stroke_fatal)*f_stroke_major</f>
        <v>1.63200761805137E-005</v>
      </c>
      <c r="AB98" s="57" t="n">
        <f aca="false">T98*(1-f_stroke_fatal)*(1-f_stroke_major)</f>
        <v>3.26891615988067E-005</v>
      </c>
      <c r="AC98" s="57" t="n">
        <f aca="false">U98*(1-f_bleed_fatal)</f>
        <v>1.15782077145155E-005</v>
      </c>
      <c r="AD98" s="57" t="n">
        <f aca="false">V98*(1-f_bleed_fatal)</f>
        <v>4.82174490544501E-005</v>
      </c>
      <c r="AE98" s="57" t="n">
        <f aca="false">W98*f_mi_fatal</f>
        <v>1.14621202304564E-006</v>
      </c>
      <c r="AF98" s="57" t="n">
        <f aca="false">W98-AE98</f>
        <v>8.32661461369517E-006</v>
      </c>
      <c r="AG98" s="57" t="n">
        <f aca="false">M98-T98-U98-V98-AE98</f>
        <v>0.00617033309886797</v>
      </c>
      <c r="AH98" s="19" t="n">
        <f aca="false">Z98*c_stroke_fatal+AA98*c_stroke_major+AB98*c_stroke_minor+U98*c_ich+V98*c_major_bleed+AE98*c_mi_fatal+AF98*c_mi_nonfatal+X98*c_tia+Y98*c_minor_bleed</f>
        <v>3.23145111981019</v>
      </c>
      <c r="AI98" s="57" t="n">
        <f aca="false">dt*(AF98*dec_mi+AD98*dec_major_bleed+Y98*dec_minor_bleed+X98*dec_tia)</f>
        <v>2.59150555571135E-006</v>
      </c>
      <c r="AJ98" s="57" t="n">
        <f aca="false">G98*L98+Z98+U98-AC98+V98-AD98+AE98</f>
        <v>0.000782646795703014</v>
      </c>
      <c r="AK98" s="57" t="n">
        <f aca="false">1-EXP(LN(1-E98)*hr_death_prior_stroke*dt)</f>
        <v>0.230626843631477</v>
      </c>
      <c r="AL98" s="57" t="n">
        <f aca="false">H98*(1-AK98)</f>
        <v>0.000734705602417137</v>
      </c>
      <c r="AM98" s="57" t="n">
        <f aca="false">(1-EXP(-r_stroke*F98*rr_stroke_prior*rr_asa_stroke*dt))</f>
        <v>0.0358591263243664</v>
      </c>
      <c r="AN98" s="57" t="n">
        <f aca="false">(1-EXP(-r_ich*rr_asa_ich*dt))</f>
        <v>0.00102357767802375</v>
      </c>
      <c r="AO98" s="57" t="n">
        <f aca="false">(1-EXP(-r_mb*rr_asa_mb*dt))</f>
        <v>0.00951809672747972</v>
      </c>
      <c r="AP98" s="57" t="n">
        <f aca="false">(1-EXP(-r_mi*rr_asa_mi*dt))</f>
        <v>0.00213413516393479</v>
      </c>
      <c r="AQ98" s="57" t="n">
        <f aca="false">(1-EXP(-r_tia*rr_asa_tia*dt))</f>
        <v>0.00312764565589152</v>
      </c>
      <c r="AR98" s="57" t="n">
        <f aca="false">(1-EXP(-r_minor*rr_asa_minor*dt))</f>
        <v>0.0278181950466747</v>
      </c>
      <c r="AS98" s="57" t="n">
        <f aca="false">AL98*AM98</f>
        <v>2.63459010082958E-005</v>
      </c>
      <c r="AT98" s="57" t="n">
        <f aca="false">AL98*AN98</f>
        <v>7.5202825455317E-007</v>
      </c>
      <c r="AU98" s="57" t="n">
        <f aca="false">AL98*AO98</f>
        <v>6.99299899002757E-006</v>
      </c>
      <c r="AV98" s="57" t="n">
        <f aca="false">AL98*AP98</f>
        <v>1.56796106125831E-006</v>
      </c>
      <c r="AW98" s="57" t="n">
        <f aca="false">AL98*AQ98</f>
        <v>2.29789878575912E-006</v>
      </c>
      <c r="AX98" s="57" t="n">
        <f aca="false">AL98*AR98</f>
        <v>2.04381837499246E-005</v>
      </c>
      <c r="AY98" s="57" t="n">
        <f aca="false">AS98*f_stroke_fatal_recur</f>
        <v>9.80304630617679E-006</v>
      </c>
      <c r="AZ98" s="57" t="n">
        <f aca="false">AS98*(1-f_stroke_fatal_recur)*f_stroke_major</f>
        <v>5.50877061580564E-006</v>
      </c>
      <c r="BA98" s="57" t="n">
        <f aca="false">AS98*(1-f_stroke_fatal_recur)*(1-f_stroke_major)</f>
        <v>1.10340840863134E-005</v>
      </c>
      <c r="BB98" s="57" t="n">
        <f aca="false">AT98*(1-f_bleed_fatal)</f>
        <v>6.88857881170704E-007</v>
      </c>
      <c r="BC98" s="57" t="n">
        <f aca="false">AU98*(1-f_bleed_fatal)</f>
        <v>6.40558707486525E-006</v>
      </c>
      <c r="BD98" s="57" t="n">
        <f aca="false">AV98*f_mi_fatal</f>
        <v>1.89723288412255E-007</v>
      </c>
      <c r="BE98" s="57" t="n">
        <f aca="false">AV98-BD98</f>
        <v>1.37823777284605E-006</v>
      </c>
      <c r="BF98" s="57" t="n">
        <f aca="false">AL98-AS98-AT98-AU98-BD98</f>
        <v>0.000700424950875848</v>
      </c>
      <c r="BG98" s="19" t="n">
        <f aca="false">AY98*c_stroke_fatal+AZ98*c_stroke_major+BA98*c_stroke_minor+AT98*c_ich+AU98*c_major_bleed+BD98*c_mi_fatal+BE98*c_mi_nonfatal+AW98*c_tia+AX98*c_minor_bleed</f>
        <v>1.00732654074213</v>
      </c>
      <c r="BH98" s="57" t="n">
        <f aca="false">dt*(BE98*dec_mi+BC98*dec_major_bleed+AX98*dec_minor_bleed+AW98*dec_tia)</f>
        <v>3.15993424043892E-007</v>
      </c>
      <c r="BI98" s="57" t="n">
        <f aca="false">H98*AK98+AY98+AT98-BB98+AU98-BC98+BD98</f>
        <v>0.0002308782699866</v>
      </c>
      <c r="BJ98" s="57" t="n">
        <f aca="false">1-EXP(LN(1-E98)*hr_death_prior_stroke*dt)</f>
        <v>0.230626843631477</v>
      </c>
      <c r="BK98" s="57" t="n">
        <f aca="false">I98*(1-BJ98)</f>
        <v>0.000372634526199312</v>
      </c>
      <c r="BL98" s="57" t="n">
        <f aca="false">(1-EXP(-r_stroke*F98*rr_stroke_prior*rr_asa_stroke*dt))</f>
        <v>0.0358591263243664</v>
      </c>
      <c r="BM98" s="57" t="n">
        <f aca="false">(1-EXP(-r_ich*rr_asa_ich*dt))</f>
        <v>0.00102357767802375</v>
      </c>
      <c r="BN98" s="57" t="n">
        <f aca="false">(1-EXP(-r_mb*rr_asa_mb*dt))</f>
        <v>0.00951809672747972</v>
      </c>
      <c r="BO98" s="57" t="n">
        <f aca="false">(1-EXP(-r_mi*rr_asa_mi*dt))</f>
        <v>0.00213413516393479</v>
      </c>
      <c r="BP98" s="57" t="n">
        <f aca="false">(1-EXP(-r_tia*rr_asa_tia*dt))</f>
        <v>0.00312764565589152</v>
      </c>
      <c r="BQ98" s="57" t="n">
        <f aca="false">(1-EXP(-r_minor*rr_asa_minor*dt))</f>
        <v>0.0278181950466747</v>
      </c>
      <c r="BR98" s="57" t="n">
        <f aca="false">BK98*BL98</f>
        <v>1.33623485478015E-005</v>
      </c>
      <c r="BS98" s="57" t="n">
        <f aca="false">BK98*BM98</f>
        <v>3.8142038307857E-007</v>
      </c>
      <c r="BT98" s="57" t="n">
        <f aca="false">BK98*BN98</f>
        <v>3.54677146436363E-006</v>
      </c>
      <c r="BU98" s="57" t="n">
        <f aca="false">BK98*BO98</f>
        <v>7.95252445658132E-007</v>
      </c>
      <c r="BV98" s="57" t="n">
        <f aca="false">BK98*BP98</f>
        <v>1.16546875710247E-006</v>
      </c>
      <c r="BW98" s="57" t="n">
        <f aca="false">BK98*BQ98</f>
        <v>1.03660199309377E-005</v>
      </c>
      <c r="BX98" s="57" t="n">
        <f aca="false">BR98*f_stroke_fatal_recur</f>
        <v>4.97199627115148E-006</v>
      </c>
      <c r="BY98" s="57" t="n">
        <f aca="false">BR98*(1-f_stroke_fatal_recur)*f_stroke_major</f>
        <v>2.79398730812447E-006</v>
      </c>
      <c r="BZ98" s="57" t="n">
        <f aca="false">BR98*(1-f_stroke_fatal_recur)*(1-f_stroke_major)</f>
        <v>5.59636496852559E-006</v>
      </c>
      <c r="CA98" s="57" t="n">
        <f aca="false">BS98*(1-f_bleed_fatal)</f>
        <v>3.4938107089997E-007</v>
      </c>
      <c r="CB98" s="57" t="n">
        <f aca="false">BT98*(1-f_bleed_fatal)</f>
        <v>3.24884266135708E-006</v>
      </c>
      <c r="CC98" s="57" t="n">
        <f aca="false">BU98*f_mi_fatal</f>
        <v>9.62255459246339E-008</v>
      </c>
      <c r="CD98" s="57" t="n">
        <f aca="false">BU98-CC98</f>
        <v>6.99026899733498E-007</v>
      </c>
      <c r="CE98" s="57" t="n">
        <f aca="false">BK98-BR98-BS98-BT98-CC98</f>
        <v>0.000355247760258143</v>
      </c>
      <c r="CF98" s="19" t="n">
        <f aca="false">BX98*c_stroke_fatal+BY98*c_stroke_major+BZ98*c_stroke_minor+BS98*c_ich+BT98*c_major_bleed+CC98*c_mi_fatal+CD98*c_mi_nonfatal+BV98*c_tia+BW98*c_minor_bleed</f>
        <v>0.510904839982854</v>
      </c>
      <c r="CG98" s="57" t="n">
        <f aca="false">dt*(CD98*dec_mi+CB98*dec_major_bleed+BW98*dec_minor_bleed+BV98*dec_tia)</f>
        <v>1.60268357098821E-007</v>
      </c>
      <c r="CH98" s="57" t="n">
        <f aca="false">I98*BJ98+BX98+BS98-CA98+BT98-CB98+CC98</f>
        <v>0.000117098895752434</v>
      </c>
      <c r="CI98" s="57" t="n">
        <f aca="false">1-EXP(LN(1-E98)*dt)</f>
        <v>0.10773396655429</v>
      </c>
      <c r="CJ98" s="57" t="n">
        <f aca="false">J98*(1-CI98)</f>
        <v>0.00540903403383427</v>
      </c>
      <c r="CK98" s="57" t="n">
        <f aca="false">(1-EXP(-r_stroke*F98*rr_asa_stroke*dt))</f>
        <v>0.0164620227524066</v>
      </c>
      <c r="CL98" s="57" t="n">
        <f aca="false">(1-EXP(-r_ich*rr_asa_ich*dt))</f>
        <v>0.00102357767802375</v>
      </c>
      <c r="CM98" s="57" t="n">
        <f aca="false">(1-EXP(-r_mb*rr_asa_mb*dt))</f>
        <v>0.00951809672747972</v>
      </c>
      <c r="CN98" s="57" t="n">
        <f aca="false">(1-EXP(-r_mi*rr_asa_mi*dt))</f>
        <v>0.00213413516393479</v>
      </c>
      <c r="CO98" s="57" t="n">
        <f aca="false">(1-EXP(-r_tia*rr_asa_tia*dt))</f>
        <v>0.00312764565589152</v>
      </c>
      <c r="CP98" s="57" t="n">
        <f aca="false">(1-EXP(-r_minor*rr_asa_minor*dt))</f>
        <v>0.0278181950466747</v>
      </c>
      <c r="CQ98" s="57" t="n">
        <f aca="false">CJ98*CK98</f>
        <v>8.90436413335214E-005</v>
      </c>
      <c r="CR98" s="57" t="n">
        <f aca="false">CJ98*CL98</f>
        <v>5.5365664967035E-006</v>
      </c>
      <c r="CS98" s="57" t="n">
        <f aca="false">CJ98*CM98</f>
        <v>5.14837091362644E-005</v>
      </c>
      <c r="CT98" s="57" t="n">
        <f aca="false">CJ98*CN98</f>
        <v>1.15436097345258E-005</v>
      </c>
      <c r="CU98" s="57" t="n">
        <f aca="false">CJ98*CO98</f>
        <v>1.69175417984911E-005</v>
      </c>
      <c r="CV98" s="57" t="n">
        <f aca="false">CJ98*CP98</f>
        <v>0.000150469563767303</v>
      </c>
      <c r="CW98" s="57" t="n">
        <f aca="false">CQ98*f_stroke_fatal</f>
        <v>2.11033429960446E-005</v>
      </c>
      <c r="CX98" s="57" t="n">
        <f aca="false">CQ98*(1-f_stroke_fatal)*f_stroke_major</f>
        <v>2.26241193463798E-005</v>
      </c>
      <c r="CY98" s="57" t="n">
        <f aca="false">CQ98*(1-f_stroke_fatal)*(1-f_stroke_major)</f>
        <v>4.53161789910971E-005</v>
      </c>
      <c r="CZ98" s="57" t="n">
        <f aca="false">CR98*(1-f_bleed_fatal)</f>
        <v>5.0714949109804E-006</v>
      </c>
      <c r="DA98" s="57" t="n">
        <f aca="false">CS98*(1-f_bleed_fatal)</f>
        <v>4.71590775688182E-005</v>
      </c>
      <c r="DB98" s="57" t="n">
        <f aca="false">CT98*f_mi_fatal</f>
        <v>1.39677677787762E-006</v>
      </c>
      <c r="DC98" s="57" t="n">
        <f aca="false">CT98-DB98</f>
        <v>1.01468329566481E-005</v>
      </c>
      <c r="DD98" s="57" t="n">
        <f aca="false">CJ98-CQ98-CR98-CS98-DB98</f>
        <v>0.0052615733400899</v>
      </c>
      <c r="DE98" s="19" t="n">
        <f aca="false">CW98*c_stroke_fatal+CX98*c_stroke_major+CY98*c_stroke_minor+CR98*c_ich+CS98*c_major_bleed+DB98*c_mi_fatal+DC98*c_mi_nonfatal+CU98*c_tia+CV98*c_minor_bleed</f>
        <v>4.01832267696194</v>
      </c>
      <c r="DF98" s="57" t="n">
        <f aca="false">dt*(DC98*dec_mi+DA98*dec_major_bleed+CV98*dec_minor_bleed+CU98*dec_tia)</f>
        <v>2.32640009753296E-006</v>
      </c>
      <c r="DG98" s="57" t="n">
        <f aca="false">J98*CI98+CW98+CR98-CZ98+CS98-DA98+DB98</f>
        <v>0.000680387295932684</v>
      </c>
      <c r="DH98" s="57" t="n">
        <f aca="false">AG98</f>
        <v>0.00617033309886797</v>
      </c>
      <c r="DI98" s="57" t="n">
        <f aca="false">AB98+AC98+BF98+BA98+BB98+BC98+CY98+CZ98</f>
        <v>0.000813208523133597</v>
      </c>
      <c r="DJ98" s="57" t="n">
        <f aca="false">AA98+AZ98+BY98+CX98+CE98+BZ98+CA98+CB98</f>
        <v>0.00041168930240975</v>
      </c>
      <c r="DK98" s="57" t="n">
        <f aca="false">AD98+DD98+DA98</f>
        <v>0.00535694986671317</v>
      </c>
      <c r="DL98" s="57" t="n">
        <f aca="false">K98+AJ98+BI98+CH98+DG98</f>
        <v>0.987247819208877</v>
      </c>
      <c r="DM98" s="58" t="n">
        <f aca="false">SUM(DH98:DL98)</f>
        <v>1</v>
      </c>
      <c r="DN98" s="19" t="n">
        <f aca="false">dt*(G98*Warfarin!$H$2+(H98+I98+J98)*c_aspirin)</f>
        <v>0.751549065827304</v>
      </c>
      <c r="DO98" s="19" t="n">
        <f aca="false">dt*(H98*c_lt_minor_stroke+I98*c_lt_major_stroke)</f>
        <v>5.74357593336356</v>
      </c>
      <c r="DP98" s="19" t="n">
        <f aca="false">AH98+BG98+CF98+DE98</f>
        <v>8.76800517749711</v>
      </c>
      <c r="DQ98" s="19" t="n">
        <f aca="false">DN98+DO98+DP98</f>
        <v>15.263130176688</v>
      </c>
      <c r="DR98" s="57" t="n">
        <f aca="false">dt*(G98*(u_af-dec_per_year_over_70*MAX(B98-ref_age,0))+H98*(u_minor_stroke-dec_per_year_over_70*MAX(B98-ref_age,0))+I98*(u_major_stroke-dec_per_year_over_70*MAX(B98-ref_age,0))+J98*(u_af-dec_per_year_over_70*MAX(B98-ref_age,0)))-AI98-BH98-CG98-DF98</f>
        <v>0.0028472385818965</v>
      </c>
      <c r="DS98" s="57" t="n">
        <f aca="false">dt*(G98+H98+I98+J98)</f>
        <v>0.0036407980121248</v>
      </c>
      <c r="DT98" s="19" t="n">
        <f aca="false">DQ98*C98</f>
        <v>10.8373883563284</v>
      </c>
      <c r="DU98" s="19" t="n">
        <f aca="false">DN98*C98</f>
        <v>0.533627702897159</v>
      </c>
      <c r="DV98" s="19" t="n">
        <f aca="false">DP98*C98</f>
        <v>6.22560877872652</v>
      </c>
      <c r="DW98" s="19" t="n">
        <f aca="false">DO98*C98</f>
        <v>4.07815187470472</v>
      </c>
      <c r="DX98" s="57" t="n">
        <f aca="false">DR98*C98</f>
        <v>0.00202164496390542</v>
      </c>
      <c r="DY98" s="57" t="n">
        <f aca="false">DS98*C98</f>
        <v>0.00258510158320008</v>
      </c>
      <c r="DZ98" s="57" t="n">
        <f aca="false">T98+AS98+BR98+CQ98</f>
        <v>0.000192984181557142</v>
      </c>
      <c r="EA98" s="57" t="n">
        <f aca="false">U98+AT98+BS98+CR98</f>
        <v>1.93099798881732E-005</v>
      </c>
      <c r="EB98" s="57" t="n">
        <f aca="false">V98+AU98+BT98+CS98</f>
        <v>0.000114662616112981</v>
      </c>
      <c r="EC98" s="57" t="n">
        <f aca="false">G98*dt*C98</f>
        <v>0.00125353225980782</v>
      </c>
    </row>
    <row r="99" customFormat="false" ht="15" hidden="false" customHeight="false" outlineLevel="0" collapsed="false">
      <c r="A99" s="8" t="n">
        <v>93</v>
      </c>
      <c r="B99" s="54" t="n">
        <f aca="false">start_age+A99*dt</f>
        <v>93.25</v>
      </c>
      <c r="C99" s="16" t="n">
        <f aca="false">(1+disc_rate)^-(A99*dt)</f>
        <v>0.707399124049092</v>
      </c>
      <c r="D99" s="55" t="n">
        <f aca="false">IF(A99*dt&gt;=wane_start,(1-wane_decay)^(A99*dt-wane_start),1)</f>
        <v>1</v>
      </c>
      <c r="E99" s="25" t="n">
        <f aca="false">MIN(p_nonvasc_death*MIN(EXP(gomp_int+gomp_slope*INT(B99)),1)/qx_ref,0.999)</f>
        <v>0.366163211059421</v>
      </c>
      <c r="F99" s="55" t="n">
        <f aca="false">rr_stroke_per_decade^((B99-ref_age)/10)</f>
        <v>2.56691907522079</v>
      </c>
      <c r="G99" s="57" t="n">
        <f aca="false">DH98</f>
        <v>0.00617033309886797</v>
      </c>
      <c r="H99" s="57" t="n">
        <f aca="false">DI98</f>
        <v>0.000813208523133597</v>
      </c>
      <c r="I99" s="57" t="n">
        <f aca="false">DJ98</f>
        <v>0.00041168930240975</v>
      </c>
      <c r="J99" s="57" t="n">
        <f aca="false">DK98</f>
        <v>0.00535694986671317</v>
      </c>
      <c r="K99" s="57" t="n">
        <f aca="false">DL98</f>
        <v>0.987247819208877</v>
      </c>
      <c r="L99" s="57" t="n">
        <f aca="false">1-EXP(LN(1-E99)*dt)</f>
        <v>0.10773396655429</v>
      </c>
      <c r="M99" s="57" t="n">
        <f aca="false">G99*(1-L99)</f>
        <v>0.0055055786391657</v>
      </c>
      <c r="N99" s="57" t="n">
        <f aca="false">IF(Warfarin!$B$2=1,EXP(LN(or_apx_stroke)*D99)*(1-EXP(-r_stroke*F99*dt))/(1-(1-EXP(-r_stroke*F99*dt))+EXP(LN(or_apx_stroke)*D99)*(1-EXP(-r_stroke*F99*dt))),(1-EXP(-r_stroke*F99*dt)))</f>
        <v>0.0102973203414051</v>
      </c>
      <c r="O99" s="57" t="n">
        <f aca="false">IF(Warfarin!$B$2=1,EXP(LN(or_apx_ich)*D99)*(1-EXP(-r_ich*dt))/(1-(1-EXP(-r_ich*dt))+EXP(LN(or_apx_ich)*D99)*(1-EXP(-r_ich*dt))),(1-EXP(-r_ich*dt)))</f>
        <v>0.0020060281549299</v>
      </c>
      <c r="P99" s="57" t="n">
        <f aca="false">IF(Warfarin!$B$2=1,EXP(LN(or_apx_mb)*D99)*(1-EXP(-r_mb*dt))/(1-(1-EXP(-r_mb*dt))+EXP(LN(or_apx_mb)*D99)*(1-EXP(-r_mb*dt))),(1-EXP(-r_mb*dt)))</f>
        <v>0.00835410477572107</v>
      </c>
      <c r="Q99" s="57" t="n">
        <f aca="false">IF(Warfarin!$B$2=1,EXP(LN(or_apx_mi)*D99)*(1-EXP(-r_mi*dt))/(1-(1-EXP(-r_mi*dt))+EXP(LN(or_apx_mi)*D99)*(1-EXP(-r_mi*dt))),(1-EXP(-r_mi*dt)))</f>
        <v>0.00150338686144691</v>
      </c>
      <c r="R99" s="57" t="n">
        <f aca="false">(1-EXP(-r_tia*dt))</f>
        <v>0.0020060281549299</v>
      </c>
      <c r="S99" s="57" t="n">
        <f aca="false">(1-EXP(-r_minor*dt))</f>
        <v>0.0437937690785545</v>
      </c>
      <c r="T99" s="57" t="n">
        <f aca="false">M99*N99</f>
        <v>5.66927069122862E-005</v>
      </c>
      <c r="U99" s="57" t="n">
        <f aca="false">M99*O99</f>
        <v>1.1044345759347E-005</v>
      </c>
      <c r="V99" s="57" t="n">
        <f aca="false">M99*P99</f>
        <v>4.59941808025621E-005</v>
      </c>
      <c r="W99" s="57" t="n">
        <f aca="false">M99*Q99</f>
        <v>8.27701459078446E-006</v>
      </c>
      <c r="X99" s="57" t="n">
        <f aca="false">M99*R99</f>
        <v>1.1044345759347E-005</v>
      </c>
      <c r="Y99" s="57" t="n">
        <f aca="false">M99*S99</f>
        <v>0.000241110039567445</v>
      </c>
      <c r="Z99" s="57" t="n">
        <f aca="false">T99*f_stroke_fatal</f>
        <v>1.34361715382118E-005</v>
      </c>
      <c r="AA99" s="57" t="n">
        <f aca="false">T99*(1-f_stroke_fatal)*f_stroke_major</f>
        <v>1.44044262795668E-005</v>
      </c>
      <c r="AB99" s="57" t="n">
        <f aca="false">T99*(1-f_stroke_fatal)*(1-f_stroke_major)</f>
        <v>2.88521090945076E-005</v>
      </c>
      <c r="AC99" s="57" t="n">
        <f aca="false">U99*(1-f_bleed_fatal)</f>
        <v>1.01166207155619E-005</v>
      </c>
      <c r="AD99" s="57" t="n">
        <f aca="false">V99*(1-f_bleed_fatal)</f>
        <v>4.21306696151469E-005</v>
      </c>
      <c r="AE99" s="57" t="n">
        <f aca="false">W99*f_mi_fatal</f>
        <v>1.00151876548492E-006</v>
      </c>
      <c r="AF99" s="57" t="n">
        <f aca="false">W99-AE99</f>
        <v>7.27549582529954E-006</v>
      </c>
      <c r="AG99" s="57" t="n">
        <f aca="false">M99-T99-U99-V99-AE99</f>
        <v>0.00539084588692602</v>
      </c>
      <c r="AH99" s="19" t="n">
        <f aca="false">Z99*c_stroke_fatal+AA99*c_stroke_major+AB99*c_stroke_minor+U99*c_ich+V99*c_major_bleed+AE99*c_mi_fatal+AF99*c_mi_nonfatal+X99*c_tia+Y99*c_minor_bleed</f>
        <v>2.84454305547377</v>
      </c>
      <c r="AI99" s="57" t="n">
        <f aca="false">dt*(AF99*dec_mi+AD99*dec_major_bleed+Y99*dec_minor_bleed+X99*dec_tia)</f>
        <v>2.26436417758637E-006</v>
      </c>
      <c r="AJ99" s="57" t="n">
        <f aca="false">G99*L99+Z99+U99-AC99+V99-AD99+AE99</f>
        <v>0.000683983386237166</v>
      </c>
      <c r="AK99" s="57" t="n">
        <f aca="false">1-EXP(LN(1-E99)*hr_death_prior_stroke*dt)</f>
        <v>0.230626843631477</v>
      </c>
      <c r="AL99" s="57" t="n">
        <f aca="false">H99*(1-AK99)</f>
        <v>0.00062566080822908</v>
      </c>
      <c r="AM99" s="57" t="n">
        <f aca="false">(1-EXP(-r_stroke*F99*rr_stroke_prior*rr_asa_stroke*dt))</f>
        <v>0.0362177686393814</v>
      </c>
      <c r="AN99" s="57" t="n">
        <f aca="false">(1-EXP(-r_ich*rr_asa_ich*dt))</f>
        <v>0.00102357767802375</v>
      </c>
      <c r="AO99" s="57" t="n">
        <f aca="false">(1-EXP(-r_mb*rr_asa_mb*dt))</f>
        <v>0.00951809672747972</v>
      </c>
      <c r="AP99" s="57" t="n">
        <f aca="false">(1-EXP(-r_mi*rr_asa_mi*dt))</f>
        <v>0.00213413516393479</v>
      </c>
      <c r="AQ99" s="57" t="n">
        <f aca="false">(1-EXP(-r_tia*rr_asa_tia*dt))</f>
        <v>0.00312764565589152</v>
      </c>
      <c r="AR99" s="57" t="n">
        <f aca="false">(1-EXP(-r_minor*rr_asa_minor*dt))</f>
        <v>0.0278181950466747</v>
      </c>
      <c r="AS99" s="57" t="n">
        <f aca="false">AL99*AM99</f>
        <v>2.26600383991692E-005</v>
      </c>
      <c r="AT99" s="57" t="n">
        <f aca="false">AL99*AN99</f>
        <v>6.40412437317582E-007</v>
      </c>
      <c r="AU99" s="57" t="n">
        <f aca="false">AL99*AO99</f>
        <v>5.95510009131753E-006</v>
      </c>
      <c r="AV99" s="57" t="n">
        <f aca="false">AL99*AP99</f>
        <v>1.33524473153754E-006</v>
      </c>
      <c r="AW99" s="57" t="n">
        <f aca="false">AL99*AQ99</f>
        <v>1.95684530891926E-006</v>
      </c>
      <c r="AX99" s="57" t="n">
        <f aca="false">AL99*AR99</f>
        <v>1.74047543963767E-005</v>
      </c>
      <c r="AY99" s="57" t="n">
        <f aca="false">AS99*f_stroke_fatal_recur</f>
        <v>8.43157368794688E-006</v>
      </c>
      <c r="AZ99" s="57" t="n">
        <f aca="false">AS99*(1-f_stroke_fatal_recur)*f_stroke_major</f>
        <v>4.73807874883704E-006</v>
      </c>
      <c r="BA99" s="57" t="n">
        <f aca="false">AS99*(1-f_stroke_fatal_recur)*(1-f_stroke_major)</f>
        <v>9.49038596238531E-006</v>
      </c>
      <c r="BB99" s="57" t="n">
        <f aca="false">AT99*(1-f_bleed_fatal)</f>
        <v>5.86617792582906E-007</v>
      </c>
      <c r="BC99" s="57" t="n">
        <f aca="false">AU99*(1-f_bleed_fatal)</f>
        <v>5.45487168364685E-006</v>
      </c>
      <c r="BD99" s="57" t="n">
        <f aca="false">AV99*f_mi_fatal</f>
        <v>1.61564612516043E-007</v>
      </c>
      <c r="BE99" s="57" t="n">
        <f aca="false">AV99-BD99</f>
        <v>1.1736801190215E-006</v>
      </c>
      <c r="BF99" s="57" t="n">
        <f aca="false">AL99-AS99-AT99-AU99-BD99</f>
        <v>0.00059624369268876</v>
      </c>
      <c r="BG99" s="19" t="n">
        <f aca="false">AY99*c_stroke_fatal+AZ99*c_stroke_major+BA99*c_stroke_minor+AT99*c_ich+AU99*c_major_bleed+BD99*c_mi_fatal+BE99*c_mi_nonfatal+AW99*c_tia+AX99*c_minor_bleed</f>
        <v>0.865556216934545</v>
      </c>
      <c r="BH99" s="57" t="n">
        <f aca="false">dt*(BE99*dec_mi+BC99*dec_major_bleed+AX99*dec_minor_bleed+AW99*dec_tia)</f>
        <v>2.69093770936195E-007</v>
      </c>
      <c r="BI99" s="57" t="n">
        <f aca="false">H99*AK99+AY99+AT99-BB99+AU99-BC99+BD99</f>
        <v>0.000196694876257385</v>
      </c>
      <c r="BJ99" s="57" t="n">
        <f aca="false">1-EXP(LN(1-E99)*hr_death_prior_stroke*dt)</f>
        <v>0.230626843631477</v>
      </c>
      <c r="BK99" s="57" t="n">
        <f aca="false">I99*(1-BJ99)</f>
        <v>0.000316742698038144</v>
      </c>
      <c r="BL99" s="57" t="n">
        <f aca="false">(1-EXP(-r_stroke*F99*rr_stroke_prior*rr_asa_stroke*dt))</f>
        <v>0.0362177686393814</v>
      </c>
      <c r="BM99" s="57" t="n">
        <f aca="false">(1-EXP(-r_ich*rr_asa_ich*dt))</f>
        <v>0.00102357767802375</v>
      </c>
      <c r="BN99" s="57" t="n">
        <f aca="false">(1-EXP(-r_mb*rr_asa_mb*dt))</f>
        <v>0.00951809672747972</v>
      </c>
      <c r="BO99" s="57" t="n">
        <f aca="false">(1-EXP(-r_mi*rr_asa_mi*dt))</f>
        <v>0.00213413516393479</v>
      </c>
      <c r="BP99" s="57" t="n">
        <f aca="false">(1-EXP(-r_tia*rr_asa_tia*dt))</f>
        <v>0.00312764565589152</v>
      </c>
      <c r="BQ99" s="57" t="n">
        <f aca="false">(1-EXP(-r_minor*rr_asa_minor*dt))</f>
        <v>0.0278181950466747</v>
      </c>
      <c r="BR99" s="57" t="n">
        <f aca="false">BK99*BL99</f>
        <v>1.1471713755759E-005</v>
      </c>
      <c r="BS99" s="57" t="n">
        <f aca="false">BK99*BM99</f>
        <v>3.2421075538886E-007</v>
      </c>
      <c r="BT99" s="57" t="n">
        <f aca="false">BK99*BN99</f>
        <v>3.01478763764996E-006</v>
      </c>
      <c r="BU99" s="57" t="n">
        <f aca="false">BK99*BO99</f>
        <v>6.75971729802784E-007</v>
      </c>
      <c r="BV99" s="57" t="n">
        <f aca="false">BK99*BP99</f>
        <v>9.90658923554362E-007</v>
      </c>
      <c r="BW99" s="57" t="n">
        <f aca="false">BK99*BQ99</f>
        <v>8.81121015363509E-006</v>
      </c>
      <c r="BX99" s="57" t="n">
        <f aca="false">BR99*f_stroke_fatal_recur</f>
        <v>4.26850997138035E-006</v>
      </c>
      <c r="BY99" s="57" t="n">
        <f aca="false">BR99*(1-f_stroke_fatal_recur)*f_stroke_major</f>
        <v>2.39866686019808E-006</v>
      </c>
      <c r="BZ99" s="57" t="n">
        <f aca="false">BR99*(1-f_stroke_fatal_recur)*(1-f_stroke_major)</f>
        <v>4.80453692418054E-006</v>
      </c>
      <c r="CA99" s="57" t="n">
        <f aca="false">BS99*(1-f_bleed_fatal)</f>
        <v>2.96977051936196E-007</v>
      </c>
      <c r="CB99" s="57" t="n">
        <f aca="false">BT99*(1-f_bleed_fatal)</f>
        <v>2.76154547608736E-006</v>
      </c>
      <c r="CC99" s="57" t="n">
        <f aca="false">BU99*f_mi_fatal</f>
        <v>8.17925793061368E-008</v>
      </c>
      <c r="CD99" s="57" t="n">
        <f aca="false">BU99-CC99</f>
        <v>5.94179150496647E-007</v>
      </c>
      <c r="CE99" s="57" t="n">
        <f aca="false">BK99-BR99-BS99-BT99-CC99</f>
        <v>0.000301850193310041</v>
      </c>
      <c r="CF99" s="19" t="n">
        <f aca="false">BX99*c_stroke_fatal+BY99*c_stroke_major+BZ99*c_stroke_minor+BS99*c_ich+BT99*c_major_bleed+CC99*c_mi_fatal+CD99*c_mi_nonfatal+BV99*c_tia+BW99*c_minor_bleed</f>
        <v>0.438190482526047</v>
      </c>
      <c r="CG99" s="57" t="n">
        <f aca="false">dt*(CD99*dec_mi+CB99*dec_major_bleed+BW99*dec_minor_bleed+BV99*dec_tia)</f>
        <v>1.36229544683868E-007</v>
      </c>
      <c r="CH99" s="57" t="n">
        <f aca="false">I99*BJ99+BX99+BS99-CA99+BT99-CB99+CC99</f>
        <v>9.9577382787307E-005</v>
      </c>
      <c r="CI99" s="57" t="n">
        <f aca="false">1-EXP(LN(1-E99)*dt)</f>
        <v>0.10773396655429</v>
      </c>
      <c r="CJ99" s="57" t="n">
        <f aca="false">J99*(1-CI99)</f>
        <v>0.00477982440893969</v>
      </c>
      <c r="CK99" s="57" t="n">
        <f aca="false">(1-EXP(-r_stroke*F99*rr_asa_stroke*dt))</f>
        <v>0.0166283385691183</v>
      </c>
      <c r="CL99" s="57" t="n">
        <f aca="false">(1-EXP(-r_ich*rr_asa_ich*dt))</f>
        <v>0.00102357767802375</v>
      </c>
      <c r="CM99" s="57" t="n">
        <f aca="false">(1-EXP(-r_mb*rr_asa_mb*dt))</f>
        <v>0.00951809672747972</v>
      </c>
      <c r="CN99" s="57" t="n">
        <f aca="false">(1-EXP(-r_mi*rr_asa_mi*dt))</f>
        <v>0.00213413516393479</v>
      </c>
      <c r="CO99" s="57" t="n">
        <f aca="false">(1-EXP(-r_tia*rr_asa_tia*dt))</f>
        <v>0.00312764565589152</v>
      </c>
      <c r="CP99" s="57" t="n">
        <f aca="false">(1-EXP(-r_minor*rr_asa_minor*dt))</f>
        <v>0.0278181950466747</v>
      </c>
      <c r="CQ99" s="57" t="n">
        <f aca="false">CJ99*CK99</f>
        <v>7.94805385727848E-005</v>
      </c>
      <c r="CR99" s="57" t="n">
        <f aca="false">CJ99*CL99</f>
        <v>4.89252156986371E-006</v>
      </c>
      <c r="CS99" s="57" t="n">
        <f aca="false">CJ99*CM99</f>
        <v>4.54948310646565E-005</v>
      </c>
      <c r="CT99" s="57" t="n">
        <f aca="false">CJ99*CN99</f>
        <v>1.0200791348552E-005</v>
      </c>
      <c r="CU99" s="57" t="n">
        <f aca="false">CJ99*CO99</f>
        <v>1.49495970485445E-005</v>
      </c>
      <c r="CV99" s="57" t="n">
        <f aca="false">CJ99*CP99</f>
        <v>0.000132966087696741</v>
      </c>
      <c r="CW99" s="57" t="n">
        <f aca="false">CQ99*f_stroke_fatal</f>
        <v>1.883688764175E-005</v>
      </c>
      <c r="CX99" s="57" t="n">
        <f aca="false">CQ99*(1-f_stroke_fatal)*f_stroke_major</f>
        <v>2.01943357600346E-005</v>
      </c>
      <c r="CY99" s="57" t="n">
        <f aca="false">CQ99*(1-f_stroke_fatal)*(1-f_stroke_major)</f>
        <v>4.04493151710002E-005</v>
      </c>
      <c r="CZ99" s="57" t="n">
        <f aca="false">CR99*(1-f_bleed_fatal)</f>
        <v>4.48154975799516E-006</v>
      </c>
      <c r="DA99" s="57" t="n">
        <f aca="false">CS99*(1-f_bleed_fatal)</f>
        <v>4.16732652552254E-005</v>
      </c>
      <c r="DB99" s="57" t="n">
        <f aca="false">CT99*f_mi_fatal</f>
        <v>1.23429575317479E-006</v>
      </c>
      <c r="DC99" s="57" t="n">
        <f aca="false">CT99-DB99</f>
        <v>8.96649559537723E-006</v>
      </c>
      <c r="DD99" s="57" t="n">
        <f aca="false">CJ99-CQ99-CR99-CS99-DB99</f>
        <v>0.00464872222197921</v>
      </c>
      <c r="DE99" s="19" t="n">
        <f aca="false">CW99*c_stroke_fatal+CX99*c_stroke_major+CY99*c_stroke_minor+CR99*c_ich+CS99*c_major_bleed+DB99*c_mi_fatal+DC99*c_mi_nonfatal+CU99*c_tia+CV99*c_minor_bleed</f>
        <v>3.58026041587786</v>
      </c>
      <c r="DF99" s="57" t="n">
        <f aca="false">dt*(DC99*dec_mi+DA99*dec_major_bleed+CV99*dec_minor_bleed+CU99*dec_tia)</f>
        <v>2.05577999724015E-006</v>
      </c>
      <c r="DG99" s="57" t="n">
        <f aca="false">J99*CI99+CW99+CR99-CZ99+CS99-DA99+DB99</f>
        <v>0.000601429178789709</v>
      </c>
      <c r="DH99" s="57" t="n">
        <f aca="false">AG99</f>
        <v>0.00539084588692602</v>
      </c>
      <c r="DI99" s="57" t="n">
        <f aca="false">AB99+AC99+BF99+BA99+BB99+BC99+CY99+CZ99</f>
        <v>0.00069567516286644</v>
      </c>
      <c r="DJ99" s="57" t="n">
        <f aca="false">AA99+AZ99+BY99+CX99+CE99+BZ99+CA99+CB99</f>
        <v>0.000351448760410881</v>
      </c>
      <c r="DK99" s="57" t="n">
        <f aca="false">AD99+DD99+DA99</f>
        <v>0.00473252615684958</v>
      </c>
      <c r="DL99" s="57" t="n">
        <f aca="false">K99+AJ99+BI99+CH99+DG99</f>
        <v>0.988829504032948</v>
      </c>
      <c r="DM99" s="58" t="n">
        <f aca="false">SUM(DH99:DL99)</f>
        <v>1</v>
      </c>
      <c r="DN99" s="19" t="n">
        <f aca="false">dt*(G99*Warfarin!$H$2+(H99+I99+J99)*c_aspirin)</f>
        <v>0.656943803939462</v>
      </c>
      <c r="DO99" s="19" t="n">
        <f aca="false">dt*(H99*c_lt_minor_stroke+I99*c_lt_major_stroke)</f>
        <v>4.88614753919271</v>
      </c>
      <c r="DP99" s="19" t="n">
        <f aca="false">AH99+BG99+CF99+DE99</f>
        <v>7.72855017081223</v>
      </c>
      <c r="DQ99" s="19" t="n">
        <f aca="false">DN99+DO99+DP99</f>
        <v>13.2716415139444</v>
      </c>
      <c r="DR99" s="57" t="n">
        <f aca="false">dt*(G99*(u_af-dec_per_year_over_70*MAX(B99-ref_age,0))+H99*(u_minor_stroke-dec_per_year_over_70*MAX(B99-ref_age,0))+I99*(u_major_stroke-dec_per_year_over_70*MAX(B99-ref_age,0))+J99*(u_af-dec_per_year_over_70*MAX(B99-ref_age,0)))-AI99-BH99-CG99-DF99</f>
        <v>0.00249476250187661</v>
      </c>
      <c r="DS99" s="57" t="n">
        <f aca="false">dt*(G99+H99+I99+J99)</f>
        <v>0.00318804519778112</v>
      </c>
      <c r="DT99" s="19" t="n">
        <f aca="false">DQ99*C99</f>
        <v>9.38834758165783</v>
      </c>
      <c r="DU99" s="19" t="n">
        <f aca="false">DN99*C99</f>
        <v>0.464721471456253</v>
      </c>
      <c r="DV99" s="19" t="n">
        <f aca="false">DP99*C99</f>
        <v>5.46716962100203</v>
      </c>
      <c r="DW99" s="19" t="n">
        <f aca="false">DO99*C99</f>
        <v>3.45645648919955</v>
      </c>
      <c r="DX99" s="57" t="n">
        <f aca="false">DR99*C99</f>
        <v>0.00176479280853804</v>
      </c>
      <c r="DY99" s="57" t="n">
        <f aca="false">DS99*C99</f>
        <v>0.00225522038033928</v>
      </c>
      <c r="DZ99" s="57" t="n">
        <f aca="false">T99+AS99+BR99+CQ99</f>
        <v>0.000170304997639999</v>
      </c>
      <c r="EA99" s="57" t="n">
        <f aca="false">U99+AT99+BS99+CR99</f>
        <v>1.69014905219172E-005</v>
      </c>
      <c r="EB99" s="57" t="n">
        <f aca="false">V99+AU99+BT99+CS99</f>
        <v>0.000100458899596186</v>
      </c>
      <c r="EC99" s="57" t="n">
        <f aca="false">G99*dt*C99</f>
        <v>0.00109122205730758</v>
      </c>
    </row>
    <row r="100" customFormat="false" ht="15" hidden="false" customHeight="false" outlineLevel="0" collapsed="false">
      <c r="A100" s="8" t="n">
        <v>94</v>
      </c>
      <c r="B100" s="54" t="n">
        <f aca="false">start_age+A100*dt</f>
        <v>93.5</v>
      </c>
      <c r="C100" s="16" t="n">
        <f aca="false">(1+disc_rate)^-(A100*dt)</f>
        <v>0.704770970419412</v>
      </c>
      <c r="D100" s="55" t="n">
        <f aca="false">IF(A100*dt&gt;=wane_start,(1-wane_decay)^(A100*dt-wane_start),1)</f>
        <v>1</v>
      </c>
      <c r="E100" s="25" t="n">
        <f aca="false">MIN(p_nonvasc_death*MIN(EXP(gomp_int+gomp_slope*INT(B100)),1)/qx_ref,0.999)</f>
        <v>0.366163211059421</v>
      </c>
      <c r="F100" s="55" t="n">
        <f aca="false">rr_stroke_per_decade^((B100-ref_age)/10)</f>
        <v>2.59307130199174</v>
      </c>
      <c r="G100" s="57" t="n">
        <f aca="false">DH99</f>
        <v>0.00539084588692602</v>
      </c>
      <c r="H100" s="57" t="n">
        <f aca="false">DI99</f>
        <v>0.00069567516286644</v>
      </c>
      <c r="I100" s="57" t="n">
        <f aca="false">DJ99</f>
        <v>0.000351448760410881</v>
      </c>
      <c r="J100" s="57" t="n">
        <f aca="false">DK99</f>
        <v>0.00473252615684958</v>
      </c>
      <c r="K100" s="57" t="n">
        <f aca="false">DL99</f>
        <v>0.988829504032948</v>
      </c>
      <c r="L100" s="57" t="n">
        <f aca="false">1-EXP(LN(1-E100)*dt)</f>
        <v>0.10773396655429</v>
      </c>
      <c r="M100" s="57" t="n">
        <f aca="false">G100*(1-L100)</f>
        <v>0.0048100686764446</v>
      </c>
      <c r="N100" s="57" t="n">
        <f aca="false">IF(Warfarin!$B$2=1,EXP(LN(or_apx_stroke)*D100)*(1-EXP(-r_stroke*F100*dt))/(1-(1-EXP(-r_stroke*F100*dt))+EXP(LN(or_apx_stroke)*D100)*(1-EXP(-r_stroke*F100*dt))),(1-EXP(-r_stroke*F100*dt)))</f>
        <v>0.010401683749977</v>
      </c>
      <c r="O100" s="57" t="n">
        <f aca="false">IF(Warfarin!$B$2=1,EXP(LN(or_apx_ich)*D100)*(1-EXP(-r_ich*dt))/(1-(1-EXP(-r_ich*dt))+EXP(LN(or_apx_ich)*D100)*(1-EXP(-r_ich*dt))),(1-EXP(-r_ich*dt)))</f>
        <v>0.0020060281549299</v>
      </c>
      <c r="P100" s="57" t="n">
        <f aca="false">IF(Warfarin!$B$2=1,EXP(LN(or_apx_mb)*D100)*(1-EXP(-r_mb*dt))/(1-(1-EXP(-r_mb*dt))+EXP(LN(or_apx_mb)*D100)*(1-EXP(-r_mb*dt))),(1-EXP(-r_mb*dt)))</f>
        <v>0.00835410477572107</v>
      </c>
      <c r="Q100" s="57" t="n">
        <f aca="false">IF(Warfarin!$B$2=1,EXP(LN(or_apx_mi)*D100)*(1-EXP(-r_mi*dt))/(1-(1-EXP(-r_mi*dt))+EXP(LN(or_apx_mi)*D100)*(1-EXP(-r_mi*dt))),(1-EXP(-r_mi*dt)))</f>
        <v>0.00150338686144691</v>
      </c>
      <c r="R100" s="57" t="n">
        <f aca="false">(1-EXP(-r_tia*dt))</f>
        <v>0.0020060281549299</v>
      </c>
      <c r="S100" s="57" t="n">
        <f aca="false">(1-EXP(-r_minor*dt))</f>
        <v>0.0437937690785545</v>
      </c>
      <c r="T100" s="57" t="n">
        <f aca="false">M100*N100</f>
        <v>5.0032813188047E-005</v>
      </c>
      <c r="U100" s="57" t="n">
        <f aca="false">M100*O100</f>
        <v>9.64913319209424E-006</v>
      </c>
      <c r="V100" s="57" t="n">
        <f aca="false">M100*P100</f>
        <v>4.01838177014322E-005</v>
      </c>
      <c r="W100" s="57" t="n">
        <f aca="false">M100*Q100</f>
        <v>7.23139405082413E-006</v>
      </c>
      <c r="X100" s="57" t="n">
        <f aca="false">M100*R100</f>
        <v>9.64913319209424E-006</v>
      </c>
      <c r="Y100" s="57" t="n">
        <f aca="false">M100*S100</f>
        <v>0.000210651036868203</v>
      </c>
      <c r="Z100" s="57" t="n">
        <f aca="false">T100*f_stroke_fatal</f>
        <v>1.18577767255671E-005</v>
      </c>
      <c r="AA100" s="57" t="n">
        <f aca="false">T100*(1-f_stroke_fatal)*f_stroke_major</f>
        <v>1.27122871420058E-005</v>
      </c>
      <c r="AB100" s="57" t="n">
        <f aca="false">T100*(1-f_stroke_fatal)*(1-f_stroke_major)</f>
        <v>2.54627493204741E-005</v>
      </c>
      <c r="AC100" s="57" t="n">
        <f aca="false">U100*(1-f_bleed_fatal)</f>
        <v>8.83860600395832E-006</v>
      </c>
      <c r="AD100" s="57" t="n">
        <f aca="false">V100*(1-f_bleed_fatal)</f>
        <v>3.68083770145119E-005</v>
      </c>
      <c r="AE100" s="57" t="n">
        <f aca="false">W100*f_mi_fatal</f>
        <v>8.7499868014972E-007</v>
      </c>
      <c r="AF100" s="57" t="n">
        <f aca="false">W100-AE100</f>
        <v>6.35639537067441E-006</v>
      </c>
      <c r="AG100" s="57" t="n">
        <f aca="false">M100-T100-U100-V100-AE100</f>
        <v>0.00470932791368288</v>
      </c>
      <c r="AH100" s="19" t="n">
        <f aca="false">Z100*c_stroke_fatal+AA100*c_stroke_major+AB100*c_stroke_minor+U100*c_ich+V100*c_major_bleed+AE100*c_mi_fatal+AF100*c_mi_nonfatal+X100*c_tia+Y100*c_minor_bleed</f>
        <v>2.50374451970796</v>
      </c>
      <c r="AI100" s="57" t="n">
        <f aca="false">dt*(AF100*dec_mi+AD100*dec_major_bleed+Y100*dec_minor_bleed+X100*dec_tia)</f>
        <v>1.97831107618543E-006</v>
      </c>
      <c r="AJ100" s="57" t="n">
        <f aca="false">G100*L100+Z100+U100-AC100+V100-AD100+AE100</f>
        <v>0.000597695953762191</v>
      </c>
      <c r="AK100" s="57" t="n">
        <f aca="false">1-EXP(LN(1-E100)*hr_death_prior_stroke*dt)</f>
        <v>0.230626843631477</v>
      </c>
      <c r="AL100" s="57" t="n">
        <f aca="false">H100*(1-AK100)</f>
        <v>0.000535233795861739</v>
      </c>
      <c r="AM100" s="57" t="n">
        <f aca="false">(1-EXP(-r_stroke*F100*rr_stroke_prior*rr_asa_stroke*dt))</f>
        <v>0.036579929412161</v>
      </c>
      <c r="AN100" s="57" t="n">
        <f aca="false">(1-EXP(-r_ich*rr_asa_ich*dt))</f>
        <v>0.00102357767802375</v>
      </c>
      <c r="AO100" s="57" t="n">
        <f aca="false">(1-EXP(-r_mb*rr_asa_mb*dt))</f>
        <v>0.00951809672747972</v>
      </c>
      <c r="AP100" s="57" t="n">
        <f aca="false">(1-EXP(-r_mi*rr_asa_mi*dt))</f>
        <v>0.00213413516393479</v>
      </c>
      <c r="AQ100" s="57" t="n">
        <f aca="false">(1-EXP(-r_tia*rr_asa_tia*dt))</f>
        <v>0.00312764565589152</v>
      </c>
      <c r="AR100" s="57" t="n">
        <f aca="false">(1-EXP(-r_minor*rr_asa_minor*dt))</f>
        <v>0.0278181950466747</v>
      </c>
      <c r="AS100" s="57" t="n">
        <f aca="false">AL100*AM100</f>
        <v>1.95788144716254E-005</v>
      </c>
      <c r="AT100" s="57" t="n">
        <f aca="false">AL100*AN100</f>
        <v>5.47853365967995E-007</v>
      </c>
      <c r="AU100" s="57" t="n">
        <f aca="false">AL100*AO100</f>
        <v>5.09440704082817E-006</v>
      </c>
      <c r="AV100" s="57" t="n">
        <f aca="false">AL100*AP100</f>
        <v>1.14226126467483E-006</v>
      </c>
      <c r="AW100" s="57" t="n">
        <f aca="false">AL100*AQ100</f>
        <v>1.6740216565133E-006</v>
      </c>
      <c r="AX100" s="57" t="n">
        <f aca="false">AL100*AR100</f>
        <v>1.48892381288539E-005</v>
      </c>
      <c r="AY100" s="57" t="n">
        <f aca="false">AS100*f_stroke_fatal_recur</f>
        <v>7.28508107674711E-006</v>
      </c>
      <c r="AZ100" s="57" t="n">
        <f aca="false">AS100*(1-f_stroke_fatal_recur)*f_stroke_major</f>
        <v>4.09381322049448E-006</v>
      </c>
      <c r="BA100" s="57" t="n">
        <f aca="false">AS100*(1-f_stroke_fatal_recur)*(1-f_stroke_major)</f>
        <v>8.19992017438384E-006</v>
      </c>
      <c r="BB100" s="57" t="n">
        <f aca="false">AT100*(1-f_bleed_fatal)</f>
        <v>5.01833683226683E-007</v>
      </c>
      <c r="BC100" s="57" t="n">
        <f aca="false">AU100*(1-f_bleed_fatal)</f>
        <v>4.6664768493986E-006</v>
      </c>
      <c r="BD100" s="57" t="n">
        <f aca="false">AV100*f_mi_fatal</f>
        <v>1.38213613025655E-007</v>
      </c>
      <c r="BE100" s="57" t="n">
        <f aca="false">AV100-BD100</f>
        <v>1.00404765164918E-006</v>
      </c>
      <c r="BF100" s="57" t="n">
        <f aca="false">AL100-AS100-AT100-AU100-BD100</f>
        <v>0.000509874507370292</v>
      </c>
      <c r="BG100" s="19" t="n">
        <f aca="false">AY100*c_stroke_fatal+AZ100*c_stroke_major+BA100*c_stroke_minor+AT100*c_ich+AU100*c_major_bleed+BD100*c_mi_fatal+BE100*c_mi_nonfatal+AW100*c_tia+AX100*c_minor_bleed</f>
        <v>0.747140544687341</v>
      </c>
      <c r="BH100" s="57" t="n">
        <f aca="false">dt*(BE100*dec_mi+BC100*dec_major_bleed+AX100*dec_minor_bleed+AW100*dec_tia)</f>
        <v>2.30201538224197E-007</v>
      </c>
      <c r="BI100" s="57" t="n">
        <f aca="false">H100*AK100+AY100+AT100-BB100+AU100-BC100+BD100</f>
        <v>0.000168338611568645</v>
      </c>
      <c r="BJ100" s="57" t="n">
        <f aca="false">1-EXP(LN(1-E100)*hr_death_prior_stroke*dt)</f>
        <v>0.230626843631477</v>
      </c>
      <c r="BK100" s="57" t="n">
        <f aca="false">I100*(1-BJ100)</f>
        <v>0.000270395242099124</v>
      </c>
      <c r="BL100" s="57" t="n">
        <f aca="false">(1-EXP(-r_stroke*F100*rr_stroke_prior*rr_asa_stroke*dt))</f>
        <v>0.036579929412161</v>
      </c>
      <c r="BM100" s="57" t="n">
        <f aca="false">(1-EXP(-r_ich*rr_asa_ich*dt))</f>
        <v>0.00102357767802375</v>
      </c>
      <c r="BN100" s="57" t="n">
        <f aca="false">(1-EXP(-r_mb*rr_asa_mb*dt))</f>
        <v>0.00951809672747972</v>
      </c>
      <c r="BO100" s="57" t="n">
        <f aca="false">(1-EXP(-r_mi*rr_asa_mi*dt))</f>
        <v>0.00213413516393479</v>
      </c>
      <c r="BP100" s="57" t="n">
        <f aca="false">(1-EXP(-r_tia*rr_asa_tia*dt))</f>
        <v>0.00312764565589152</v>
      </c>
      <c r="BQ100" s="57" t="n">
        <f aca="false">(1-EXP(-r_minor*rr_asa_minor*dt))</f>
        <v>0.0278181950466747</v>
      </c>
      <c r="BR100" s="57" t="n">
        <f aca="false">BK100*BL100</f>
        <v>9.89103886937017E-006</v>
      </c>
      <c r="BS100" s="57" t="n">
        <f aca="false">BK100*BM100</f>
        <v>2.7677053405649E-007</v>
      </c>
      <c r="BT100" s="57" t="n">
        <f aca="false">BK100*BN100</f>
        <v>2.57364806894976E-006</v>
      </c>
      <c r="BU100" s="57" t="n">
        <f aca="false">BK100*BO100</f>
        <v>5.77059994324403E-007</v>
      </c>
      <c r="BV100" s="57" t="n">
        <f aca="false">BK100*BP100</f>
        <v>8.45700504325062E-007</v>
      </c>
      <c r="BW100" s="57" t="n">
        <f aca="false">BK100*BQ100</f>
        <v>7.52190758440627E-006</v>
      </c>
      <c r="BX100" s="57" t="n">
        <f aca="false">BR100*f_stroke_fatal_recur</f>
        <v>3.68035665290394E-006</v>
      </c>
      <c r="BY100" s="57" t="n">
        <f aca="false">BR100*(1-f_stroke_fatal_recur)*f_stroke_major</f>
        <v>2.06815717808325E-006</v>
      </c>
      <c r="BZ100" s="57" t="n">
        <f aca="false">BR100*(1-f_stroke_fatal_recur)*(1-f_stroke_major)</f>
        <v>4.14252503838297E-006</v>
      </c>
      <c r="CA100" s="57" t="n">
        <f aca="false">BS100*(1-f_bleed_fatal)</f>
        <v>2.53521809195745E-007</v>
      </c>
      <c r="CB100" s="57" t="n">
        <f aca="false">BT100*(1-f_bleed_fatal)</f>
        <v>2.35746163115798E-006</v>
      </c>
      <c r="CC100" s="57" t="n">
        <f aca="false">BU100*f_mi_fatal</f>
        <v>6.98242593132527E-008</v>
      </c>
      <c r="CD100" s="57" t="n">
        <f aca="false">BU100-CC100</f>
        <v>5.0723573501115E-007</v>
      </c>
      <c r="CE100" s="57" t="n">
        <f aca="false">BK100-BR100-BS100-BT100-CC100</f>
        <v>0.000257583960367435</v>
      </c>
      <c r="CF100" s="19" t="n">
        <f aca="false">BX100*c_stroke_fatal+BY100*c_stroke_major+BZ100*c_stroke_minor+BS100*c_ich+BT100*c_major_bleed+CC100*c_mi_fatal+CD100*c_mi_nonfatal+BV100*c_tia+BW100*c_minor_bleed</f>
        <v>0.377448602881182</v>
      </c>
      <c r="CG100" s="57" t="n">
        <f aca="false">dt*(CD100*dec_mi+CB100*dec_major_bleed+BW100*dec_minor_bleed+BV100*dec_tia)</f>
        <v>1.16295721871423E-007</v>
      </c>
      <c r="CH100" s="57" t="n">
        <f aca="false">I100*BJ100+BX100+BS100-CA100+BT100-CB100+CC100</f>
        <v>8.50431343866265E-005</v>
      </c>
      <c r="CI100" s="57" t="n">
        <f aca="false">1-EXP(LN(1-E100)*dt)</f>
        <v>0.10773396655429</v>
      </c>
      <c r="CJ100" s="57" t="n">
        <f aca="false">J100*(1-CI100)</f>
        <v>0.00422267234215025</v>
      </c>
      <c r="CK100" s="57" t="n">
        <f aca="false">(1-EXP(-r_stroke*F100*rr_asa_stroke*dt))</f>
        <v>0.0167963202856978</v>
      </c>
      <c r="CL100" s="57" t="n">
        <f aca="false">(1-EXP(-r_ich*rr_asa_ich*dt))</f>
        <v>0.00102357767802375</v>
      </c>
      <c r="CM100" s="57" t="n">
        <f aca="false">(1-EXP(-r_mb*rr_asa_mb*dt))</f>
        <v>0.00951809672747972</v>
      </c>
      <c r="CN100" s="57" t="n">
        <f aca="false">(1-EXP(-r_mi*rr_asa_mi*dt))</f>
        <v>0.00213413516393479</v>
      </c>
      <c r="CO100" s="57" t="n">
        <f aca="false">(1-EXP(-r_tia*rr_asa_tia*dt))</f>
        <v>0.00312764565589152</v>
      </c>
      <c r="CP100" s="57" t="n">
        <f aca="false">(1-EXP(-r_minor*rr_asa_minor*dt))</f>
        <v>0.0278181950466747</v>
      </c>
      <c r="CQ100" s="57" t="n">
        <f aca="false">CJ100*CK100</f>
        <v>7.09253571203131E-005</v>
      </c>
      <c r="CR100" s="57" t="n">
        <f aca="false">CJ100*CL100</f>
        <v>4.32223315103324E-006</v>
      </c>
      <c r="CS100" s="57" t="n">
        <f aca="false">CJ100*CM100</f>
        <v>4.01918038010394E-005</v>
      </c>
      <c r="CT100" s="57" t="n">
        <f aca="false">CJ100*CN100</f>
        <v>9.01175353115773E-006</v>
      </c>
      <c r="CU100" s="57" t="n">
        <f aca="false">CJ100*CO100</f>
        <v>1.32070228071795E-005</v>
      </c>
      <c r="CV100" s="57" t="n">
        <f aca="false">CJ100*CP100</f>
        <v>0.000117467122832134</v>
      </c>
      <c r="CW100" s="57" t="n">
        <f aca="false">CQ100*f_stroke_fatal</f>
        <v>1.68093096375142E-005</v>
      </c>
      <c r="CX100" s="57" t="n">
        <f aca="false">CQ100*(1-f_stroke_fatal)*f_stroke_major</f>
        <v>1.8020643811772E-005</v>
      </c>
      <c r="CY100" s="57" t="n">
        <f aca="false">CQ100*(1-f_stroke_fatal)*(1-f_stroke_major)</f>
        <v>3.60954036710269E-005</v>
      </c>
      <c r="CZ100" s="57" t="n">
        <f aca="false">CR100*(1-f_bleed_fatal)</f>
        <v>3.95916556634645E-006</v>
      </c>
      <c r="DA100" s="57" t="n">
        <f aca="false">CS100*(1-f_bleed_fatal)</f>
        <v>3.68156922817521E-005</v>
      </c>
      <c r="DB100" s="57" t="n">
        <f aca="false">CT100*f_mi_fatal</f>
        <v>1.09042217727008E-006</v>
      </c>
      <c r="DC100" s="57" t="n">
        <f aca="false">CT100-DB100</f>
        <v>7.92133135388764E-006</v>
      </c>
      <c r="DD100" s="57" t="n">
        <f aca="false">CJ100-CQ100-CR100-CS100-DB100</f>
        <v>0.00410614252590059</v>
      </c>
      <c r="DE100" s="19" t="n">
        <f aca="false">CW100*c_stroke_fatal+CX100*c_stroke_major+CY100*c_stroke_minor+CR100*c_ich+CS100*c_major_bleed+DB100*c_mi_fatal+DC100*c_mi_nonfatal+CU100*c_tia+CV100*c_minor_bleed</f>
        <v>3.18914160429629</v>
      </c>
      <c r="DF100" s="57" t="n">
        <f aca="false">dt*(DC100*dec_mi+DA100*dec_major_bleed+CV100*dec_minor_bleed+CU100*dec_tia)</f>
        <v>1.81615151377859E-006</v>
      </c>
      <c r="DG100" s="57" t="n">
        <f aca="false">J100*CI100+CW100+CR100-CZ100+CS100-DA100+DB100</f>
        <v>0.000531492725618093</v>
      </c>
      <c r="DH100" s="57" t="n">
        <f aca="false">AG100</f>
        <v>0.00470932791368288</v>
      </c>
      <c r="DI100" s="57" t="n">
        <f aca="false">AB100+AC100+BF100+BA100+BB100+BC100+CY100+CZ100</f>
        <v>0.000597598662639107</v>
      </c>
      <c r="DJ100" s="57" t="n">
        <f aca="false">AA100+AZ100+BY100+CX100+CE100+BZ100+CA100+CB100</f>
        <v>0.000301232370198527</v>
      </c>
      <c r="DK100" s="57" t="n">
        <f aca="false">AD100+DD100+DA100</f>
        <v>0.00417976659519685</v>
      </c>
      <c r="DL100" s="57" t="n">
        <f aca="false">K100+AJ100+BI100+CH100+DG100</f>
        <v>0.990212074458284</v>
      </c>
      <c r="DM100" s="58" t="n">
        <f aca="false">SUM(DH100:DL100)</f>
        <v>1</v>
      </c>
      <c r="DN100" s="19" t="n">
        <f aca="false">dt*(G100*Warfarin!$H$2+(H100+I100+J100)*c_aspirin)</f>
        <v>0.574238989924016</v>
      </c>
      <c r="DO100" s="19" t="n">
        <f aca="false">dt*(H100*c_lt_minor_stroke+I100*c_lt_major_stroke)</f>
        <v>4.17512651212612</v>
      </c>
      <c r="DP100" s="19" t="n">
        <f aca="false">AH100+BG100+CF100+DE100</f>
        <v>6.81747527157278</v>
      </c>
      <c r="DQ100" s="19" t="n">
        <f aca="false">DN100+DO100+DP100</f>
        <v>11.5668407736229</v>
      </c>
      <c r="DR100" s="57" t="n">
        <f aca="false">dt*(G100*(u_af-dec_per_year_over_70*MAX(B100-ref_age,0))+H100*(u_minor_stroke-dec_per_year_over_70*MAX(B100-ref_age,0))+I100*(u_major_stroke-dec_per_year_over_70*MAX(B100-ref_age,0))+J100*(u_af-dec_per_year_over_70*MAX(B100-ref_age,0)))-AI100-BH100-CG100-DF100</f>
        <v>0.00218647220397625</v>
      </c>
      <c r="DS100" s="57" t="n">
        <f aca="false">dt*(G100+H100+I100+J100)</f>
        <v>0.00279262399176323</v>
      </c>
      <c r="DT100" s="19" t="n">
        <f aca="false">DQ100*C100</f>
        <v>8.15197359671304</v>
      </c>
      <c r="DU100" s="19" t="n">
        <f aca="false">DN100*C100</f>
        <v>0.404706970181412</v>
      </c>
      <c r="DV100" s="19" t="n">
        <f aca="false">DP100*C100</f>
        <v>4.80475866295669</v>
      </c>
      <c r="DW100" s="19" t="n">
        <f aca="false">DO100*C100</f>
        <v>2.94250796357494</v>
      </c>
      <c r="DX100" s="57" t="n">
        <f aca="false">DR100*C100</f>
        <v>0.00154096213699141</v>
      </c>
      <c r="DY100" s="57" t="n">
        <f aca="false">DS100*C100</f>
        <v>0.0019681603206915</v>
      </c>
      <c r="DZ100" s="57" t="n">
        <f aca="false">T100+AS100+BR100+CQ100</f>
        <v>0.000150428023649356</v>
      </c>
      <c r="EA100" s="57" t="n">
        <f aca="false">U100+AT100+BS100+CR100</f>
        <v>1.4795990243152E-005</v>
      </c>
      <c r="EB100" s="57" t="n">
        <f aca="false">V100+AU100+BT100+CS100</f>
        <v>8.80436766122495E-005</v>
      </c>
      <c r="EC100" s="57" t="n">
        <f aca="false">G100*dt*C100</f>
        <v>0.000949827921777585</v>
      </c>
    </row>
    <row r="101" customFormat="false" ht="15" hidden="false" customHeight="false" outlineLevel="0" collapsed="false">
      <c r="A101" s="8" t="n">
        <v>95</v>
      </c>
      <c r="B101" s="54" t="n">
        <f aca="false">start_age+A101*dt</f>
        <v>93.75</v>
      </c>
      <c r="C101" s="16" t="n">
        <f aca="false">(1+disc_rate)^-(A101*dt)</f>
        <v>0.702152580996763</v>
      </c>
      <c r="D101" s="55" t="n">
        <f aca="false">IF(A101*dt&gt;=wane_start,(1-wane_decay)^(A101*dt-wane_start),1)</f>
        <v>1</v>
      </c>
      <c r="E101" s="25" t="n">
        <f aca="false">MIN(p_nonvasc_death*MIN(EXP(gomp_int+gomp_slope*INT(B101)),1)/qx_ref,0.999)</f>
        <v>0.366163211059421</v>
      </c>
      <c r="F101" s="55" t="n">
        <f aca="false">rr_stroke_per_decade^((B101-ref_age)/10)</f>
        <v>2.61948997228702</v>
      </c>
      <c r="G101" s="57" t="n">
        <f aca="false">DH100</f>
        <v>0.00470932791368288</v>
      </c>
      <c r="H101" s="57" t="n">
        <f aca="false">DI100</f>
        <v>0.000597598662639107</v>
      </c>
      <c r="I101" s="57" t="n">
        <f aca="false">DJ100</f>
        <v>0.000301232370198527</v>
      </c>
      <c r="J101" s="57" t="n">
        <f aca="false">DK100</f>
        <v>0.00417976659519685</v>
      </c>
      <c r="K101" s="57" t="n">
        <f aca="false">DL100</f>
        <v>0.990212074458284</v>
      </c>
      <c r="L101" s="57" t="n">
        <f aca="false">1-EXP(LN(1-E101)*dt)</f>
        <v>0.10773396655429</v>
      </c>
      <c r="M101" s="57" t="n">
        <f aca="false">G101*(1-L101)</f>
        <v>0.00420197333773698</v>
      </c>
      <c r="N101" s="57" t="n">
        <f aca="false">IF(Warfarin!$B$2=1,EXP(LN(or_apx_stroke)*D101)*(1-EXP(-r_stroke*F101*dt))/(1-(1-EXP(-r_stroke*F101*dt))+EXP(LN(or_apx_stroke)*D101)*(1-EXP(-r_stroke*F101*dt))),(1-EXP(-r_stroke*F101*dt)))</f>
        <v>0.0105070992576711</v>
      </c>
      <c r="O101" s="57" t="n">
        <f aca="false">IF(Warfarin!$B$2=1,EXP(LN(or_apx_ich)*D101)*(1-EXP(-r_ich*dt))/(1-(1-EXP(-r_ich*dt))+EXP(LN(or_apx_ich)*D101)*(1-EXP(-r_ich*dt))),(1-EXP(-r_ich*dt)))</f>
        <v>0.0020060281549299</v>
      </c>
      <c r="P101" s="57" t="n">
        <f aca="false">IF(Warfarin!$B$2=1,EXP(LN(or_apx_mb)*D101)*(1-EXP(-r_mb*dt))/(1-(1-EXP(-r_mb*dt))+EXP(LN(or_apx_mb)*D101)*(1-EXP(-r_mb*dt))),(1-EXP(-r_mb*dt)))</f>
        <v>0.00835410477572107</v>
      </c>
      <c r="Q101" s="57" t="n">
        <f aca="false">IF(Warfarin!$B$2=1,EXP(LN(or_apx_mi)*D101)*(1-EXP(-r_mi*dt))/(1-(1-EXP(-r_mi*dt))+EXP(LN(or_apx_mi)*D101)*(1-EXP(-r_mi*dt))),(1-EXP(-r_mi*dt)))</f>
        <v>0.00150338686144691</v>
      </c>
      <c r="R101" s="57" t="n">
        <f aca="false">(1-EXP(-r_tia*dt))</f>
        <v>0.0020060281549299</v>
      </c>
      <c r="S101" s="57" t="n">
        <f aca="false">(1-EXP(-r_minor*dt))</f>
        <v>0.0437937690785545</v>
      </c>
      <c r="T101" s="57" t="n">
        <f aca="false">M101*N101</f>
        <v>4.41505509376901E-005</v>
      </c>
      <c r="U101" s="57" t="n">
        <f aca="false">M101*O101</f>
        <v>8.42927682176513E-006</v>
      </c>
      <c r="V101" s="57" t="n">
        <f aca="false">M101*P101</f>
        <v>3.51037255282411E-005</v>
      </c>
      <c r="W101" s="57" t="n">
        <f aca="false">M101*Q101</f>
        <v>6.317191508104E-006</v>
      </c>
      <c r="X101" s="57" t="n">
        <f aca="false">M101*R101</f>
        <v>8.42927682176513E-006</v>
      </c>
      <c r="Y101" s="57" t="n">
        <f aca="false">M101*S101</f>
        <v>0.000184020250027096</v>
      </c>
      <c r="Z101" s="57" t="n">
        <f aca="false">T101*f_stroke_fatal</f>
        <v>1.04636805722326E-005</v>
      </c>
      <c r="AA101" s="57" t="n">
        <f aca="false">T101*(1-f_stroke_fatal)*f_stroke_major</f>
        <v>1.12177278316974E-005</v>
      </c>
      <c r="AB101" s="57" t="n">
        <f aca="false">T101*(1-f_stroke_fatal)*(1-f_stroke_major)</f>
        <v>2.24691425337602E-005</v>
      </c>
      <c r="AC101" s="57" t="n">
        <f aca="false">U101*(1-f_bleed_fatal)</f>
        <v>7.72121756873686E-006</v>
      </c>
      <c r="AD101" s="57" t="n">
        <f aca="false">V101*(1-f_bleed_fatal)</f>
        <v>3.21550125838689E-005</v>
      </c>
      <c r="AE101" s="57" t="n">
        <f aca="false">W101*f_mi_fatal</f>
        <v>7.64380172480583E-007</v>
      </c>
      <c r="AF101" s="57" t="n">
        <f aca="false">W101-AE101</f>
        <v>5.55281133562341E-006</v>
      </c>
      <c r="AG101" s="57" t="n">
        <f aca="false">M101-T101-U101-V101-AE101</f>
        <v>0.0041135254042768</v>
      </c>
      <c r="AH101" s="19" t="n">
        <f aca="false">Z101*c_stroke_fatal+AA101*c_stroke_major+AB101*c_stroke_minor+U101*c_ich+V101*c_major_bleed+AE101*c_mi_fatal+AF101*c_mi_nonfatal+X101*c_tia+Y101*c_minor_bleed</f>
        <v>2.20358384627523</v>
      </c>
      <c r="AI101" s="57" t="n">
        <f aca="false">dt*(AF101*dec_mi+AD101*dec_major_bleed+Y101*dec_minor_bleed+X101*dec_tia)</f>
        <v>1.72821033441573E-006</v>
      </c>
      <c r="AJ101" s="57" t="n">
        <f aca="false">G101*L101+Z101+U101-AC101+V101-AD101+AE101</f>
        <v>0.000522239408888008</v>
      </c>
      <c r="AK101" s="57" t="n">
        <f aca="false">1-EXP(LN(1-E101)*hr_death_prior_stroke*dt)</f>
        <v>0.230626843631477</v>
      </c>
      <c r="AL101" s="57" t="n">
        <f aca="false">H101*(1-AK101)</f>
        <v>0.000459776369316258</v>
      </c>
      <c r="AM101" s="57" t="n">
        <f aca="false">(1-EXP(-r_stroke*F101*rr_stroke_prior*rr_asa_stroke*dt))</f>
        <v>0.0369456417672072</v>
      </c>
      <c r="AN101" s="57" t="n">
        <f aca="false">(1-EXP(-r_ich*rr_asa_ich*dt))</f>
        <v>0.00102357767802375</v>
      </c>
      <c r="AO101" s="57" t="n">
        <f aca="false">(1-EXP(-r_mb*rr_asa_mb*dt))</f>
        <v>0.00951809672747972</v>
      </c>
      <c r="AP101" s="57" t="n">
        <f aca="false">(1-EXP(-r_mi*rr_asa_mi*dt))</f>
        <v>0.00213413516393479</v>
      </c>
      <c r="AQ101" s="57" t="n">
        <f aca="false">(1-EXP(-r_tia*rr_asa_tia*dt))</f>
        <v>0.00312764565589152</v>
      </c>
      <c r="AR101" s="57" t="n">
        <f aca="false">(1-EXP(-r_minor*rr_asa_minor*dt))</f>
        <v>0.0278181950466747</v>
      </c>
      <c r="AS101" s="57" t="n">
        <f aca="false">AL101*AM101</f>
        <v>1.69867330337856E-005</v>
      </c>
      <c r="AT101" s="57" t="n">
        <f aca="false">AL101*AN101</f>
        <v>4.70616828514923E-007</v>
      </c>
      <c r="AU101" s="57" t="n">
        <f aca="false">AL101*AO101</f>
        <v>4.37619595616158E-006</v>
      </c>
      <c r="AV101" s="57" t="n">
        <f aca="false">AL101*AP101</f>
        <v>9.81224917304095E-007</v>
      </c>
      <c r="AW101" s="57" t="n">
        <f aca="false">AL101*AQ101</f>
        <v>1.43801756417357E-006</v>
      </c>
      <c r="AX101" s="57" t="n">
        <f aca="false">AL101*AR101</f>
        <v>1.27901487194916E-005</v>
      </c>
      <c r="AY101" s="57" t="n">
        <f aca="false">AS101*f_stroke_fatal_recur</f>
        <v>6.32059349454128E-006</v>
      </c>
      <c r="AZ101" s="57" t="n">
        <f aca="false">AS101*(1-f_stroke_fatal_recur)*f_stroke_major</f>
        <v>3.55182446656836E-006</v>
      </c>
      <c r="BA101" s="57" t="n">
        <f aca="false">AS101*(1-f_stroke_fatal_recur)*(1-f_stroke_major)</f>
        <v>7.11431507267596E-006</v>
      </c>
      <c r="BB101" s="57" t="n">
        <f aca="false">AT101*(1-f_bleed_fatal)</f>
        <v>4.3108501491967E-007</v>
      </c>
      <c r="BC101" s="57" t="n">
        <f aca="false">AU101*(1-f_bleed_fatal)</f>
        <v>4.00859549584401E-006</v>
      </c>
      <c r="BD101" s="57" t="n">
        <f aca="false">AV101*f_mi_fatal</f>
        <v>1.18728214993795E-007</v>
      </c>
      <c r="BE101" s="57" t="n">
        <f aca="false">AV101-BD101</f>
        <v>8.62496702310299E-007</v>
      </c>
      <c r="BF101" s="57" t="n">
        <f aca="false">AL101-AS101-AT101-AU101-BD101</f>
        <v>0.000437824095282802</v>
      </c>
      <c r="BG101" s="19" t="n">
        <f aca="false">AY101*c_stroke_fatal+AZ101*c_stroke_major+BA101*c_stroke_minor+AT101*c_ich+AU101*c_major_bleed+BD101*c_mi_fatal+BE101*c_mi_nonfatal+AW101*c_tia+AX101*c_minor_bleed</f>
        <v>0.647606018287666</v>
      </c>
      <c r="BH101" s="57" t="n">
        <f aca="false">dt*(BE101*dec_mi+BC101*dec_major_bleed+AX101*dec_minor_bleed+AW101*dec_tia)</f>
        <v>1.97747653967426E-007</v>
      </c>
      <c r="BI101" s="57" t="n">
        <f aca="false">H101*AK101+AY101+AT101-BB101+AU101-BC101+BD101</f>
        <v>0.000144668747306297</v>
      </c>
      <c r="BJ101" s="57" t="n">
        <f aca="false">1-EXP(LN(1-E101)*hr_death_prior_stroke*dt)</f>
        <v>0.230626843631477</v>
      </c>
      <c r="BK101" s="57" t="n">
        <f aca="false">I101*(1-BJ101)</f>
        <v>0.000231760099460012</v>
      </c>
      <c r="BL101" s="57" t="n">
        <f aca="false">(1-EXP(-r_stroke*F101*rr_stroke_prior*rr_asa_stroke*dt))</f>
        <v>0.0369456417672072</v>
      </c>
      <c r="BM101" s="57" t="n">
        <f aca="false">(1-EXP(-r_ich*rr_asa_ich*dt))</f>
        <v>0.00102357767802375</v>
      </c>
      <c r="BN101" s="57" t="n">
        <f aca="false">(1-EXP(-r_mb*rr_asa_mb*dt))</f>
        <v>0.00951809672747972</v>
      </c>
      <c r="BO101" s="57" t="n">
        <f aca="false">(1-EXP(-r_mi*rr_asa_mi*dt))</f>
        <v>0.00213413516393479</v>
      </c>
      <c r="BP101" s="57" t="n">
        <f aca="false">(1-EXP(-r_tia*rr_asa_tia*dt))</f>
        <v>0.00312764565589152</v>
      </c>
      <c r="BQ101" s="57" t="n">
        <f aca="false">(1-EXP(-r_minor*rr_asa_minor*dt))</f>
        <v>0.0278181950466747</v>
      </c>
      <c r="BR101" s="57" t="n">
        <f aca="false">BK101*BL101</f>
        <v>8.56252561058191E-006</v>
      </c>
      <c r="BS101" s="57" t="n">
        <f aca="false">BK101*BM101</f>
        <v>2.37224464463832E-007</v>
      </c>
      <c r="BT101" s="57" t="n">
        <f aca="false">BK101*BN101</f>
        <v>2.20591504423071E-006</v>
      </c>
      <c r="BU101" s="57" t="n">
        <f aca="false">BK101*BO101</f>
        <v>4.94607377854636E-007</v>
      </c>
      <c r="BV101" s="57" t="n">
        <f aca="false">BK101*BP101</f>
        <v>7.24863468285093E-007</v>
      </c>
      <c r="BW101" s="57" t="n">
        <f aca="false">BK101*BQ101</f>
        <v>6.44714765081535E-006</v>
      </c>
      <c r="BX101" s="57" t="n">
        <f aca="false">BR101*f_stroke_fatal_recur</f>
        <v>3.18603015444142E-006</v>
      </c>
      <c r="BY101" s="57" t="n">
        <f aca="false">BR101*(1-f_stroke_fatal_recur)*f_stroke_major</f>
        <v>1.79037298689478E-006</v>
      </c>
      <c r="BZ101" s="57" t="n">
        <f aca="false">BR101*(1-f_stroke_fatal_recur)*(1-f_stroke_major)</f>
        <v>3.5861224692457E-006</v>
      </c>
      <c r="CA101" s="57" t="n">
        <f aca="false">BS101*(1-f_bleed_fatal)</f>
        <v>2.1729760944887E-007</v>
      </c>
      <c r="CB101" s="57" t="n">
        <f aca="false">BT101*(1-f_bleed_fatal)</f>
        <v>2.02061818051534E-006</v>
      </c>
      <c r="CC101" s="57" t="n">
        <f aca="false">BU101*f_mi_fatal</f>
        <v>5.9847492720411E-008</v>
      </c>
      <c r="CD101" s="57" t="n">
        <f aca="false">BU101-CC101</f>
        <v>4.34759885134225E-007</v>
      </c>
      <c r="CE101" s="57" t="n">
        <f aca="false">BK101-BR101-BS101-BT101-CC101</f>
        <v>0.000220694586848015</v>
      </c>
      <c r="CF101" s="19" t="n">
        <f aca="false">BX101*c_stroke_fatal+BY101*c_stroke_major+BZ101*c_stroke_minor+BS101*c_ich+BT101*c_major_bleed+CC101*c_mi_fatal+CD101*c_mi_nonfatal+BV101*c_tia+BW101*c_minor_bleed</f>
        <v>0.326439645935811</v>
      </c>
      <c r="CG101" s="57" t="n">
        <f aca="false">dt*(CD101*dec_mi+CB101*dec_major_bleed+BW101*dec_minor_bleed+BV101*dec_tia)</f>
        <v>9.96789287357883E-008</v>
      </c>
      <c r="CH101" s="57" t="n">
        <f aca="false">I101*BJ101+BX101+BS101-CA101+BT101-CB101+CC101</f>
        <v>7.29233721044071E-005</v>
      </c>
      <c r="CI101" s="57" t="n">
        <f aca="false">1-EXP(LN(1-E101)*dt)</f>
        <v>0.10773396655429</v>
      </c>
      <c r="CJ101" s="57" t="n">
        <f aca="false">J101*(1-CI101)</f>
        <v>0.00372946376062518</v>
      </c>
      <c r="CK101" s="57" t="n">
        <f aca="false">(1-EXP(-r_stroke*F101*rr_asa_stroke*dt))</f>
        <v>0.0169659842947921</v>
      </c>
      <c r="CL101" s="57" t="n">
        <f aca="false">(1-EXP(-r_ich*rr_asa_ich*dt))</f>
        <v>0.00102357767802375</v>
      </c>
      <c r="CM101" s="57" t="n">
        <f aca="false">(1-EXP(-r_mb*rr_asa_mb*dt))</f>
        <v>0.00951809672747972</v>
      </c>
      <c r="CN101" s="57" t="n">
        <f aca="false">(1-EXP(-r_mi*rr_asa_mi*dt))</f>
        <v>0.00213413516393479</v>
      </c>
      <c r="CO101" s="57" t="n">
        <f aca="false">(1-EXP(-r_tia*rr_asa_tia*dt))</f>
        <v>0.00312764565589152</v>
      </c>
      <c r="CP101" s="57" t="n">
        <f aca="false">(1-EXP(-r_minor*rr_asa_minor*dt))</f>
        <v>0.0278181950466747</v>
      </c>
      <c r="CQ101" s="57" t="n">
        <f aca="false">CJ101*CK101</f>
        <v>6.32740235907631E-005</v>
      </c>
      <c r="CR101" s="57" t="n">
        <f aca="false">CJ101*CL101</f>
        <v>3.81739585637443E-006</v>
      </c>
      <c r="CS101" s="57" t="n">
        <f aca="false">CJ101*CM101</f>
        <v>3.54973968152607E-005</v>
      </c>
      <c r="CT101" s="57" t="n">
        <f aca="false">CJ101*CN101</f>
        <v>7.95917975417068E-006</v>
      </c>
      <c r="CU101" s="57" t="n">
        <f aca="false">CJ101*CO101</f>
        <v>1.16644411297242E-005</v>
      </c>
      <c r="CV101" s="57" t="n">
        <f aca="false">CJ101*CP101</f>
        <v>0.000103746950312576</v>
      </c>
      <c r="CW101" s="57" t="n">
        <f aca="false">CQ101*f_stroke_fatal</f>
        <v>1.49959435910109E-005</v>
      </c>
      <c r="CX101" s="57" t="n">
        <f aca="false">CQ101*(1-f_stroke_fatal)*f_stroke_major</f>
        <v>1.60766006399175E-005</v>
      </c>
      <c r="CY101" s="57" t="n">
        <f aca="false">CQ101*(1-f_stroke_fatal)*(1-f_stroke_major)</f>
        <v>3.22014793598348E-005</v>
      </c>
      <c r="CZ101" s="57" t="n">
        <f aca="false">CR101*(1-f_bleed_fatal)</f>
        <v>3.49673460443898E-006</v>
      </c>
      <c r="DA101" s="57" t="n">
        <f aca="false">CS101*(1-f_bleed_fatal)</f>
        <v>3.25156154827788E-005</v>
      </c>
      <c r="DB101" s="57" t="n">
        <f aca="false">CT101*f_mi_fatal</f>
        <v>9.63060750254652E-007</v>
      </c>
      <c r="DC101" s="57" t="n">
        <f aca="false">CT101-DB101</f>
        <v>6.99611900391603E-006</v>
      </c>
      <c r="DD101" s="57" t="n">
        <f aca="false">CJ101-CQ101-CR101-CS101-DB101</f>
        <v>0.00362591188361252</v>
      </c>
      <c r="DE101" s="19" t="n">
        <f aca="false">CW101*c_stroke_fatal+CX101*c_stroke_major+CY101*c_stroke_minor+CR101*c_ich+CS101*c_major_bleed+DB101*c_mi_fatal+DC101*c_mi_nonfatal+CU101*c_tia+CV101*c_minor_bleed</f>
        <v>2.8400283502994</v>
      </c>
      <c r="DF101" s="57" t="n">
        <f aca="false">dt*(DC101*dec_mi+DA101*dec_major_bleed+CV101*dec_minor_bleed+CU101*dec_tia)</f>
        <v>1.60402482258256E-006</v>
      </c>
      <c r="DG101" s="57" t="n">
        <f aca="false">J101*CI101+CW101+CR101-CZ101+CS101-DA101+DB101</f>
        <v>0.000469564281497358</v>
      </c>
      <c r="DH101" s="57" t="n">
        <f aca="false">AG101</f>
        <v>0.0041135254042768</v>
      </c>
      <c r="DI101" s="57" t="n">
        <f aca="false">AB101+AC101+BF101+BA101+BB101+BC101+CY101+CZ101</f>
        <v>0.000515266664933012</v>
      </c>
      <c r="DJ101" s="57" t="n">
        <f aca="false">AA101+AZ101+BY101+CX101+CE101+BZ101+CA101+CB101</f>
        <v>0.000259155151032303</v>
      </c>
      <c r="DK101" s="57" t="n">
        <f aca="false">AD101+DD101+DA101</f>
        <v>0.00369058251167917</v>
      </c>
      <c r="DL101" s="57" t="n">
        <f aca="false">K101+AJ101+BI101+CH101+DG101</f>
        <v>0.99142147026808</v>
      </c>
      <c r="DM101" s="58" t="n">
        <f aca="false">SUM(DH101:DL101)</f>
        <v>1</v>
      </c>
      <c r="DN101" s="19" t="n">
        <f aca="false">dt*(G101*Warfarin!$H$2+(H101+I101+J101)*c_aspirin)</f>
        <v>0.501932004218652</v>
      </c>
      <c r="DO101" s="19" t="n">
        <f aca="false">dt*(H101*c_lt_minor_stroke+I101*c_lt_major_stroke)</f>
        <v>3.58214800136325</v>
      </c>
      <c r="DP101" s="19" t="n">
        <f aca="false">AH101+BG101+CF101+DE101</f>
        <v>6.01765786079811</v>
      </c>
      <c r="DQ101" s="19" t="n">
        <f aca="false">DN101+DO101+DP101</f>
        <v>10.10173786638</v>
      </c>
      <c r="DR101" s="57" t="n">
        <f aca="false">dt*(G101*(u_af-dec_per_year_over_70*MAX(B101-ref_age,0))+H101*(u_minor_stroke-dec_per_year_over_70*MAX(B101-ref_age,0))+I101*(u_major_stroke-dec_per_year_over_70*MAX(B101-ref_age,0))+J101*(u_af-dec_per_year_over_70*MAX(B101-ref_age,0)))-AI101-BH101-CG101-DF101</f>
        <v>0.00191665561284314</v>
      </c>
      <c r="DS101" s="57" t="n">
        <f aca="false">dt*(G101+H101+I101+J101)</f>
        <v>0.00244698138542934</v>
      </c>
      <c r="DT101" s="19" t="n">
        <f aca="false">DQ101*C101</f>
        <v>7.09296131543146</v>
      </c>
      <c r="DU101" s="19" t="n">
        <f aca="false">DN101*C101</f>
        <v>0.352432852247004</v>
      </c>
      <c r="DV101" s="19" t="n">
        <f aca="false">DP101*C101</f>
        <v>4.22531399851485</v>
      </c>
      <c r="DW101" s="19" t="n">
        <f aca="false">DO101*C101</f>
        <v>2.5152144646696</v>
      </c>
      <c r="DX101" s="57" t="n">
        <f aca="false">DR101*C101</f>
        <v>0.00134578468543974</v>
      </c>
      <c r="DY101" s="57" t="n">
        <f aca="false">DS101*C101</f>
        <v>0.00171815429543025</v>
      </c>
      <c r="DZ101" s="57" t="n">
        <f aca="false">T101+AS101+BR101+CQ101</f>
        <v>0.000132973833172821</v>
      </c>
      <c r="EA101" s="57" t="n">
        <f aca="false">U101+AT101+BS101+CR101</f>
        <v>1.29545139711183E-005</v>
      </c>
      <c r="EB101" s="57" t="n">
        <f aca="false">V101+AU101+BT101+CS101</f>
        <v>7.71832333438941E-005</v>
      </c>
      <c r="EC101" s="57" t="n">
        <f aca="false">G101*dt*C101</f>
        <v>0.000826666687338133</v>
      </c>
    </row>
    <row r="102" customFormat="false" ht="15" hidden="false" customHeight="false" outlineLevel="0" collapsed="false">
      <c r="A102" s="8" t="n">
        <v>96</v>
      </c>
      <c r="B102" s="54" t="n">
        <f aca="false">start_age+A102*dt</f>
        <v>94</v>
      </c>
      <c r="C102" s="16" t="n">
        <f aca="false">(1+disc_rate)^-(A102*dt)</f>
        <v>0.699543919504827</v>
      </c>
      <c r="D102" s="55" t="n">
        <f aca="false">IF(A102*dt&gt;=wane_start,(1-wane_decay)^(A102*dt-wane_start),1)</f>
        <v>1</v>
      </c>
      <c r="E102" s="25" t="n">
        <f aca="false">MIN(p_nonvasc_death*MIN(EXP(gomp_int+gomp_slope*INT(B102)),1)/qx_ref,0.999)</f>
        <v>0.406552354428485</v>
      </c>
      <c r="F102" s="55" t="n">
        <f aca="false">rr_stroke_per_decade^((B102-ref_age)/10)</f>
        <v>2.64617780068052</v>
      </c>
      <c r="G102" s="57" t="n">
        <f aca="false">DH101</f>
        <v>0.0041135254042768</v>
      </c>
      <c r="H102" s="57" t="n">
        <f aca="false">DI101</f>
        <v>0.000515266664933012</v>
      </c>
      <c r="I102" s="57" t="n">
        <f aca="false">DJ101</f>
        <v>0.000259155151032303</v>
      </c>
      <c r="J102" s="57" t="n">
        <f aca="false">DK101</f>
        <v>0.00369058251167917</v>
      </c>
      <c r="K102" s="57" t="n">
        <f aca="false">DL101</f>
        <v>0.99142147026808</v>
      </c>
      <c r="L102" s="57" t="n">
        <f aca="false">1-EXP(LN(1-E102)*dt)</f>
        <v>0.122301001522938</v>
      </c>
      <c r="M102" s="57" t="n">
        <f aca="false">G102*(1-L102)</f>
        <v>0.00361043712754371</v>
      </c>
      <c r="N102" s="57" t="n">
        <f aca="false">IF(Warfarin!$B$2=1,EXP(LN(or_apx_stroke)*D102)*(1-EXP(-r_stroke*F102*dt))/(1-(1-EXP(-r_stroke*F102*dt))+EXP(LN(or_apx_stroke)*D102)*(1-EXP(-r_stroke*F102*dt))),(1-EXP(-r_stroke*F102*dt)))</f>
        <v>0.0106135773558337</v>
      </c>
      <c r="O102" s="57" t="n">
        <f aca="false">IF(Warfarin!$B$2=1,EXP(LN(or_apx_ich)*D102)*(1-EXP(-r_ich*dt))/(1-(1-EXP(-r_ich*dt))+EXP(LN(or_apx_ich)*D102)*(1-EXP(-r_ich*dt))),(1-EXP(-r_ich*dt)))</f>
        <v>0.0020060281549299</v>
      </c>
      <c r="P102" s="57" t="n">
        <f aca="false">IF(Warfarin!$B$2=1,EXP(LN(or_apx_mb)*D102)*(1-EXP(-r_mb*dt))/(1-(1-EXP(-r_mb*dt))+EXP(LN(or_apx_mb)*D102)*(1-EXP(-r_mb*dt))),(1-EXP(-r_mb*dt)))</f>
        <v>0.00835410477572107</v>
      </c>
      <c r="Q102" s="57" t="n">
        <f aca="false">IF(Warfarin!$B$2=1,EXP(LN(or_apx_mi)*D102)*(1-EXP(-r_mi*dt))/(1-(1-EXP(-r_mi*dt))+EXP(LN(or_apx_mi)*D102)*(1-EXP(-r_mi*dt))),(1-EXP(-r_mi*dt)))</f>
        <v>0.00150338686144691</v>
      </c>
      <c r="R102" s="57" t="n">
        <f aca="false">(1-EXP(-r_tia*dt))</f>
        <v>0.0020060281549299</v>
      </c>
      <c r="S102" s="57" t="n">
        <f aca="false">(1-EXP(-r_minor*dt))</f>
        <v>0.0437937690785545</v>
      </c>
      <c r="T102" s="57" t="n">
        <f aca="false">M102*N102</f>
        <v>3.83196537415591E-005</v>
      </c>
      <c r="U102" s="57" t="n">
        <f aca="false">M102*O102</f>
        <v>7.24263852945689E-006</v>
      </c>
      <c r="V102" s="57" t="n">
        <f aca="false">M102*P102</f>
        <v>3.01619700496535E-005</v>
      </c>
      <c r="W102" s="57" t="n">
        <f aca="false">M102*Q102</f>
        <v>5.42788374162933E-006</v>
      </c>
      <c r="X102" s="57" t="n">
        <f aca="false">M102*R102</f>
        <v>7.24263852945689E-006</v>
      </c>
      <c r="Y102" s="57" t="n">
        <f aca="false">M102*S102</f>
        <v>0.000158114649836289</v>
      </c>
      <c r="Z102" s="57" t="n">
        <f aca="false">T102*f_stroke_fatal</f>
        <v>9.0817579367495E-006</v>
      </c>
      <c r="AA102" s="57" t="n">
        <f aca="false">T102*(1-f_stroke_fatal)*f_stroke_major</f>
        <v>9.73621930300159E-006</v>
      </c>
      <c r="AB102" s="57" t="n">
        <f aca="false">T102*(1-f_stroke_fatal)*(1-f_stroke_major)</f>
        <v>1.9501676501808E-005</v>
      </c>
      <c r="AC102" s="57" t="n">
        <f aca="false">U102*(1-f_bleed_fatal)</f>
        <v>6.63425689298251E-006</v>
      </c>
      <c r="AD102" s="57" t="n">
        <f aca="false">V102*(1-f_bleed_fatal)</f>
        <v>2.76283645654826E-005</v>
      </c>
      <c r="AE102" s="57" t="n">
        <f aca="false">W102*f_mi_fatal</f>
        <v>6.56773932737148E-007</v>
      </c>
      <c r="AF102" s="57" t="n">
        <f aca="false">W102-AE102</f>
        <v>4.77110980889218E-006</v>
      </c>
      <c r="AG102" s="57" t="n">
        <f aca="false">M102-T102-U102-V102-AE102</f>
        <v>0.0035340560912903</v>
      </c>
      <c r="AH102" s="19" t="n">
        <f aca="false">Z102*c_stroke_fatal+AA102*c_stroke_major+AB102*c_stroke_minor+U102*c_ich+V102*c_major_bleed+AE102*c_mi_fatal+AF102*c_mi_nonfatal+X102*c_tia+Y102*c_minor_bleed</f>
        <v>1.9075764094933</v>
      </c>
      <c r="AI102" s="57" t="n">
        <f aca="false">dt*(AF102*dec_mi+AD102*dec_major_bleed+Y102*dec_minor_bleed+X102*dec_tia)</f>
        <v>1.48492012063543E-006</v>
      </c>
      <c r="AJ102" s="57" t="n">
        <f aca="false">G102*L102+Z102+U102-AC102+V102-AD102+AE102</f>
        <v>0.000515968795723232</v>
      </c>
      <c r="AK102" s="57" t="n">
        <f aca="false">1-EXP(LN(1-E102)*hr_death_prior_stroke*dt)</f>
        <v>0.259210383284408</v>
      </c>
      <c r="AL102" s="57" t="n">
        <f aca="false">H102*(1-AK102)</f>
        <v>0.000381704195222048</v>
      </c>
      <c r="AM102" s="57" t="n">
        <f aca="false">(1-EXP(-r_stroke*F102*rr_stroke_prior*rr_asa_stroke*dt))</f>
        <v>0.037314939112333</v>
      </c>
      <c r="AN102" s="57" t="n">
        <f aca="false">(1-EXP(-r_ich*rr_asa_ich*dt))</f>
        <v>0.00102357767802375</v>
      </c>
      <c r="AO102" s="57" t="n">
        <f aca="false">(1-EXP(-r_mb*rr_asa_mb*dt))</f>
        <v>0.00951809672747972</v>
      </c>
      <c r="AP102" s="57" t="n">
        <f aca="false">(1-EXP(-r_mi*rr_asa_mi*dt))</f>
        <v>0.00213413516393479</v>
      </c>
      <c r="AQ102" s="57" t="n">
        <f aca="false">(1-EXP(-r_tia*rr_asa_tia*dt))</f>
        <v>0.00312764565589152</v>
      </c>
      <c r="AR102" s="57" t="n">
        <f aca="false">(1-EXP(-r_minor*rr_asa_minor*dt))</f>
        <v>0.0278181950466747</v>
      </c>
      <c r="AS102" s="57" t="n">
        <f aca="false">AL102*AM102</f>
        <v>1.42432688036328E-005</v>
      </c>
      <c r="AT102" s="57" t="n">
        <f aca="false">AL102*AN102</f>
        <v>3.90703893837306E-007</v>
      </c>
      <c r="AU102" s="57" t="n">
        <f aca="false">AL102*AO102</f>
        <v>3.63309745140825E-006</v>
      </c>
      <c r="AV102" s="57" t="n">
        <f aca="false">AL102*AP102</f>
        <v>8.14608345244802E-007</v>
      </c>
      <c r="AW102" s="57" t="n">
        <f aca="false">AL102*AQ102</f>
        <v>1.19383546802181E-006</v>
      </c>
      <c r="AX102" s="57" t="n">
        <f aca="false">AL102*AR102</f>
        <v>1.06183217528209E-005</v>
      </c>
      <c r="AY102" s="57" t="n">
        <f aca="false">AS102*f_stroke_fatal_recur</f>
        <v>5.29977788914372E-006</v>
      </c>
      <c r="AZ102" s="57" t="n">
        <f aca="false">AS102*(1-f_stroke_fatal_recur)*f_stroke_major</f>
        <v>2.97818247452485E-006</v>
      </c>
      <c r="BA102" s="57" t="n">
        <f aca="false">AS102*(1-f_stroke_fatal_recur)*(1-f_stroke_major)</f>
        <v>5.9653084399642E-006</v>
      </c>
      <c r="BB102" s="57" t="n">
        <f aca="false">AT102*(1-f_bleed_fatal)</f>
        <v>3.57884766754972E-007</v>
      </c>
      <c r="BC102" s="57" t="n">
        <f aca="false">AU102*(1-f_bleed_fatal)</f>
        <v>3.32791726548996E-006</v>
      </c>
      <c r="BD102" s="57" t="n">
        <f aca="false">AV102*f_mi_fatal</f>
        <v>9.85676097746211E-008</v>
      </c>
      <c r="BE102" s="57" t="n">
        <f aca="false">AV102-BD102</f>
        <v>7.16040735470181E-007</v>
      </c>
      <c r="BF102" s="57" t="n">
        <f aca="false">AL102-AS102-AT102-AU102-BD102</f>
        <v>0.000363338557463395</v>
      </c>
      <c r="BG102" s="19" t="n">
        <f aca="false">AY102*c_stroke_fatal+AZ102*c_stroke_major+BA102*c_stroke_minor+AT102*c_ich+AU102*c_major_bleed+BD102*c_mi_fatal+BE102*c_mi_nonfatal+AW102*c_tia+AX102*c_minor_bleed</f>
        <v>0.542499798037745</v>
      </c>
      <c r="BH102" s="57" t="n">
        <f aca="false">dt*(BE102*dec_mi+BC102*dec_major_bleed+AX102*dec_minor_bleed+AW102*dec_tia)</f>
        <v>1.64169179087942E-007</v>
      </c>
      <c r="BI102" s="57" t="n">
        <f aca="false">H102*AK102+AY102+AT102-BB102+AU102-BC102+BD102</f>
        <v>0.000139298814522884</v>
      </c>
      <c r="BJ102" s="57" t="n">
        <f aca="false">1-EXP(LN(1-E102)*hr_death_prior_stroke*dt)</f>
        <v>0.259210383284408</v>
      </c>
      <c r="BK102" s="57" t="n">
        <f aca="false">I102*(1-BJ102)</f>
        <v>0.000191979445003091</v>
      </c>
      <c r="BL102" s="57" t="n">
        <f aca="false">(1-EXP(-r_stroke*F102*rr_stroke_prior*rr_asa_stroke*dt))</f>
        <v>0.037314939112333</v>
      </c>
      <c r="BM102" s="57" t="n">
        <f aca="false">(1-EXP(-r_ich*rr_asa_ich*dt))</f>
        <v>0.00102357767802375</v>
      </c>
      <c r="BN102" s="57" t="n">
        <f aca="false">(1-EXP(-r_mb*rr_asa_mb*dt))</f>
        <v>0.00951809672747972</v>
      </c>
      <c r="BO102" s="57" t="n">
        <f aca="false">(1-EXP(-r_mi*rr_asa_mi*dt))</f>
        <v>0.00213413516393479</v>
      </c>
      <c r="BP102" s="57" t="n">
        <f aca="false">(1-EXP(-r_tia*rr_asa_tia*dt))</f>
        <v>0.00312764565589152</v>
      </c>
      <c r="BQ102" s="57" t="n">
        <f aca="false">(1-EXP(-r_minor*rr_asa_minor*dt))</f>
        <v>0.0278181950466747</v>
      </c>
      <c r="BR102" s="57" t="n">
        <f aca="false">BK102*BL102</f>
        <v>7.16370130110983E-006</v>
      </c>
      <c r="BS102" s="57" t="n">
        <f aca="false">BK102*BM102</f>
        <v>1.96505874544552E-007</v>
      </c>
      <c r="BT102" s="57" t="n">
        <f aca="false">BK102*BN102</f>
        <v>1.8272789272273E-006</v>
      </c>
      <c r="BU102" s="57" t="n">
        <f aca="false">BK102*BO102</f>
        <v>4.09710084333783E-007</v>
      </c>
      <c r="BV102" s="57" t="n">
        <f aca="false">BK102*BP102</f>
        <v>6.00443677184383E-007</v>
      </c>
      <c r="BW102" s="57" t="n">
        <f aca="false">BK102*BQ102</f>
        <v>5.34052164604835E-006</v>
      </c>
      <c r="BX102" s="57" t="n">
        <f aca="false">BR102*f_stroke_fatal_recur</f>
        <v>2.66554161712996E-006</v>
      </c>
      <c r="BY102" s="57" t="n">
        <f aca="false">BR102*(1-f_stroke_fatal_recur)*f_stroke_major</f>
        <v>1.4978871747653E-006</v>
      </c>
      <c r="BZ102" s="57" t="n">
        <f aca="false">BR102*(1-f_stroke_fatal_recur)*(1-f_stroke_major)</f>
        <v>3.00027250921457E-006</v>
      </c>
      <c r="CA102" s="57" t="n">
        <f aca="false">BS102*(1-f_bleed_fatal)</f>
        <v>1.79999381082809E-007</v>
      </c>
      <c r="CB102" s="57" t="n">
        <f aca="false">BT102*(1-f_bleed_fatal)</f>
        <v>1.6737874973402E-006</v>
      </c>
      <c r="CC102" s="57" t="n">
        <f aca="false">BU102*f_mi_fatal</f>
        <v>4.95749202043877E-008</v>
      </c>
      <c r="CD102" s="57" t="n">
        <f aca="false">BU102-CC102</f>
        <v>3.60135164129395E-007</v>
      </c>
      <c r="CE102" s="57" t="n">
        <f aca="false">BK102-BR102-BS102-BT102-CC102</f>
        <v>0.000182742383980005</v>
      </c>
      <c r="CF102" s="19" t="n">
        <f aca="false">BX102*c_stroke_fatal+BY102*c_stroke_major+BZ102*c_stroke_minor+BS102*c_ich+BT102*c_major_bleed+CC102*c_mi_fatal+CD102*c_mi_nonfatal+BV102*c_tia+BW102*c_minor_bleed</f>
        <v>0.272852149505428</v>
      </c>
      <c r="CG102" s="57" t="n">
        <f aca="false">dt*(CD102*dec_mi+CB102*dec_major_bleed+BW102*dec_minor_bleed+BV102*dec_tia)</f>
        <v>8.25694563550233E-008</v>
      </c>
      <c r="CH102" s="57" t="n">
        <f aca="false">I102*BJ102+BX102+BS102-CA102+BT102-CB102+CC102</f>
        <v>7.00608204898951E-005</v>
      </c>
      <c r="CI102" s="57" t="n">
        <f aca="false">1-EXP(LN(1-E102)*dt)</f>
        <v>0.122301001522938</v>
      </c>
      <c r="CJ102" s="57" t="n">
        <f aca="false">J102*(1-CI102)</f>
        <v>0.00323922057429777</v>
      </c>
      <c r="CK102" s="57" t="n">
        <f aca="false">(1-EXP(-r_stroke*F102*rr_asa_stroke*dt))</f>
        <v>0.0171373471443373</v>
      </c>
      <c r="CL102" s="57" t="n">
        <f aca="false">(1-EXP(-r_ich*rr_asa_ich*dt))</f>
        <v>0.00102357767802375</v>
      </c>
      <c r="CM102" s="57" t="n">
        <f aca="false">(1-EXP(-r_mb*rr_asa_mb*dt))</f>
        <v>0.00951809672747972</v>
      </c>
      <c r="CN102" s="57" t="n">
        <f aca="false">(1-EXP(-r_mi*rr_asa_mi*dt))</f>
        <v>0.00213413516393479</v>
      </c>
      <c r="CO102" s="57" t="n">
        <f aca="false">(1-EXP(-r_tia*rr_asa_tia*dt))</f>
        <v>0.00312764565589152</v>
      </c>
      <c r="CP102" s="57" t="n">
        <f aca="false">(1-EXP(-r_minor*rr_asa_minor*dt))</f>
        <v>0.0278181950466747</v>
      </c>
      <c r="CQ102" s="57" t="n">
        <f aca="false">CJ102*CK102</f>
        <v>5.55116474588207E-005</v>
      </c>
      <c r="CR102" s="57" t="n">
        <f aca="false">CJ102*CL102</f>
        <v>3.31559387404646E-006</v>
      </c>
      <c r="CS102" s="57" t="n">
        <f aca="false">CJ102*CM102</f>
        <v>3.08312147478086E-005</v>
      </c>
      <c r="CT102" s="57" t="n">
        <f aca="false">CJ102*CN102</f>
        <v>6.91293453134992E-006</v>
      </c>
      <c r="CU102" s="57" t="n">
        <f aca="false">CJ102*CO102</f>
        <v>1.01311341576769E-005</v>
      </c>
      <c r="CV102" s="57" t="n">
        <f aca="false">CJ102*CP102</f>
        <v>9.01092697350171E-005</v>
      </c>
      <c r="CW102" s="57" t="n">
        <f aca="false">CQ102*f_stroke_fatal</f>
        <v>1.31562604477405E-005</v>
      </c>
      <c r="CX102" s="57" t="n">
        <f aca="false">CQ102*(1-f_stroke_fatal)*f_stroke_major</f>
        <v>1.41043438746897E-005</v>
      </c>
      <c r="CY102" s="57" t="n">
        <f aca="false">CQ102*(1-f_stroke_fatal)*(1-f_stroke_major)</f>
        <v>2.82510431363905E-005</v>
      </c>
      <c r="CZ102" s="57" t="n">
        <f aca="false">CR102*(1-f_bleed_fatal)</f>
        <v>3.03708398862656E-006</v>
      </c>
      <c r="DA102" s="57" t="n">
        <f aca="false">CS102*(1-f_bleed_fatal)</f>
        <v>2.82413927089927E-005</v>
      </c>
      <c r="DB102" s="57" t="n">
        <f aca="false">CT102*f_mi_fatal</f>
        <v>8.36465078293341E-007</v>
      </c>
      <c r="DC102" s="57" t="n">
        <f aca="false">CT102-DB102</f>
        <v>6.07646945305658E-006</v>
      </c>
      <c r="DD102" s="57" t="n">
        <f aca="false">CJ102-CQ102-CR102-CS102-DB102</f>
        <v>0.0031487256531388</v>
      </c>
      <c r="DE102" s="19" t="n">
        <f aca="false">CW102*c_stroke_fatal+CX102*c_stroke_major+CY102*c_stroke_minor+CR102*c_ich+CS102*c_major_bleed+DB102*c_mi_fatal+DC102*c_mi_nonfatal+CU102*c_tia+CV102*c_minor_bleed</f>
        <v>2.48721165016716</v>
      </c>
      <c r="DF102" s="57" t="n">
        <f aca="false">dt*(DC102*dec_mi+DA102*dec_major_bleed+CV102*dec_minor_bleed+CU102*dec_tia)</f>
        <v>1.39317353391383E-006</v>
      </c>
      <c r="DG102" s="57" t="n">
        <f aca="false">J102*CI102+CW102+CR102-CZ102+CS102-DA102+DB102</f>
        <v>0.000468222994831671</v>
      </c>
      <c r="DH102" s="57" t="n">
        <f aca="false">AG102</f>
        <v>0.0035340560912903</v>
      </c>
      <c r="DI102" s="57" t="n">
        <f aca="false">AB102+AC102+BF102+BA102+BB102+BC102+CY102+CZ102</f>
        <v>0.000430413728455411</v>
      </c>
      <c r="DJ102" s="57" t="n">
        <f aca="false">AA102+AZ102+BY102+CX102+CE102+BZ102+CA102+CB102</f>
        <v>0.000215913076194624</v>
      </c>
      <c r="DK102" s="57" t="n">
        <f aca="false">AD102+DD102+DA102</f>
        <v>0.00320459541041328</v>
      </c>
      <c r="DL102" s="57" t="n">
        <f aca="false">K102+AJ102+BI102+CH102+DG102</f>
        <v>0.992615021693648</v>
      </c>
      <c r="DM102" s="58" t="n">
        <f aca="false">SUM(DH102:DL102)</f>
        <v>1</v>
      </c>
      <c r="DN102" s="19" t="n">
        <f aca="false">dt*(G102*Warfarin!$H$2+(H102+I102+J102)*c_aspirin)</f>
        <v>0.438712207980237</v>
      </c>
      <c r="DO102" s="19" t="n">
        <f aca="false">dt*(H102*c_lt_minor_stroke+I102*c_lt_major_stroke)</f>
        <v>3.08486989468937</v>
      </c>
      <c r="DP102" s="19" t="n">
        <f aca="false">AH102+BG102+CF102+DE102</f>
        <v>5.21014000720363</v>
      </c>
      <c r="DQ102" s="19" t="n">
        <f aca="false">DN102+DO102+DP102</f>
        <v>8.73372210987324</v>
      </c>
      <c r="DR102" s="57" t="n">
        <f aca="false">dt*(G102*(u_af-dec_per_year_over_70*MAX(B102-ref_age,0))+H102*(u_minor_stroke-dec_per_year_over_70*MAX(B102-ref_age,0))+I102*(u_major_stroke-dec_per_year_over_70*MAX(B102-ref_age,0))+J102*(u_af-dec_per_year_over_70*MAX(B102-ref_age,0)))-AI102-BH102-CG102-DF102</f>
        <v>0.00168044162944083</v>
      </c>
      <c r="DS102" s="57" t="n">
        <f aca="false">dt*(G102+H102+I102+J102)</f>
        <v>0.00214463243298032</v>
      </c>
      <c r="DT102" s="19" t="n">
        <f aca="false">DQ102*C102</f>
        <v>6.1096221966067</v>
      </c>
      <c r="DU102" s="19" t="n">
        <f aca="false">DN102*C102</f>
        <v>0.306898457505112</v>
      </c>
      <c r="DV102" s="19" t="n">
        <f aca="false">DP102*C102</f>
        <v>3.64472176180814</v>
      </c>
      <c r="DW102" s="19" t="n">
        <f aca="false">DO102*C102</f>
        <v>2.15800197729345</v>
      </c>
      <c r="DX102" s="57" t="n">
        <f aca="false">DR102*C102</f>
        <v>0.00117554272395811</v>
      </c>
      <c r="DY102" s="57" t="n">
        <f aca="false">DS102*C102</f>
        <v>0.00150026457806423</v>
      </c>
      <c r="DZ102" s="57" t="n">
        <f aca="false">T102+AS102+BR102+CQ102</f>
        <v>0.000115238271305122</v>
      </c>
      <c r="EA102" s="57" t="n">
        <f aca="false">U102+AT102+BS102+CR102</f>
        <v>1.11454421718852E-005</v>
      </c>
      <c r="EB102" s="57" t="n">
        <f aca="false">V102+AU102+BT102+CS102</f>
        <v>6.64535611760977E-005</v>
      </c>
      <c r="EC102" s="57" t="n">
        <f aca="false">G102*dt*C102</f>
        <v>0.000719397921072619</v>
      </c>
    </row>
    <row r="103" customFormat="false" ht="15" hidden="false" customHeight="false" outlineLevel="0" collapsed="false">
      <c r="A103" s="8" t="n">
        <v>97</v>
      </c>
      <c r="B103" s="54" t="n">
        <f aca="false">start_age+A103*dt</f>
        <v>94.25</v>
      </c>
      <c r="C103" s="16" t="n">
        <f aca="false">(1+disc_rate)^-(A103*dt)</f>
        <v>0.696944949802061</v>
      </c>
      <c r="D103" s="55" t="n">
        <f aca="false">IF(A103*dt&gt;=wane_start,(1-wane_decay)^(A103*dt-wane_start),1)</f>
        <v>1</v>
      </c>
      <c r="E103" s="25" t="n">
        <f aca="false">MIN(p_nonvasc_death*MIN(EXP(gomp_int+gomp_slope*INT(B103)),1)/qx_ref,0.999)</f>
        <v>0.406552354428485</v>
      </c>
      <c r="F103" s="55" t="n">
        <f aca="false">rr_stroke_per_decade^((B103-ref_age)/10)</f>
        <v>2.67313752940266</v>
      </c>
      <c r="G103" s="57" t="n">
        <f aca="false">DH102</f>
        <v>0.0035340560912903</v>
      </c>
      <c r="H103" s="57" t="n">
        <f aca="false">DI102</f>
        <v>0.000430413728455411</v>
      </c>
      <c r="I103" s="57" t="n">
        <f aca="false">DJ102</f>
        <v>0.000215913076194624</v>
      </c>
      <c r="J103" s="57" t="n">
        <f aca="false">DK102</f>
        <v>0.00320459541041328</v>
      </c>
      <c r="K103" s="57" t="n">
        <f aca="false">DL102</f>
        <v>0.992615021693648</v>
      </c>
      <c r="L103" s="57" t="n">
        <f aca="false">1-EXP(LN(1-E103)*dt)</f>
        <v>0.122301001522938</v>
      </c>
      <c r="M103" s="57" t="n">
        <f aca="false">G103*(1-L103)</f>
        <v>0.00310183749188726</v>
      </c>
      <c r="N103" s="57" t="n">
        <f aca="false">IF(Warfarin!$B$2=1,EXP(LN(or_apx_stroke)*D103)*(1-EXP(-r_stroke*F103*dt))/(1-(1-EXP(-r_stroke*F103*dt))+EXP(LN(or_apx_stroke)*D103)*(1-EXP(-r_stroke*F103*dt))),(1-EXP(-r_stroke*F103*dt)))</f>
        <v>0.0107211286380741</v>
      </c>
      <c r="O103" s="57" t="n">
        <f aca="false">IF(Warfarin!$B$2=1,EXP(LN(or_apx_ich)*D103)*(1-EXP(-r_ich*dt))/(1-(1-EXP(-r_ich*dt))+EXP(LN(or_apx_ich)*D103)*(1-EXP(-r_ich*dt))),(1-EXP(-r_ich*dt)))</f>
        <v>0.0020060281549299</v>
      </c>
      <c r="P103" s="57" t="n">
        <f aca="false">IF(Warfarin!$B$2=1,EXP(LN(or_apx_mb)*D103)*(1-EXP(-r_mb*dt))/(1-(1-EXP(-r_mb*dt))+EXP(LN(or_apx_mb)*D103)*(1-EXP(-r_mb*dt))),(1-EXP(-r_mb*dt)))</f>
        <v>0.00835410477572107</v>
      </c>
      <c r="Q103" s="57" t="n">
        <f aca="false">IF(Warfarin!$B$2=1,EXP(LN(or_apx_mi)*D103)*(1-EXP(-r_mi*dt))/(1-(1-EXP(-r_mi*dt))+EXP(LN(or_apx_mi)*D103)*(1-EXP(-r_mi*dt))),(1-EXP(-r_mi*dt)))</f>
        <v>0.00150338686144691</v>
      </c>
      <c r="R103" s="57" t="n">
        <f aca="false">(1-EXP(-r_tia*dt))</f>
        <v>0.0020060281549299</v>
      </c>
      <c r="S103" s="57" t="n">
        <f aca="false">(1-EXP(-r_minor*dt))</f>
        <v>0.0437937690785545</v>
      </c>
      <c r="T103" s="57" t="n">
        <f aca="false">M103*N103</f>
        <v>3.32551987649243E-005</v>
      </c>
      <c r="U103" s="57" t="n">
        <f aca="false">M103*O103</f>
        <v>6.22237334074297E-006</v>
      </c>
      <c r="V103" s="57" t="n">
        <f aca="false">M103*P103</f>
        <v>2.5913075404486E-005</v>
      </c>
      <c r="W103" s="57" t="n">
        <f aca="false">M103*Q103</f>
        <v>4.66326173164674E-006</v>
      </c>
      <c r="X103" s="57" t="n">
        <f aca="false">M103*R103</f>
        <v>6.22237334074297E-006</v>
      </c>
      <c r="Y103" s="57" t="n">
        <f aca="false">M103*S103</f>
        <v>0.000135841154838913</v>
      </c>
      <c r="Z103" s="57" t="n">
        <f aca="false">T103*f_stroke_fatal</f>
        <v>7.88148210728706E-006</v>
      </c>
      <c r="AA103" s="57" t="n">
        <f aca="false">T103*(1-f_stroke_fatal)*f_stroke_major</f>
        <v>8.4494476469932E-006</v>
      </c>
      <c r="AB103" s="57" t="n">
        <f aca="false">T103*(1-f_stroke_fatal)*(1-f_stroke_major)</f>
        <v>1.6924269010644E-005</v>
      </c>
      <c r="AC103" s="57" t="n">
        <f aca="false">U103*(1-f_bleed_fatal)</f>
        <v>5.69969398012056E-006</v>
      </c>
      <c r="AD103" s="57" t="n">
        <f aca="false">V103*(1-f_bleed_fatal)</f>
        <v>2.37363770705092E-005</v>
      </c>
      <c r="AE103" s="57" t="n">
        <f aca="false">W103*f_mi_fatal</f>
        <v>5.64254669529255E-007</v>
      </c>
      <c r="AF103" s="57" t="n">
        <f aca="false">W103-AE103</f>
        <v>4.09900706211748E-006</v>
      </c>
      <c r="AG103" s="57" t="n">
        <f aca="false">M103-T103-U103-V103-AE103</f>
        <v>0.00303588258970757</v>
      </c>
      <c r="AH103" s="19" t="n">
        <f aca="false">Z103*c_stroke_fatal+AA103*c_stroke_major+AB103*c_stroke_minor+U103*c_ich+V103*c_major_bleed+AE103*c_mi_fatal+AF103*c_mi_nonfatal+X103*c_tia+Y103*c_minor_bleed</f>
        <v>1.65118349033982</v>
      </c>
      <c r="AI103" s="57" t="n">
        <f aca="false">dt*(AF103*dec_mi+AD103*dec_major_bleed+Y103*dec_minor_bleed+X103*dec_tia)</f>
        <v>1.27574051006348E-006</v>
      </c>
      <c r="AJ103" s="57" t="n">
        <f aca="false">G103*L103+Z103+U103-AC103+V103-AD103+AE103</f>
        <v>0.000443363713874457</v>
      </c>
      <c r="AK103" s="57" t="n">
        <f aca="false">1-EXP(LN(1-E103)*hr_death_prior_stroke*dt)</f>
        <v>0.259210383284408</v>
      </c>
      <c r="AL103" s="57" t="n">
        <f aca="false">H103*(1-AK103)</f>
        <v>0.000318846020931613</v>
      </c>
      <c r="AM103" s="57" t="n">
        <f aca="false">(1-EXP(-r_stroke*F103*rr_stroke_prior*rr_asa_stroke*dt))</f>
        <v>0.0376878551404887</v>
      </c>
      <c r="AN103" s="57" t="n">
        <f aca="false">(1-EXP(-r_ich*rr_asa_ich*dt))</f>
        <v>0.00102357767802375</v>
      </c>
      <c r="AO103" s="57" t="n">
        <f aca="false">(1-EXP(-r_mb*rr_asa_mb*dt))</f>
        <v>0.00951809672747972</v>
      </c>
      <c r="AP103" s="57" t="n">
        <f aca="false">(1-EXP(-r_mi*rr_asa_mi*dt))</f>
        <v>0.00213413516393479</v>
      </c>
      <c r="AQ103" s="57" t="n">
        <f aca="false">(1-EXP(-r_tia*rr_asa_tia*dt))</f>
        <v>0.00312764565589152</v>
      </c>
      <c r="AR103" s="57" t="n">
        <f aca="false">(1-EXP(-r_minor*rr_asa_minor*dt))</f>
        <v>0.0278181950466747</v>
      </c>
      <c r="AS103" s="57" t="n">
        <f aca="false">AL103*AM103</f>
        <v>1.20166226489919E-005</v>
      </c>
      <c r="AT103" s="57" t="n">
        <f aca="false">AL103*AN103</f>
        <v>3.26363669752291E-007</v>
      </c>
      <c r="AU103" s="57" t="n">
        <f aca="false">AL103*AO103</f>
        <v>3.03480726839912E-006</v>
      </c>
      <c r="AV103" s="57" t="n">
        <f aca="false">AL103*AP103</f>
        <v>6.80460505150844E-007</v>
      </c>
      <c r="AW103" s="57" t="n">
        <f aca="false">AL103*AQ103</f>
        <v>9.97237372265057E-007</v>
      </c>
      <c r="AX103" s="57" t="n">
        <f aca="false">AL103*AR103</f>
        <v>8.86972080013174E-006</v>
      </c>
      <c r="AY103" s="57" t="n">
        <f aca="false">AS103*f_stroke_fatal_recur</f>
        <v>4.47126512146338E-006</v>
      </c>
      <c r="AZ103" s="57" t="n">
        <f aca="false">AS103*(1-f_stroke_fatal_recur)*f_stroke_major</f>
        <v>2.51260405666698E-006</v>
      </c>
      <c r="BA103" s="57" t="n">
        <f aca="false">AS103*(1-f_stroke_fatal_recur)*(1-f_stroke_major)</f>
        <v>5.03275347086149E-006</v>
      </c>
      <c r="BB103" s="57" t="n">
        <f aca="false">AT103*(1-f_bleed_fatal)</f>
        <v>2.98949121493099E-007</v>
      </c>
      <c r="BC103" s="57" t="n">
        <f aca="false">AU103*(1-f_bleed_fatal)</f>
        <v>2.77988345785359E-006</v>
      </c>
      <c r="BD103" s="57" t="n">
        <f aca="false">AV103*f_mi_fatal</f>
        <v>8.23357211232522E-008</v>
      </c>
      <c r="BE103" s="57" t="n">
        <f aca="false">AV103-BD103</f>
        <v>5.98124784027592E-007</v>
      </c>
      <c r="BF103" s="57" t="n">
        <f aca="false">AL103-AS103-AT103-AU103-BD103</f>
        <v>0.000303385891623347</v>
      </c>
      <c r="BG103" s="19" t="n">
        <f aca="false">AY103*c_stroke_fatal+AZ103*c_stroke_major+BA103*c_stroke_minor+AT103*c_ich+AU103*c_major_bleed+BD103*c_mi_fatal+BE103*c_mi_nonfatal+AW103*c_tia+AX103*c_minor_bleed</f>
        <v>0.457261875171765</v>
      </c>
      <c r="BH103" s="57" t="n">
        <f aca="false">dt*(BE103*dec_mi+BC103*dec_major_bleed+AX103*dec_minor_bleed+AW103*dec_tia)</f>
        <v>1.37134173967748E-007</v>
      </c>
      <c r="BI103" s="57" t="n">
        <f aca="false">H103*AK103+AY103+AT103-BB103+AU103-BC103+BD103</f>
        <v>0.000116403646725189</v>
      </c>
      <c r="BJ103" s="57" t="n">
        <f aca="false">1-EXP(LN(1-E103)*hr_death_prior_stroke*dt)</f>
        <v>0.259210383284408</v>
      </c>
      <c r="BK103" s="57" t="n">
        <f aca="false">I103*(1-BJ103)</f>
        <v>0.0001599461649581</v>
      </c>
      <c r="BL103" s="57" t="n">
        <f aca="false">(1-EXP(-r_stroke*F103*rr_stroke_prior*rr_asa_stroke*dt))</f>
        <v>0.0376878551404887</v>
      </c>
      <c r="BM103" s="57" t="n">
        <f aca="false">(1-EXP(-r_ich*rr_asa_ich*dt))</f>
        <v>0.00102357767802375</v>
      </c>
      <c r="BN103" s="57" t="n">
        <f aca="false">(1-EXP(-r_mb*rr_asa_mb*dt))</f>
        <v>0.00951809672747972</v>
      </c>
      <c r="BO103" s="57" t="n">
        <f aca="false">(1-EXP(-r_mi*rr_asa_mi*dt))</f>
        <v>0.00213413516393479</v>
      </c>
      <c r="BP103" s="57" t="n">
        <f aca="false">(1-EXP(-r_tia*rr_asa_tia*dt))</f>
        <v>0.00312764565589152</v>
      </c>
      <c r="BQ103" s="57" t="n">
        <f aca="false">(1-EXP(-r_minor*rr_asa_minor*dt))</f>
        <v>0.0278181950466747</v>
      </c>
      <c r="BR103" s="57" t="n">
        <f aca="false">BK103*BL103</f>
        <v>6.02802789521758E-006</v>
      </c>
      <c r="BS103" s="57" t="n">
        <f aca="false">BK103*BM103</f>
        <v>1.63717324136615E-007</v>
      </c>
      <c r="BT103" s="57" t="n">
        <f aca="false">BK103*BN103</f>
        <v>1.52238306926062E-006</v>
      </c>
      <c r="BU103" s="57" t="n">
        <f aca="false">BK103*BO103</f>
        <v>3.41346734973596E-007</v>
      </c>
      <c r="BV103" s="57" t="n">
        <f aca="false">BK103*BP103</f>
        <v>5.0025492800771E-007</v>
      </c>
      <c r="BW103" s="57" t="n">
        <f aca="false">BK103*BQ103</f>
        <v>4.44941361377204E-006</v>
      </c>
      <c r="BX103" s="57" t="n">
        <f aca="false">BR103*f_stroke_fatal_recur</f>
        <v>2.24296889953151E-006</v>
      </c>
      <c r="BY103" s="57" t="n">
        <f aca="false">BR103*(1-f_stroke_fatal_recur)*f_stroke_major</f>
        <v>1.26042464556346E-006</v>
      </c>
      <c r="BZ103" s="57" t="n">
        <f aca="false">BR103*(1-f_stroke_fatal_recur)*(1-f_stroke_major)</f>
        <v>2.52463435012261E-006</v>
      </c>
      <c r="CA103" s="57" t="n">
        <f aca="false">BS103*(1-f_bleed_fatal)</f>
        <v>1.4996506890914E-007</v>
      </c>
      <c r="CB103" s="57" t="n">
        <f aca="false">BT103*(1-f_bleed_fatal)</f>
        <v>1.39450289144273E-006</v>
      </c>
      <c r="CC103" s="57" t="n">
        <f aca="false">BU103*f_mi_fatal</f>
        <v>4.13029549318052E-008</v>
      </c>
      <c r="CD103" s="57" t="n">
        <f aca="false">BU103-CC103</f>
        <v>3.00043780041791E-007</v>
      </c>
      <c r="CE103" s="57" t="n">
        <f aca="false">BK103-BR103-BS103-BT103-CC103</f>
        <v>0.000152190733714554</v>
      </c>
      <c r="CF103" s="19" t="n">
        <f aca="false">BX103*c_stroke_fatal+BY103*c_stroke_major+BZ103*c_stroke_minor+BS103*c_ich+BT103*c_major_bleed+CC103*c_mi_fatal+CD103*c_mi_nonfatal+BV103*c_tia+BW103*c_minor_bleed</f>
        <v>0.229381201313345</v>
      </c>
      <c r="CG103" s="57" t="n">
        <f aca="false">dt*(CD103*dec_mi+CB103*dec_major_bleed+BW103*dec_minor_bleed+BV103*dec_tia)</f>
        <v>6.87920932704465E-008</v>
      </c>
      <c r="CH103" s="57" t="n">
        <f aca="false">I103*BJ103+BX103+BS103-CA103+BT103-CB103+CC103</f>
        <v>5.83928155240328E-005</v>
      </c>
      <c r="CI103" s="57" t="n">
        <f aca="false">1-EXP(LN(1-E103)*dt)</f>
        <v>0.122301001522938</v>
      </c>
      <c r="CJ103" s="57" t="n">
        <f aca="false">J103*(1-CI103)</f>
        <v>0.00281267018224392</v>
      </c>
      <c r="CK103" s="57" t="n">
        <f aca="false">(1-EXP(-r_stroke*F103*rr_asa_stroke*dt))</f>
        <v>0.0173104255389047</v>
      </c>
      <c r="CL103" s="57" t="n">
        <f aca="false">(1-EXP(-r_ich*rr_asa_ich*dt))</f>
        <v>0.00102357767802375</v>
      </c>
      <c r="CM103" s="57" t="n">
        <f aca="false">(1-EXP(-r_mb*rr_asa_mb*dt))</f>
        <v>0.00951809672747972</v>
      </c>
      <c r="CN103" s="57" t="n">
        <f aca="false">(1-EXP(-r_mi*rr_asa_mi*dt))</f>
        <v>0.00213413516393479</v>
      </c>
      <c r="CO103" s="57" t="n">
        <f aca="false">(1-EXP(-r_tia*rr_asa_tia*dt))</f>
        <v>0.00312764565589152</v>
      </c>
      <c r="CP103" s="57" t="n">
        <f aca="false">(1-EXP(-r_minor*rr_asa_minor*dt))</f>
        <v>0.0278181950466747</v>
      </c>
      <c r="CQ103" s="57" t="n">
        <f aca="false">CJ103*CK103</f>
        <v>4.8688517755231E-005</v>
      </c>
      <c r="CR103" s="57" t="n">
        <f aca="false">CJ103*CL103</f>
        <v>2.87898641418786E-006</v>
      </c>
      <c r="CS103" s="57" t="n">
        <f aca="false">CJ103*CM103</f>
        <v>2.67712668570957E-005</v>
      </c>
      <c r="CT103" s="57" t="n">
        <f aca="false">CJ103*CN103</f>
        <v>6.00261834047764E-006</v>
      </c>
      <c r="CU103" s="57" t="n">
        <f aca="false">CJ103*CO103</f>
        <v>8.79703567695082E-006</v>
      </c>
      <c r="CV103" s="57" t="n">
        <f aca="false">CJ103*CP103</f>
        <v>7.82434077316276E-005</v>
      </c>
      <c r="CW103" s="57" t="n">
        <f aca="false">CQ103*f_stroke_fatal</f>
        <v>1.15391787079897E-005</v>
      </c>
      <c r="CX103" s="57" t="n">
        <f aca="false">CQ103*(1-f_stroke_fatal)*f_stroke_major</f>
        <v>1.23707299027313E-005</v>
      </c>
      <c r="CY103" s="57" t="n">
        <f aca="false">CQ103*(1-f_stroke_fatal)*(1-f_stroke_major)</f>
        <v>2.47786091445099E-005</v>
      </c>
      <c r="CZ103" s="57" t="n">
        <f aca="false">CR103*(1-f_bleed_fatal)</f>
        <v>2.63715155539608E-006</v>
      </c>
      <c r="DA103" s="57" t="n">
        <f aca="false">CS103*(1-f_bleed_fatal)</f>
        <v>2.45224804410996E-005</v>
      </c>
      <c r="DB103" s="57" t="n">
        <f aca="false">CT103*f_mi_fatal</f>
        <v>7.26316819197794E-007</v>
      </c>
      <c r="DC103" s="57" t="n">
        <f aca="false">CT103-DB103</f>
        <v>5.27630152127984E-006</v>
      </c>
      <c r="DD103" s="57" t="n">
        <f aca="false">CJ103-CQ103-CR103-CS103-DB103</f>
        <v>0.00273360509439821</v>
      </c>
      <c r="DE103" s="19" t="n">
        <f aca="false">CW103*c_stroke_fatal+CX103*c_stroke_major+CY103*c_stroke_minor+CR103*c_ich+CS103*c_major_bleed+DB103*c_mi_fatal+DC103*c_mi_nonfatal+CU103*c_tia+CV103*c_minor_bleed</f>
        <v>2.1776746409189</v>
      </c>
      <c r="DF103" s="57" t="n">
        <f aca="false">dt*(DC103*dec_mi+DA103*dec_major_bleed+CV103*dec_minor_bleed+CU103*dec_tia)</f>
        <v>1.20971621649456E-006</v>
      </c>
      <c r="DG103" s="57" t="n">
        <f aca="false">J103*CI103+CW103+CR103-CZ103+CS103-DA103+DB103</f>
        <v>0.000406681344971328</v>
      </c>
      <c r="DH103" s="57" t="n">
        <f aca="false">AG103</f>
        <v>0.00303588258970757</v>
      </c>
      <c r="DI103" s="57" t="n">
        <f aca="false">AB103+AC103+BF103+BA103+BB103+BC103+CY103+CZ103</f>
        <v>0.000361537201364225</v>
      </c>
      <c r="DJ103" s="57" t="n">
        <f aca="false">AA103+AZ103+BY103+CX103+CE103+BZ103+CA103+CB103</f>
        <v>0.000180853042276983</v>
      </c>
      <c r="DK103" s="57" t="n">
        <f aca="false">AD103+DD103+DA103</f>
        <v>0.00278186395190982</v>
      </c>
      <c r="DL103" s="57" t="n">
        <f aca="false">K103+AJ103+BI103+CH103+DG103</f>
        <v>0.993639863214742</v>
      </c>
      <c r="DM103" s="58" t="n">
        <f aca="false">SUM(DH103:DL103)</f>
        <v>1</v>
      </c>
      <c r="DN103" s="19" t="n">
        <f aca="false">dt*(G103*Warfarin!$H$2+(H103+I103+J103)*c_aspirin)</f>
        <v>0.377056562182087</v>
      </c>
      <c r="DO103" s="19" t="n">
        <f aca="false">dt*(H103*c_lt_minor_stroke+I103*c_lt_major_stroke)</f>
        <v>2.5731719174804</v>
      </c>
      <c r="DP103" s="19" t="n">
        <f aca="false">AH103+BG103+CF103+DE103</f>
        <v>4.51550120774383</v>
      </c>
      <c r="DQ103" s="19" t="n">
        <f aca="false">DN103+DO103+DP103</f>
        <v>7.46572968740632</v>
      </c>
      <c r="DR103" s="57" t="n">
        <f aca="false">dt*(G103*(u_af-dec_per_year_over_70*MAX(B103-ref_age,0))+H103*(u_minor_stroke-dec_per_year_over_70*MAX(B103-ref_age,0))+I103*(u_major_stroke-dec_per_year_over_70*MAX(B103-ref_age,0))+J103*(u_af-dec_per_year_over_70*MAX(B103-ref_age,0)))-AI103-BH103-CG103-DF103</f>
        <v>0.00144755757748729</v>
      </c>
      <c r="DS103" s="57" t="n">
        <f aca="false">dt*(G103+H103+I103+J103)</f>
        <v>0.0018462445765884</v>
      </c>
      <c r="DT103" s="19" t="n">
        <f aca="false">DQ103*C103</f>
        <v>5.20320260222515</v>
      </c>
      <c r="DU103" s="19" t="n">
        <f aca="false">DN103*C103</f>
        <v>0.262787666802533</v>
      </c>
      <c r="DV103" s="19" t="n">
        <f aca="false">DP103*C103</f>
        <v>3.14705576256217</v>
      </c>
      <c r="DW103" s="19" t="n">
        <f aca="false">DO103*C103</f>
        <v>1.79335917286045</v>
      </c>
      <c r="DX103" s="57" t="n">
        <f aca="false">DR103*C103</f>
        <v>0.00100886794317747</v>
      </c>
      <c r="DY103" s="57" t="n">
        <f aca="false">DS103*C103</f>
        <v>0.00128673083375273</v>
      </c>
      <c r="DZ103" s="57" t="n">
        <f aca="false">T103+AS103+BR103+CQ103</f>
        <v>9.99883670643647E-005</v>
      </c>
      <c r="EA103" s="57" t="n">
        <f aca="false">U103+AT103+BS103+CR103</f>
        <v>9.59144074881974E-006</v>
      </c>
      <c r="EB103" s="57" t="n">
        <f aca="false">V103+AU103+BT103+CS103</f>
        <v>5.72415325992414E-005</v>
      </c>
      <c r="EC103" s="57" t="n">
        <f aca="false">G103*dt*C103</f>
        <v>0.000615760636285496</v>
      </c>
    </row>
    <row r="104" customFormat="false" ht="15" hidden="false" customHeight="false" outlineLevel="0" collapsed="false">
      <c r="A104" s="8" t="n">
        <v>98</v>
      </c>
      <c r="B104" s="54" t="n">
        <f aca="false">start_age+A104*dt</f>
        <v>94.5</v>
      </c>
      <c r="C104" s="16" t="n">
        <f aca="false">(1+disc_rate)^-(A104*dt)</f>
        <v>0.694355635881194</v>
      </c>
      <c r="D104" s="55" t="n">
        <f aca="false">IF(A104*dt&gt;=wane_start,(1-wane_decay)^(A104*dt-wane_start),1)</f>
        <v>1</v>
      </c>
      <c r="E104" s="25" t="n">
        <f aca="false">MIN(p_nonvasc_death*MIN(EXP(gomp_int+gomp_slope*INT(B104)),1)/qx_ref,0.999)</f>
        <v>0.406552354428485</v>
      </c>
      <c r="F104" s="55" t="n">
        <f aca="false">rr_stroke_per_decade^((B104-ref_age)/10)</f>
        <v>2.70037192862222</v>
      </c>
      <c r="G104" s="57" t="n">
        <f aca="false">DH103</f>
        <v>0.00303588258970757</v>
      </c>
      <c r="H104" s="57" t="n">
        <f aca="false">DI103</f>
        <v>0.000361537201364225</v>
      </c>
      <c r="I104" s="57" t="n">
        <f aca="false">DJ103</f>
        <v>0.000180853042276983</v>
      </c>
      <c r="J104" s="57" t="n">
        <f aca="false">DK103</f>
        <v>0.00278186395190982</v>
      </c>
      <c r="K104" s="57" t="n">
        <f aca="false">DL103</f>
        <v>0.993639863214742</v>
      </c>
      <c r="L104" s="57" t="n">
        <f aca="false">1-EXP(LN(1-E104)*dt)</f>
        <v>0.122301001522938</v>
      </c>
      <c r="M104" s="57" t="n">
        <f aca="false">G104*(1-L104)</f>
        <v>0.00266459110848029</v>
      </c>
      <c r="N104" s="57" t="n">
        <f aca="false">IF(Warfarin!$B$2=1,EXP(LN(or_apx_stroke)*D104)*(1-EXP(-r_stroke*F104*dt))/(1-(1-EXP(-r_stroke*F104*dt))+EXP(LN(or_apx_stroke)*D104)*(1-EXP(-r_stroke*F104*dt))),(1-EXP(-r_stroke*F104*dt)))</f>
        <v>0.0108297638012133</v>
      </c>
      <c r="O104" s="57" t="n">
        <f aca="false">IF(Warfarin!$B$2=1,EXP(LN(or_apx_ich)*D104)*(1-EXP(-r_ich*dt))/(1-(1-EXP(-r_ich*dt))+EXP(LN(or_apx_ich)*D104)*(1-EXP(-r_ich*dt))),(1-EXP(-r_ich*dt)))</f>
        <v>0.0020060281549299</v>
      </c>
      <c r="P104" s="57" t="n">
        <f aca="false">IF(Warfarin!$B$2=1,EXP(LN(or_apx_mb)*D104)*(1-EXP(-r_mb*dt))/(1-(1-EXP(-r_mb*dt))+EXP(LN(or_apx_mb)*D104)*(1-EXP(-r_mb*dt))),(1-EXP(-r_mb*dt)))</f>
        <v>0.00835410477572107</v>
      </c>
      <c r="Q104" s="57" t="n">
        <f aca="false">IF(Warfarin!$B$2=1,EXP(LN(or_apx_mi)*D104)*(1-EXP(-r_mi*dt))/(1-(1-EXP(-r_mi*dt))+EXP(LN(or_apx_mi)*D104)*(1-EXP(-r_mi*dt))),(1-EXP(-r_mi*dt)))</f>
        <v>0.00150338686144691</v>
      </c>
      <c r="R104" s="57" t="n">
        <f aca="false">(1-EXP(-r_tia*dt))</f>
        <v>0.0020060281549299</v>
      </c>
      <c r="S104" s="57" t="n">
        <f aca="false">(1-EXP(-r_minor*dt))</f>
        <v>0.0437937690785545</v>
      </c>
      <c r="T104" s="57" t="n">
        <f aca="false">M104*N104</f>
        <v>2.88568923316545E-005</v>
      </c>
      <c r="U104" s="57" t="n">
        <f aca="false">M104*O104</f>
        <v>5.34524478498732E-006</v>
      </c>
      <c r="V104" s="57" t="n">
        <f aca="false">M104*P104</f>
        <v>2.22602733046991E-005</v>
      </c>
      <c r="W104" s="57" t="n">
        <f aca="false">M104*Q104</f>
        <v>4.00591126361752E-006</v>
      </c>
      <c r="X104" s="57" t="n">
        <f aca="false">M104*R104</f>
        <v>5.34524478498732E-006</v>
      </c>
      <c r="Y104" s="57" t="n">
        <f aca="false">M104*S104</f>
        <v>0.000116692487693555</v>
      </c>
      <c r="Z104" s="57" t="n">
        <f aca="false">T104*f_stroke_fatal</f>
        <v>6.83908348260212E-006</v>
      </c>
      <c r="AA104" s="57" t="n">
        <f aca="false">T104*(1-f_stroke_fatal)*f_stroke_major</f>
        <v>7.33193034673445E-006</v>
      </c>
      <c r="AB104" s="57" t="n">
        <f aca="false">T104*(1-f_stroke_fatal)*(1-f_stroke_major)</f>
        <v>1.4685878502318E-005</v>
      </c>
      <c r="AC104" s="57" t="n">
        <f aca="false">U104*(1-f_bleed_fatal)</f>
        <v>4.89624422304838E-006</v>
      </c>
      <c r="AD104" s="57" t="n">
        <f aca="false">V104*(1-f_bleed_fatal)</f>
        <v>2.03904103471044E-005</v>
      </c>
      <c r="AE104" s="57" t="n">
        <f aca="false">W104*f_mi_fatal</f>
        <v>4.8471526289772E-007</v>
      </c>
      <c r="AF104" s="57" t="n">
        <f aca="false">W104-AE104</f>
        <v>3.5211960007198E-006</v>
      </c>
      <c r="AG104" s="57" t="n">
        <f aca="false">M104-T104-U104-V104-AE104</f>
        <v>0.00260764398279605</v>
      </c>
      <c r="AH104" s="19" t="n">
        <f aca="false">Z104*c_stroke_fatal+AA104*c_stroke_major+AB104*c_stroke_minor+U104*c_ich+V104*c_major_bleed+AE104*c_mi_fatal+AF104*c_mi_nonfatal+X104*c_tia+Y104*c_minor_bleed</f>
        <v>1.42912178023059</v>
      </c>
      <c r="AI104" s="57" t="n">
        <f aca="false">dt*(AF104*dec_mi+AD104*dec_major_bleed+Y104*dec_minor_bleed+X104*dec_tia)</f>
        <v>1.09590745122337E-006</v>
      </c>
      <c r="AJ104" s="57" t="n">
        <f aca="false">G104*L104+Z104+U104-AC104+V104-AD104+AE104</f>
        <v>0.000380934143492319</v>
      </c>
      <c r="AK104" s="57" t="n">
        <f aca="false">1-EXP(LN(1-E104)*hr_death_prior_stroke*dt)</f>
        <v>0.259210383284408</v>
      </c>
      <c r="AL104" s="57" t="n">
        <f aca="false">H104*(1-AK104)</f>
        <v>0.000267823004827033</v>
      </c>
      <c r="AM104" s="57" t="n">
        <f aca="false">(1-EXP(-r_stroke*F104*rr_stroke_prior*rr_asa_stroke*dt))</f>
        <v>0.0380644238315843</v>
      </c>
      <c r="AN104" s="57" t="n">
        <f aca="false">(1-EXP(-r_ich*rr_asa_ich*dt))</f>
        <v>0.00102357767802375</v>
      </c>
      <c r="AO104" s="57" t="n">
        <f aca="false">(1-EXP(-r_mb*rr_asa_mb*dt))</f>
        <v>0.00951809672747972</v>
      </c>
      <c r="AP104" s="57" t="n">
        <f aca="false">(1-EXP(-r_mi*rr_asa_mi*dt))</f>
        <v>0.00213413516393479</v>
      </c>
      <c r="AQ104" s="57" t="n">
        <f aca="false">(1-EXP(-r_tia*rr_asa_tia*dt))</f>
        <v>0.00312764565589152</v>
      </c>
      <c r="AR104" s="57" t="n">
        <f aca="false">(1-EXP(-r_minor*rr_asa_minor*dt))</f>
        <v>0.0278181950466747</v>
      </c>
      <c r="AS104" s="57" t="n">
        <f aca="false">AL104*AM104</f>
        <v>1.01945283675846E-005</v>
      </c>
      <c r="AT104" s="57" t="n">
        <f aca="false">AL104*AN104</f>
        <v>2.74137649402196E-007</v>
      </c>
      <c r="AU104" s="57" t="n">
        <f aca="false">AL104*AO104</f>
        <v>2.54916526578796E-006</v>
      </c>
      <c r="AV104" s="57" t="n">
        <f aca="false">AL104*AP104</f>
        <v>5.71570492312047E-007</v>
      </c>
      <c r="AW104" s="57" t="n">
        <f aca="false">AL104*AQ104</f>
        <v>8.37655457595082E-007</v>
      </c>
      <c r="AX104" s="57" t="n">
        <f aca="false">AL104*AR104</f>
        <v>7.45035258626489E-006</v>
      </c>
      <c r="AY104" s="57" t="n">
        <f aca="false">AS104*f_stroke_fatal_recur</f>
        <v>3.79328206029455E-006</v>
      </c>
      <c r="AZ104" s="57" t="n">
        <f aca="false">AS104*(1-f_stroke_fatal_recur)*f_stroke_major</f>
        <v>2.13161502032759E-006</v>
      </c>
      <c r="BA104" s="57" t="n">
        <f aca="false">AS104*(1-f_stroke_fatal_recur)*(1-f_stroke_major)</f>
        <v>4.26963128696246E-006</v>
      </c>
      <c r="BB104" s="57" t="n">
        <f aca="false">AT104*(1-f_bleed_fatal)</f>
        <v>2.51110086852412E-007</v>
      </c>
      <c r="BC104" s="57" t="n">
        <f aca="false">AU104*(1-f_bleed_fatal)</f>
        <v>2.33503538346177E-006</v>
      </c>
      <c r="BD104" s="57" t="n">
        <f aca="false">AV104*f_mi_fatal</f>
        <v>6.91600295697577E-008</v>
      </c>
      <c r="BE104" s="57" t="n">
        <f aca="false">AV104-BD104</f>
        <v>5.0241046274229E-007</v>
      </c>
      <c r="BF104" s="57" t="n">
        <f aca="false">AL104-AS104-AT104-AU104-BD104</f>
        <v>0.000254736013514688</v>
      </c>
      <c r="BG104" s="19" t="n">
        <f aca="false">AY104*c_stroke_fatal+AZ104*c_stroke_major+BA104*c_stroke_minor+AT104*c_ich+AU104*c_major_bleed+BD104*c_mi_fatal+BE104*c_mi_nonfatal+AW104*c_tia+AX104*c_minor_bleed</f>
        <v>0.387566383056149</v>
      </c>
      <c r="BH104" s="57" t="n">
        <f aca="false">dt*(BE104*dec_mi+BC104*dec_major_bleed+AX104*dec_minor_bleed+AW104*dec_tia)</f>
        <v>1.15189414718752E-007</v>
      </c>
      <c r="BI104" s="57" t="n">
        <f aca="false">H104*AK104+AY104+AT104-BB104+AU104-BC104+BD104</f>
        <v>9.78137960719333E-005</v>
      </c>
      <c r="BJ104" s="57" t="n">
        <f aca="false">1-EXP(LN(1-E104)*hr_death_prior_stroke*dt)</f>
        <v>0.259210383284408</v>
      </c>
      <c r="BK104" s="57" t="n">
        <f aca="false">I104*(1-BJ104)</f>
        <v>0.000133974055870215</v>
      </c>
      <c r="BL104" s="57" t="n">
        <f aca="false">(1-EXP(-r_stroke*F104*rr_stroke_prior*rr_asa_stroke*dt))</f>
        <v>0.0380644238315843</v>
      </c>
      <c r="BM104" s="57" t="n">
        <f aca="false">(1-EXP(-r_ich*rr_asa_ich*dt))</f>
        <v>0.00102357767802375</v>
      </c>
      <c r="BN104" s="57" t="n">
        <f aca="false">(1-EXP(-r_mb*rr_asa_mb*dt))</f>
        <v>0.00951809672747972</v>
      </c>
      <c r="BO104" s="57" t="n">
        <f aca="false">(1-EXP(-r_mi*rr_asa_mi*dt))</f>
        <v>0.00213413516393479</v>
      </c>
      <c r="BP104" s="57" t="n">
        <f aca="false">(1-EXP(-r_tia*rr_asa_tia*dt))</f>
        <v>0.00312764565589152</v>
      </c>
      <c r="BQ104" s="57" t="n">
        <f aca="false">(1-EXP(-r_minor*rr_asa_minor*dt))</f>
        <v>0.0278181950466747</v>
      </c>
      <c r="BR104" s="57" t="n">
        <f aca="false">BK104*BL104</f>
        <v>5.09964524508021E-006</v>
      </c>
      <c r="BS104" s="57" t="n">
        <f aca="false">BK104*BM104</f>
        <v>1.37132853023058E-007</v>
      </c>
      <c r="BT104" s="57" t="n">
        <f aca="false">BK104*BN104</f>
        <v>1.27517802274548E-006</v>
      </c>
      <c r="BU104" s="57" t="n">
        <f aca="false">BK104*BO104</f>
        <v>2.8591874368759E-007</v>
      </c>
      <c r="BV104" s="57" t="n">
        <f aca="false">BK104*BP104</f>
        <v>4.19023373844646E-007</v>
      </c>
      <c r="BW104" s="57" t="n">
        <f aca="false">BK104*BQ104</f>
        <v>3.72691641739174E-006</v>
      </c>
      <c r="BX104" s="57" t="n">
        <f aca="false">BR104*f_stroke_fatal_recur</f>
        <v>1.8975269992419E-006</v>
      </c>
      <c r="BY104" s="57" t="n">
        <f aca="false">BR104*(1-f_stroke_fatal_recur)*f_stroke_major</f>
        <v>1.06630537586416E-006</v>
      </c>
      <c r="BZ104" s="57" t="n">
        <f aca="false">BR104*(1-f_stroke_fatal_recur)*(1-f_stroke_major)</f>
        <v>2.13581286997416E-006</v>
      </c>
      <c r="CA104" s="57" t="n">
        <f aca="false">BS104*(1-f_bleed_fatal)</f>
        <v>1.25613693369121E-007</v>
      </c>
      <c r="CB104" s="57" t="n">
        <f aca="false">BT104*(1-f_bleed_fatal)</f>
        <v>1.16806306883486E-006</v>
      </c>
      <c r="CC104" s="57" t="n">
        <f aca="false">BU104*f_mi_fatal</f>
        <v>3.45961679861984E-008</v>
      </c>
      <c r="CD104" s="57" t="n">
        <f aca="false">BU104-CC104</f>
        <v>2.51322575701392E-007</v>
      </c>
      <c r="CE104" s="57" t="n">
        <f aca="false">BK104-BR104-BS104-BT104-CC104</f>
        <v>0.00012742750358138</v>
      </c>
      <c r="CF104" s="19" t="n">
        <f aca="false">BX104*c_stroke_fatal+BY104*c_stroke_major+BZ104*c_stroke_minor+BS104*c_ich+BT104*c_major_bleed+CC104*c_mi_fatal+CD104*c_mi_nonfatal+BV104*c_tia+BW104*c_minor_bleed</f>
        <v>0.193873712568177</v>
      </c>
      <c r="CG104" s="57" t="n">
        <f aca="false">dt*(CD104*dec_mi+CB104*dec_major_bleed+BW104*dec_minor_bleed+BV104*dec_tia)</f>
        <v>5.7621611306893E-008</v>
      </c>
      <c r="CH104" s="57" t="n">
        <f aca="false">I104*BJ104+BX104+BS104-CA104+BT104-CB104+CC104</f>
        <v>4.89297436875606E-005</v>
      </c>
      <c r="CI104" s="57" t="n">
        <f aca="false">1-EXP(LN(1-E104)*dt)</f>
        <v>0.122301001522938</v>
      </c>
      <c r="CJ104" s="57" t="n">
        <f aca="false">J104*(1-CI104)</f>
        <v>0.00244163920449069</v>
      </c>
      <c r="CK104" s="57" t="n">
        <f aca="false">(1-EXP(-r_stroke*F104*rr_asa_stroke*dt))</f>
        <v>0.0174852363410571</v>
      </c>
      <c r="CL104" s="57" t="n">
        <f aca="false">(1-EXP(-r_ich*rr_asa_ich*dt))</f>
        <v>0.00102357767802375</v>
      </c>
      <c r="CM104" s="57" t="n">
        <f aca="false">(1-EXP(-r_mb*rr_asa_mb*dt))</f>
        <v>0.00951809672747972</v>
      </c>
      <c r="CN104" s="57" t="n">
        <f aca="false">(1-EXP(-r_mi*rr_asa_mi*dt))</f>
        <v>0.00213413516393479</v>
      </c>
      <c r="CO104" s="57" t="n">
        <f aca="false">(1-EXP(-r_tia*rr_asa_tia*dt))</f>
        <v>0.00312764565589152</v>
      </c>
      <c r="CP104" s="57" t="n">
        <f aca="false">(1-EXP(-r_minor*rr_asa_minor*dt))</f>
        <v>0.0278181950466747</v>
      </c>
      <c r="CQ104" s="57" t="n">
        <f aca="false">CJ104*CK104</f>
        <v>4.26926385501105E-005</v>
      </c>
      <c r="CR104" s="57" t="n">
        <f aca="false">CJ104*CL104</f>
        <v>2.49920738750433E-006</v>
      </c>
      <c r="CS104" s="57" t="n">
        <f aca="false">CJ104*CM104</f>
        <v>2.3239758121949E-005</v>
      </c>
      <c r="CT104" s="57" t="n">
        <f aca="false">CJ104*CN104</f>
        <v>5.21078808394536E-006</v>
      </c>
      <c r="CU104" s="57" t="n">
        <f aca="false">CJ104*CO104</f>
        <v>7.63658225117974E-006</v>
      </c>
      <c r="CV104" s="57" t="n">
        <f aca="false">CJ104*CP104</f>
        <v>6.79219956241298E-005</v>
      </c>
      <c r="CW104" s="57" t="n">
        <f aca="false">CQ104*f_stroke_fatal</f>
        <v>1.01181553363762E-005</v>
      </c>
      <c r="CX104" s="57" t="n">
        <f aca="false">CQ104*(1-f_stroke_fatal)*f_stroke_major</f>
        <v>1.08473029101735E-005</v>
      </c>
      <c r="CY104" s="57" t="n">
        <f aca="false">CQ104*(1-f_stroke_fatal)*(1-f_stroke_major)</f>
        <v>2.17271803035608E-005</v>
      </c>
      <c r="CZ104" s="57" t="n">
        <f aca="false">CR104*(1-f_bleed_fatal)</f>
        <v>2.28927396695397E-006</v>
      </c>
      <c r="DA104" s="57" t="n">
        <f aca="false">CS104*(1-f_bleed_fatal)</f>
        <v>2.12876184397053E-005</v>
      </c>
      <c r="DB104" s="57" t="n">
        <f aca="false">CT104*f_mi_fatal</f>
        <v>6.30505358157388E-007</v>
      </c>
      <c r="DC104" s="57" t="n">
        <f aca="false">CT104-DB104</f>
        <v>4.58028272578797E-006</v>
      </c>
      <c r="DD104" s="57" t="n">
        <f aca="false">CJ104-CQ104-CR104-CS104-DB104</f>
        <v>0.00237257709507297</v>
      </c>
      <c r="DE104" s="19" t="n">
        <f aca="false">CW104*c_stroke_fatal+CX104*c_stroke_major+CY104*c_stroke_minor+CR104*c_ich+CS104*c_major_bleed+DB104*c_mi_fatal+DC104*c_mi_nonfatal+CU104*c_tia+CV104*c_minor_bleed</f>
        <v>1.90617872519084</v>
      </c>
      <c r="DF104" s="57" t="n">
        <f aca="false">dt*(DC104*dec_mi+DA104*dec_major_bleed+CV104*dec_minor_bleed+CU104*dec_tia)</f>
        <v>1.0501375380404E-006</v>
      </c>
      <c r="DG104" s="57" t="n">
        <f aca="false">J104*CI104+CW104+CR104-CZ104+CS104-DA104+DB104</f>
        <v>0.000353135481216456</v>
      </c>
      <c r="DH104" s="57" t="n">
        <f aca="false">AG104</f>
        <v>0.00260764398279605</v>
      </c>
      <c r="DI104" s="57" t="n">
        <f aca="false">AB104+AC104+BF104+BA104+BB104+BC104+CY104+CZ104</f>
        <v>0.000305190367267846</v>
      </c>
      <c r="DJ104" s="57" t="n">
        <f aca="false">AA104+AZ104+BY104+CX104+CE104+BZ104+CA104+CB104</f>
        <v>0.000152234146866658</v>
      </c>
      <c r="DK104" s="57" t="n">
        <f aca="false">AD104+DD104+DA104</f>
        <v>0.00241425512385978</v>
      </c>
      <c r="DL104" s="57" t="n">
        <f aca="false">K104+AJ104+BI104+CH104+DG104</f>
        <v>0.994520676379211</v>
      </c>
      <c r="DM104" s="58" t="n">
        <f aca="false">SUM(DH104:DL104)</f>
        <v>1</v>
      </c>
      <c r="DN104" s="19" t="n">
        <f aca="false">dt*(G104*Warfarin!$H$2+(H104+I104+J104)*c_aspirin)</f>
        <v>0.324063126605155</v>
      </c>
      <c r="DO104" s="19" t="n">
        <f aca="false">dt*(H104*c_lt_minor_stroke+I104*c_lt_major_stroke)</f>
        <v>2.15808114955361</v>
      </c>
      <c r="DP104" s="19" t="n">
        <f aca="false">AH104+BG104+CF104+DE104</f>
        <v>3.91674060104575</v>
      </c>
      <c r="DQ104" s="19" t="n">
        <f aca="false">DN104+DO104+DP104</f>
        <v>6.39888487720452</v>
      </c>
      <c r="DR104" s="57" t="n">
        <f aca="false">dt*(G104*(u_af-dec_per_year_over_70*MAX(B104-ref_age,0))+H104*(u_minor_stroke-dec_per_year_over_70*MAX(B104-ref_age,0))+I104*(u_major_stroke-dec_per_year_over_70*MAX(B104-ref_age,0))+J104*(u_af-dec_per_year_over_70*MAX(B104-ref_age,0)))-AI104-BH104-CG104-DF104</f>
        <v>0.00124730378141854</v>
      </c>
      <c r="DS104" s="57" t="n">
        <f aca="false">dt*(G104+H104+I104+J104)</f>
        <v>0.00159003419631465</v>
      </c>
      <c r="DT104" s="19" t="n">
        <f aca="false">DQ104*C104</f>
        <v>4.4431017778419</v>
      </c>
      <c r="DU104" s="19" t="n">
        <f aca="false">DN104*C104</f>
        <v>0.22501505833957</v>
      </c>
      <c r="DV104" s="19" t="n">
        <f aca="false">DP104*C104</f>
        <v>2.71961091062081</v>
      </c>
      <c r="DW104" s="19" t="n">
        <f aca="false">DO104*C104</f>
        <v>1.49847580888151</v>
      </c>
      <c r="DX104" s="57" t="n">
        <f aca="false">DR104*C104</f>
        <v>0.000866072410283888</v>
      </c>
      <c r="DY104" s="57" t="n">
        <f aca="false">DS104*C104</f>
        <v>0.0011040492054549</v>
      </c>
      <c r="DZ104" s="57" t="n">
        <f aca="false">T104+AS104+BR104+CQ104</f>
        <v>8.68437044944299E-005</v>
      </c>
      <c r="EA104" s="57" t="n">
        <f aca="false">U104+AT104+BS104+CR104</f>
        <v>8.2557226749169E-006</v>
      </c>
      <c r="EB104" s="57" t="n">
        <f aca="false">V104+AU104+BT104+CS104</f>
        <v>4.93243747151816E-005</v>
      </c>
      <c r="EC104" s="57" t="n">
        <f aca="false">G104*dt*C104</f>
        <v>0.000526995546509262</v>
      </c>
    </row>
    <row r="105" customFormat="false" ht="15" hidden="false" customHeight="false" outlineLevel="0" collapsed="false">
      <c r="A105" s="8" t="n">
        <v>99</v>
      </c>
      <c r="B105" s="54" t="n">
        <f aca="false">start_age+A105*dt</f>
        <v>94.75</v>
      </c>
      <c r="C105" s="16" t="n">
        <f aca="false">(1+disc_rate)^-(A105*dt)</f>
        <v>0.691775941868732</v>
      </c>
      <c r="D105" s="55" t="n">
        <f aca="false">IF(A105*dt&gt;=wane_start,(1-wane_decay)^(A105*dt-wane_start),1)</f>
        <v>1</v>
      </c>
      <c r="E105" s="25" t="n">
        <f aca="false">MIN(p_nonvasc_death*MIN(EXP(gomp_int+gomp_slope*INT(B105)),1)/qx_ref,0.999)</f>
        <v>0.406552354428485</v>
      </c>
      <c r="F105" s="55" t="n">
        <f aca="false">rr_stroke_per_decade^((B105-ref_age)/10)</f>
        <v>2.72788379673095</v>
      </c>
      <c r="G105" s="57" t="n">
        <f aca="false">DH104</f>
        <v>0.00260764398279605</v>
      </c>
      <c r="H105" s="57" t="n">
        <f aca="false">DI104</f>
        <v>0.000305190367267846</v>
      </c>
      <c r="I105" s="57" t="n">
        <f aca="false">DJ104</f>
        <v>0.000152234146866658</v>
      </c>
      <c r="J105" s="57" t="n">
        <f aca="false">DK104</f>
        <v>0.00241425512385978</v>
      </c>
      <c r="K105" s="57" t="n">
        <f aca="false">DL104</f>
        <v>0.994520676379211</v>
      </c>
      <c r="L105" s="57" t="n">
        <f aca="false">1-EXP(LN(1-E105)*dt)</f>
        <v>0.122301001522938</v>
      </c>
      <c r="M105" s="57" t="n">
        <f aca="false">G105*(1-L105)</f>
        <v>0.00228872651208483</v>
      </c>
      <c r="N105" s="57" t="n">
        <f aca="false">IF(Warfarin!$B$2=1,EXP(LN(or_apx_stroke)*D105)*(1-EXP(-r_stroke*F105*dt))/(1-(1-EXP(-r_stroke*F105*dt))+EXP(LN(or_apx_stroke)*D105)*(1-EXP(-r_stroke*F105*dt))),(1-EXP(-r_stroke*F105*dt)))</f>
        <v>0.0109394936462399</v>
      </c>
      <c r="O105" s="57" t="n">
        <f aca="false">IF(Warfarin!$B$2=1,EXP(LN(or_apx_ich)*D105)*(1-EXP(-r_ich*dt))/(1-(1-EXP(-r_ich*dt))+EXP(LN(or_apx_ich)*D105)*(1-EXP(-r_ich*dt))),(1-EXP(-r_ich*dt)))</f>
        <v>0.0020060281549299</v>
      </c>
      <c r="P105" s="57" t="n">
        <f aca="false">IF(Warfarin!$B$2=1,EXP(LN(or_apx_mb)*D105)*(1-EXP(-r_mb*dt))/(1-(1-EXP(-r_mb*dt))+EXP(LN(or_apx_mb)*D105)*(1-EXP(-r_mb*dt))),(1-EXP(-r_mb*dt)))</f>
        <v>0.00835410477572107</v>
      </c>
      <c r="Q105" s="57" t="n">
        <f aca="false">IF(Warfarin!$B$2=1,EXP(LN(or_apx_mi)*D105)*(1-EXP(-r_mi*dt))/(1-(1-EXP(-r_mi*dt))+EXP(LN(or_apx_mi)*D105)*(1-EXP(-r_mi*dt))),(1-EXP(-r_mi*dt)))</f>
        <v>0.00150338686144691</v>
      </c>
      <c r="R105" s="57" t="n">
        <f aca="false">(1-EXP(-r_tia*dt))</f>
        <v>0.0020060281549299</v>
      </c>
      <c r="S105" s="57" t="n">
        <f aca="false">(1-EXP(-r_minor*dt))</f>
        <v>0.0437937690785545</v>
      </c>
      <c r="T105" s="57" t="n">
        <f aca="false">M105*N105</f>
        <v>2.50375091369329E-005</v>
      </c>
      <c r="U105" s="57" t="n">
        <f aca="false">M105*O105</f>
        <v>4.59124982217667E-006</v>
      </c>
      <c r="V105" s="57" t="n">
        <f aca="false">M105*P105</f>
        <v>1.91202610849273E-005</v>
      </c>
      <c r="W105" s="57" t="n">
        <f aca="false">M105*Q105</f>
        <v>3.44084136771355E-006</v>
      </c>
      <c r="X105" s="57" t="n">
        <f aca="false">M105*R105</f>
        <v>4.59124982217667E-006</v>
      </c>
      <c r="Y105" s="57" t="n">
        <f aca="false">M105*S105</f>
        <v>0.000100231960354209</v>
      </c>
      <c r="Z105" s="57" t="n">
        <f aca="false">T105*f_stroke_fatal</f>
        <v>5.93388966545309E-006</v>
      </c>
      <c r="AA105" s="57" t="n">
        <f aca="false">T105*(1-f_stroke_fatal)*f_stroke_major</f>
        <v>6.36150528400276E-006</v>
      </c>
      <c r="AB105" s="57" t="n">
        <f aca="false">T105*(1-f_stroke_fatal)*(1-f_stroke_major)</f>
        <v>1.2742114187477E-005</v>
      </c>
      <c r="AC105" s="57" t="n">
        <f aca="false">U105*(1-f_bleed_fatal)</f>
        <v>4.20558483711383E-006</v>
      </c>
      <c r="AD105" s="57" t="n">
        <f aca="false">V105*(1-f_bleed_fatal)</f>
        <v>1.75141591537934E-005</v>
      </c>
      <c r="AE105" s="57" t="n">
        <f aca="false">W105*f_mi_fatal</f>
        <v>4.16341805493339E-007</v>
      </c>
      <c r="AF105" s="57" t="n">
        <f aca="false">W105-AE105</f>
        <v>3.02449956222021E-006</v>
      </c>
      <c r="AG105" s="57" t="n">
        <f aca="false">M105-T105-U105-V105-AE105</f>
        <v>0.0022395611502353</v>
      </c>
      <c r="AH105" s="19" t="n">
        <f aca="false">Z105*c_stroke_fatal+AA105*c_stroke_major+AB105*c_stroke_minor+U105*c_ich+V105*c_major_bleed+AE105*c_mi_fatal+AF105*c_mi_nonfatal+X105*c_tia+Y105*c_minor_bleed</f>
        <v>1.23681035732269</v>
      </c>
      <c r="AI105" s="57" t="n">
        <f aca="false">dt*(AF105*dec_mi+AD105*dec_major_bleed+Y105*dec_minor_bleed+X105*dec_tia)</f>
        <v>9.41319825928857E-007</v>
      </c>
      <c r="AJ105" s="57" t="n">
        <f aca="false">G105*L105+Z105+U105-AC105+V105-AD105+AE105</f>
        <v>0.000327259469098362</v>
      </c>
      <c r="AK105" s="57" t="n">
        <f aca="false">1-EXP(LN(1-E105)*hr_death_prior_stroke*dt)</f>
        <v>0.259210383284408</v>
      </c>
      <c r="AL105" s="57" t="n">
        <f aca="false">H105*(1-AK105)</f>
        <v>0.000226081855193638</v>
      </c>
      <c r="AM105" s="57" t="n">
        <f aca="false">(1-EXP(-r_stroke*F105*rr_stroke_prior*rr_asa_stroke*dt))</f>
        <v>0.0384446794543113</v>
      </c>
      <c r="AN105" s="57" t="n">
        <f aca="false">(1-EXP(-r_ich*rr_asa_ich*dt))</f>
        <v>0.00102357767802375</v>
      </c>
      <c r="AO105" s="57" t="n">
        <f aca="false">(1-EXP(-r_mb*rr_asa_mb*dt))</f>
        <v>0.00951809672747972</v>
      </c>
      <c r="AP105" s="57" t="n">
        <f aca="false">(1-EXP(-r_mi*rr_asa_mi*dt))</f>
        <v>0.00213413516393479</v>
      </c>
      <c r="AQ105" s="57" t="n">
        <f aca="false">(1-EXP(-r_tia*rr_asa_tia*dt))</f>
        <v>0.00312764565589152</v>
      </c>
      <c r="AR105" s="57" t="n">
        <f aca="false">(1-EXP(-r_minor*rr_asa_minor*dt))</f>
        <v>0.0278181950466747</v>
      </c>
      <c r="AS105" s="57" t="n">
        <f aca="false">AL105*AM105</f>
        <v>8.69164445335545E-006</v>
      </c>
      <c r="AT105" s="57" t="n">
        <f aca="false">AL105*AN105</f>
        <v>2.31412340382405E-007</v>
      </c>
      <c r="AU105" s="57" t="n">
        <f aca="false">AL105*AO105</f>
        <v>2.15186896606111E-006</v>
      </c>
      <c r="AV105" s="57" t="n">
        <f aca="false">AL105*AP105</f>
        <v>4.82489237096357E-007</v>
      </c>
      <c r="AW105" s="57" t="n">
        <f aca="false">AL105*AQ105</f>
        <v>7.07103932272279E-007</v>
      </c>
      <c r="AX105" s="57" t="n">
        <f aca="false">AL105*AR105</f>
        <v>6.2891891442907E-006</v>
      </c>
      <c r="AY105" s="57" t="n">
        <f aca="false">AS105*f_stroke_fatal_recur</f>
        <v>3.23407398464903E-006</v>
      </c>
      <c r="AZ105" s="57" t="n">
        <f aca="false">AS105*(1-f_stroke_fatal_recur)*f_stroke_major</f>
        <v>1.81737096607924E-006</v>
      </c>
      <c r="BA105" s="57" t="n">
        <f aca="false">AS105*(1-f_stroke_fatal_recur)*(1-f_stroke_major)</f>
        <v>3.64019950262718E-006</v>
      </c>
      <c r="BB105" s="57" t="n">
        <f aca="false">AT105*(1-f_bleed_fatal)</f>
        <v>2.11973703790283E-007</v>
      </c>
      <c r="BC105" s="57" t="n">
        <f aca="false">AU105*(1-f_bleed_fatal)</f>
        <v>1.97111197291198E-006</v>
      </c>
      <c r="BD105" s="57" t="n">
        <f aca="false">AV105*f_mi_fatal</f>
        <v>5.83811976886592E-008</v>
      </c>
      <c r="BE105" s="57" t="n">
        <f aca="false">AV105-BD105</f>
        <v>4.24108039407698E-007</v>
      </c>
      <c r="BF105" s="57" t="n">
        <f aca="false">AL105-AS105-AT105-AU105-BD105</f>
        <v>0.000214948548236151</v>
      </c>
      <c r="BG105" s="19" t="n">
        <f aca="false">AY105*c_stroke_fatal+AZ105*c_stroke_major+BA105*c_stroke_minor+AT105*c_ich+AU105*c_major_bleed+BD105*c_mi_fatal+BE105*c_mi_nonfatal+AW105*c_tia+AX105*c_minor_bleed</f>
        <v>0.330126971077974</v>
      </c>
      <c r="BH105" s="57" t="n">
        <f aca="false">dt*(BE105*dec_mi+BC105*dec_major_bleed+AX105*dec_minor_bleed+AW105*dec_tia)</f>
        <v>9.7236742583422E-008</v>
      </c>
      <c r="BI105" s="57" t="n">
        <f aca="false">H105*AK105+AY105+AT105-BB105+AU105-BC105+BD105</f>
        <v>8.26011628862864E-005</v>
      </c>
      <c r="BJ105" s="57" t="n">
        <f aca="false">1-EXP(LN(1-E105)*hr_death_prior_stroke*dt)</f>
        <v>0.259210383284408</v>
      </c>
      <c r="BK105" s="57" t="n">
        <f aca="false">I105*(1-BJ105)</f>
        <v>0.000112773475308377</v>
      </c>
      <c r="BL105" s="57" t="n">
        <f aca="false">(1-EXP(-r_stroke*F105*rr_stroke_prior*rr_asa_stroke*dt))</f>
        <v>0.0384446794543113</v>
      </c>
      <c r="BM105" s="57" t="n">
        <f aca="false">(1-EXP(-r_ich*rr_asa_ich*dt))</f>
        <v>0.00102357767802375</v>
      </c>
      <c r="BN105" s="57" t="n">
        <f aca="false">(1-EXP(-r_mb*rr_asa_mb*dt))</f>
        <v>0.00951809672747972</v>
      </c>
      <c r="BO105" s="57" t="n">
        <f aca="false">(1-EXP(-r_mi*rr_asa_mi*dt))</f>
        <v>0.00213413516393479</v>
      </c>
      <c r="BP105" s="57" t="n">
        <f aca="false">(1-EXP(-r_tia*rr_asa_tia*dt))</f>
        <v>0.00312764565589152</v>
      </c>
      <c r="BQ105" s="57" t="n">
        <f aca="false">(1-EXP(-r_minor*rr_asa_minor*dt))</f>
        <v>0.0278181950466747</v>
      </c>
      <c r="BR105" s="57" t="n">
        <f aca="false">BK105*BL105</f>
        <v>4.33554010917923E-006</v>
      </c>
      <c r="BS105" s="57" t="n">
        <f aca="false">BK105*BM105</f>
        <v>1.15432411998816E-007</v>
      </c>
      <c r="BT105" s="57" t="n">
        <f aca="false">BK105*BN105</f>
        <v>1.07338884627918E-006</v>
      </c>
      <c r="BU105" s="57" t="n">
        <f aca="false">BK105*BO105</f>
        <v>2.40673839214739E-007</v>
      </c>
      <c r="BV105" s="57" t="n">
        <f aca="false">BK105*BP105</f>
        <v>3.52715470148034E-007</v>
      </c>
      <c r="BW105" s="57" t="n">
        <f aca="false">BK105*BQ105</f>
        <v>3.13715453221978E-006</v>
      </c>
      <c r="BX105" s="57" t="n">
        <f aca="false">BR105*f_stroke_fatal_recur</f>
        <v>1.6132111192245E-006</v>
      </c>
      <c r="BY105" s="57" t="n">
        <f aca="false">BR105*(1-f_stroke_fatal_recur)*f_stroke_major</f>
        <v>9.06535553654926E-007</v>
      </c>
      <c r="BZ105" s="57" t="n">
        <f aca="false">BR105*(1-f_stroke_fatal_recur)*(1-f_stroke_major)</f>
        <v>1.81579343629981E-006</v>
      </c>
      <c r="CA105" s="57" t="n">
        <f aca="false">BS105*(1-f_bleed_fatal)</f>
        <v>1.05736089390916E-007</v>
      </c>
      <c r="CB105" s="57" t="n">
        <f aca="false">BT105*(1-f_bleed_fatal)</f>
        <v>9.83224183191725E-007</v>
      </c>
      <c r="CC105" s="57" t="n">
        <f aca="false">BU105*f_mi_fatal</f>
        <v>2.91215345449834E-008</v>
      </c>
      <c r="CD105" s="57" t="n">
        <f aca="false">BU105-CC105</f>
        <v>2.11552304669755E-007</v>
      </c>
      <c r="CE105" s="57" t="n">
        <f aca="false">BK105-BR105-BS105-BT105-CC105</f>
        <v>0.000107219992406375</v>
      </c>
      <c r="CF105" s="19" t="n">
        <f aca="false">BX105*c_stroke_fatal+BY105*c_stroke_major+BZ105*c_stroke_minor+BS105*c_ich+BT105*c_major_bleed+CC105*c_mi_fatal+CD105*c_mi_nonfatal+BV105*c_tia+BW105*c_minor_bleed</f>
        <v>0.164672949050264</v>
      </c>
      <c r="CG105" s="57" t="n">
        <f aca="false">dt*(CD105*dec_mi+CB105*dec_major_bleed+BW105*dec_minor_bleed+BV105*dec_tia)</f>
        <v>4.85033413203657E-008</v>
      </c>
      <c r="CH105" s="57" t="n">
        <f aca="false">I105*BJ105+BX105+BS105-CA105+BT105-CB105+CC105</f>
        <v>4.1202865197746E-005</v>
      </c>
      <c r="CI105" s="57" t="n">
        <f aca="false">1-EXP(LN(1-E105)*dt)</f>
        <v>0.122301001522938</v>
      </c>
      <c r="CJ105" s="57" t="n">
        <f aca="false">J105*(1-CI105)</f>
        <v>0.00211898930427985</v>
      </c>
      <c r="CK105" s="57" t="n">
        <f aca="false">(1-EXP(-r_stroke*F105*rr_asa_stroke*dt))</f>
        <v>0.0176617965727137</v>
      </c>
      <c r="CL105" s="57" t="n">
        <f aca="false">(1-EXP(-r_ich*rr_asa_ich*dt))</f>
        <v>0.00102357767802375</v>
      </c>
      <c r="CM105" s="57" t="n">
        <f aca="false">(1-EXP(-r_mb*rr_asa_mb*dt))</f>
        <v>0.00951809672747972</v>
      </c>
      <c r="CN105" s="57" t="n">
        <f aca="false">(1-EXP(-r_mi*rr_asa_mi*dt))</f>
        <v>0.00213413516393479</v>
      </c>
      <c r="CO105" s="57" t="n">
        <f aca="false">(1-EXP(-r_tia*rr_asa_tia*dt))</f>
        <v>0.00312764565589152</v>
      </c>
      <c r="CP105" s="57" t="n">
        <f aca="false">(1-EXP(-r_minor*rr_asa_minor*dt))</f>
        <v>0.0278181950466747</v>
      </c>
      <c r="CQ105" s="57" t="n">
        <f aca="false">CJ105*CK105</f>
        <v>3.74251580319468E-005</v>
      </c>
      <c r="CR105" s="57" t="n">
        <f aca="false">CJ105*CL105</f>
        <v>2.16895015183192E-006</v>
      </c>
      <c r="CS105" s="57" t="n">
        <f aca="false">CJ105*CM105</f>
        <v>2.01687451626305E-005</v>
      </c>
      <c r="CT105" s="57" t="n">
        <f aca="false">CJ105*CN105</f>
        <v>4.52220958626534E-006</v>
      </c>
      <c r="CU105" s="57" t="n">
        <f aca="false">CJ105*CO105</f>
        <v>6.62744769241146E-006</v>
      </c>
      <c r="CV105" s="57" t="n">
        <f aca="false">CJ105*CP105</f>
        <v>5.89464577682743E-005</v>
      </c>
      <c r="CW105" s="57" t="n">
        <f aca="false">CQ105*f_stroke_fatal</f>
        <v>8.86976245357139E-006</v>
      </c>
      <c r="CX105" s="57" t="n">
        <f aca="false">CQ105*(1-f_stroke_fatal)*f_stroke_major</f>
        <v>9.50894672759901E-006</v>
      </c>
      <c r="CY105" s="57" t="n">
        <f aca="false">CQ105*(1-f_stroke_fatal)*(1-f_stroke_major)</f>
        <v>1.90464488507764E-005</v>
      </c>
      <c r="CZ105" s="57" t="n">
        <f aca="false">CR105*(1-f_bleed_fatal)</f>
        <v>1.98675833907804E-006</v>
      </c>
      <c r="DA105" s="57" t="n">
        <f aca="false">CS105*(1-f_bleed_fatal)</f>
        <v>1.84745705689696E-005</v>
      </c>
      <c r="DB105" s="57" t="n">
        <f aca="false">CT105*f_mi_fatal</f>
        <v>5.47187359938106E-007</v>
      </c>
      <c r="DC105" s="57" t="n">
        <f aca="false">CT105-DB105</f>
        <v>3.97502222632723E-006</v>
      </c>
      <c r="DD105" s="57" t="n">
        <f aca="false">CJ105-CQ105-CR105-CS105-DB105</f>
        <v>0.0020586792635735</v>
      </c>
      <c r="DE105" s="19" t="n">
        <f aca="false">CW105*c_stroke_fatal+CX105*c_stroke_major+CY105*c_stroke_minor+CR105*c_ich+CS105*c_major_bleed+DB105*c_mi_fatal+DC105*c_mi_nonfatal+CU105*c_tia+CV105*c_minor_bleed</f>
        <v>1.66811032676643</v>
      </c>
      <c r="DF105" s="57" t="n">
        <f aca="false">dt*(DC105*dec_mi+DA105*dec_major_bleed+CV105*dec_minor_bleed+CU105*dec_tia)</f>
        <v>9.11367333485513E-007</v>
      </c>
      <c r="DG105" s="57" t="n">
        <f aca="false">J105*CI105+CW105+CR105-CZ105+CS105-DA105+DB105</f>
        <v>0.000306559135799859</v>
      </c>
      <c r="DH105" s="57" t="n">
        <f aca="false">AG105</f>
        <v>0.0022395611502353</v>
      </c>
      <c r="DI105" s="57" t="n">
        <f aca="false">AB105+AC105+BF105+BA105+BB105+BC105+CY105+CZ105</f>
        <v>0.000258752739629925</v>
      </c>
      <c r="DJ105" s="57" t="n">
        <f aca="false">AA105+AZ105+BY105+CX105+CE105+BZ105+CA105+CB105</f>
        <v>0.000128719104646593</v>
      </c>
      <c r="DK105" s="57" t="n">
        <f aca="false">AD105+DD105+DA105</f>
        <v>0.00209466799329626</v>
      </c>
      <c r="DL105" s="57" t="n">
        <f aca="false">K105+AJ105+BI105+CH105+DG105</f>
        <v>0.995278299012193</v>
      </c>
      <c r="DM105" s="58" t="n">
        <f aca="false">SUM(DH105:DL105)</f>
        <v>1</v>
      </c>
      <c r="DN105" s="19" t="n">
        <f aca="false">dt*(G105*Warfarin!$H$2+(H105+I105+J105)*c_aspirin)</f>
        <v>0.278510593947097</v>
      </c>
      <c r="DO105" s="19" t="n">
        <f aca="false">dt*(H105*c_lt_minor_stroke+I105*c_lt_major_stroke)</f>
        <v>1.81891423146591</v>
      </c>
      <c r="DP105" s="19" t="n">
        <f aca="false">AH105+BG105+CF105+DE105</f>
        <v>3.39972060421736</v>
      </c>
      <c r="DQ105" s="19" t="n">
        <f aca="false">DN105+DO105+DP105</f>
        <v>5.49714542963037</v>
      </c>
      <c r="DR105" s="57" t="n">
        <f aca="false">dt*(G105*(u_af-dec_per_year_over_70*MAX(B105-ref_age,0))+H105*(u_minor_stroke-dec_per_year_over_70*MAX(B105-ref_age,0))+I105*(u_major_stroke-dec_per_year_over_70*MAX(B105-ref_age,0))+J105*(u_af-dec_per_year_over_70*MAX(B105-ref_age,0)))-AI105-BH105-CG105-DF105</f>
        <v>0.00107498564370712</v>
      </c>
      <c r="DS105" s="57" t="n">
        <f aca="false">dt*(G105+H105+I105+J105)</f>
        <v>0.00136983090519758</v>
      </c>
      <c r="DT105" s="19" t="n">
        <f aca="false">DQ105*C105</f>
        <v>3.80279295717194</v>
      </c>
      <c r="DU105" s="19" t="n">
        <f aca="false">DN105*C105</f>
        <v>0.192666928448173</v>
      </c>
      <c r="DV105" s="19" t="n">
        <f aca="false">DP105*C105</f>
        <v>2.351844923073</v>
      </c>
      <c r="DW105" s="19" t="n">
        <f aca="false">DO105*C105</f>
        <v>1.25828110565077</v>
      </c>
      <c r="DX105" s="57" t="n">
        <f aca="false">DR105*C105</f>
        <v>0.000743649206170855</v>
      </c>
      <c r="DY105" s="57" t="n">
        <f aca="false">DS105*C105</f>
        <v>0.000947616064643957</v>
      </c>
      <c r="DZ105" s="57" t="n">
        <f aca="false">T105+AS105+BR105+CQ105</f>
        <v>7.54898517314143E-005</v>
      </c>
      <c r="EA105" s="57" t="n">
        <f aca="false">U105+AT105+BS105+CR105</f>
        <v>7.10704472638981E-006</v>
      </c>
      <c r="EB105" s="57" t="n">
        <f aca="false">V105+AU105+BT105+CS105</f>
        <v>4.25142640598981E-005</v>
      </c>
      <c r="EC105" s="57" t="n">
        <f aca="false">G105*dt*C105</f>
        <v>0.000450976343064267</v>
      </c>
    </row>
    <row r="106" customFormat="false" ht="15" hidden="false" customHeight="false" outlineLevel="0" collapsed="false">
      <c r="A106" s="8" t="n">
        <v>100</v>
      </c>
      <c r="B106" s="54" t="n">
        <f aca="false">start_age+A106*dt</f>
        <v>95</v>
      </c>
      <c r="C106" s="16" t="n">
        <f aca="false">(1+disc_rate)^-(A106*dt)</f>
        <v>0.689205832024461</v>
      </c>
      <c r="D106" s="55" t="n">
        <f aca="false">IF(A106*dt&gt;=wane_start,(1-wane_decay)^(A106*dt-wane_start),1)</f>
        <v>1</v>
      </c>
      <c r="E106" s="25" t="n">
        <f aca="false">MIN(p_nonvasc_death*MIN(EXP(gomp_int+gomp_slope*INT(B106)),1)/qx_ref,0.999)</f>
        <v>0.451396568249239</v>
      </c>
      <c r="F106" s="55" t="n">
        <f aca="false">rr_stroke_per_decade^((B106-ref_age)/10)</f>
        <v>2.75567596063108</v>
      </c>
      <c r="G106" s="57" t="n">
        <f aca="false">DH105</f>
        <v>0.0022395611502353</v>
      </c>
      <c r="H106" s="57" t="n">
        <f aca="false">DI105</f>
        <v>0.000258752739629925</v>
      </c>
      <c r="I106" s="57" t="n">
        <f aca="false">DJ105</f>
        <v>0.000128719104646593</v>
      </c>
      <c r="J106" s="57" t="n">
        <f aca="false">DK105</f>
        <v>0.00209466799329626</v>
      </c>
      <c r="K106" s="57" t="n">
        <f aca="false">DL105</f>
        <v>0.995278299012193</v>
      </c>
      <c r="L106" s="57" t="n">
        <f aca="false">1-EXP(LN(1-E106)*dt)</f>
        <v>0.139373667543085</v>
      </c>
      <c r="M106" s="57" t="n">
        <f aca="false">G106*(1-L106)</f>
        <v>0.00192742529904</v>
      </c>
      <c r="N106" s="57" t="n">
        <f aca="false">IF(Warfarin!$B$2=1,EXP(LN(or_apx_stroke)*D106)*(1-EXP(-r_stroke*F106*dt))/(1-(1-EXP(-r_stroke*F106*dt))+EXP(LN(or_apx_stroke)*D106)*(1-EXP(-r_stroke*F106*dt))),(1-EXP(-r_stroke*F106*dt)))</f>
        <v>0.0110503290792739</v>
      </c>
      <c r="O106" s="57" t="n">
        <f aca="false">IF(Warfarin!$B$2=1,EXP(LN(or_apx_ich)*D106)*(1-EXP(-r_ich*dt))/(1-(1-EXP(-r_ich*dt))+EXP(LN(or_apx_ich)*D106)*(1-EXP(-r_ich*dt))),(1-EXP(-r_ich*dt)))</f>
        <v>0.0020060281549299</v>
      </c>
      <c r="P106" s="57" t="n">
        <f aca="false">IF(Warfarin!$B$2=1,EXP(LN(or_apx_mb)*D106)*(1-EXP(-r_mb*dt))/(1-(1-EXP(-r_mb*dt))+EXP(LN(or_apx_mb)*D106)*(1-EXP(-r_mb*dt))),(1-EXP(-r_mb*dt)))</f>
        <v>0.00835410477572107</v>
      </c>
      <c r="Q106" s="57" t="n">
        <f aca="false">IF(Warfarin!$B$2=1,EXP(LN(or_apx_mi)*D106)*(1-EXP(-r_mi*dt))/(1-(1-EXP(-r_mi*dt))+EXP(LN(or_apx_mi)*D106)*(1-EXP(-r_mi*dt))),(1-EXP(-r_mi*dt)))</f>
        <v>0.00150338686144691</v>
      </c>
      <c r="R106" s="57" t="n">
        <f aca="false">(1-EXP(-r_tia*dt))</f>
        <v>0.0020060281549299</v>
      </c>
      <c r="S106" s="57" t="n">
        <f aca="false">(1-EXP(-r_minor*dt))</f>
        <v>0.0437937690785545</v>
      </c>
      <c r="T106" s="57" t="n">
        <f aca="false">M106*N106</f>
        <v>2.129868383011E-005</v>
      </c>
      <c r="U106" s="57" t="n">
        <f aca="false">M106*O106</f>
        <v>3.86646941639841E-006</v>
      </c>
      <c r="V106" s="57" t="n">
        <f aca="false">M106*P106</f>
        <v>1.61019128955557E-005</v>
      </c>
      <c r="W106" s="57" t="n">
        <f aca="false">M106*Q106</f>
        <v>2.89766587099711E-006</v>
      </c>
      <c r="X106" s="57" t="n">
        <f aca="false">M106*R106</f>
        <v>3.86646941639841E-006</v>
      </c>
      <c r="Y106" s="57" t="n">
        <f aca="false">M106*S106</f>
        <v>8.44092184623215E-005</v>
      </c>
      <c r="Z106" s="57" t="n">
        <f aca="false">T106*f_stroke_fatal</f>
        <v>5.04778806773606E-006</v>
      </c>
      <c r="AA106" s="57" t="n">
        <f aca="false">T106*(1-f_stroke_fatal)*f_stroke_major</f>
        <v>5.41154828887051E-006</v>
      </c>
      <c r="AB106" s="57" t="n">
        <f aca="false">T106*(1-f_stroke_fatal)*(1-f_stroke_major)</f>
        <v>1.08393474735034E-005</v>
      </c>
      <c r="AC106" s="57" t="n">
        <f aca="false">U106*(1-f_bleed_fatal)</f>
        <v>3.54168598542094E-006</v>
      </c>
      <c r="AD106" s="57" t="n">
        <f aca="false">V106*(1-f_bleed_fatal)</f>
        <v>1.4749352212329E-005</v>
      </c>
      <c r="AE106" s="57" t="n">
        <f aca="false">W106*f_mi_fatal</f>
        <v>3.50617570390651E-007</v>
      </c>
      <c r="AF106" s="57" t="n">
        <f aca="false">W106-AE106</f>
        <v>2.54704830060646E-006</v>
      </c>
      <c r="AG106" s="57" t="n">
        <f aca="false">M106-T106-U106-V106-AE106</f>
        <v>0.00188580761532754</v>
      </c>
      <c r="AH106" s="19" t="n">
        <f aca="false">Z106*c_stroke_fatal+AA106*c_stroke_major+AB106*c_stroke_minor+U106*c_ich+V106*c_major_bleed+AE106*c_mi_fatal+AF106*c_mi_nonfatal+X106*c_tia+Y106*c_minor_bleed</f>
        <v>1.04945894862701</v>
      </c>
      <c r="AI106" s="57" t="n">
        <f aca="false">dt*(AF106*dec_mi+AD106*dec_major_bleed+Y106*dec_minor_bleed+X106*dec_tia)</f>
        <v>7.92721907752323E-007</v>
      </c>
      <c r="AJ106" s="57" t="n">
        <f aca="false">G106*L106+Z106+U106-AC106+V106-AD106+AE106</f>
        <v>0.000319211600947634</v>
      </c>
      <c r="AK106" s="57" t="n">
        <f aca="false">1-EXP(LN(1-E106)*hr_death_prior_stroke*dt)</f>
        <v>0.29193414982471</v>
      </c>
      <c r="AL106" s="57" t="n">
        <f aca="false">H106*(1-AK106)</f>
        <v>0.000183213978571249</v>
      </c>
      <c r="AM106" s="57" t="n">
        <f aca="false">(1-EXP(-r_stroke*F106*rr_stroke_prior*rr_asa_stroke*dt))</f>
        <v>0.0388286565679616</v>
      </c>
      <c r="AN106" s="57" t="n">
        <f aca="false">(1-EXP(-r_ich*rr_asa_ich*dt))</f>
        <v>0.00102357767802375</v>
      </c>
      <c r="AO106" s="57" t="n">
        <f aca="false">(1-EXP(-r_mb*rr_asa_mb*dt))</f>
        <v>0.00951809672747972</v>
      </c>
      <c r="AP106" s="57" t="n">
        <f aca="false">(1-EXP(-r_mi*rr_asa_mi*dt))</f>
        <v>0.00213413516393479</v>
      </c>
      <c r="AQ106" s="57" t="n">
        <f aca="false">(1-EXP(-r_tia*rr_asa_tia*dt))</f>
        <v>0.00312764565589152</v>
      </c>
      <c r="AR106" s="57" t="n">
        <f aca="false">(1-EXP(-r_minor*rr_asa_minor*dt))</f>
        <v>0.0278181950466747</v>
      </c>
      <c r="AS106" s="57" t="n">
        <f aca="false">AL106*AM106</f>
        <v>7.11395265239289E-006</v>
      </c>
      <c r="AT106" s="57" t="n">
        <f aca="false">AL106*AN106</f>
        <v>1.87533738767451E-007</v>
      </c>
      <c r="AU106" s="57" t="n">
        <f aca="false">AL106*AO106</f>
        <v>1.74384836986754E-006</v>
      </c>
      <c r="AV106" s="57" t="n">
        <f aca="false">AL106*AP106</f>
        <v>3.91003394193297E-007</v>
      </c>
      <c r="AW106" s="57" t="n">
        <f aca="false">AL106*AQ106</f>
        <v>5.73028404176968E-007</v>
      </c>
      <c r="AX106" s="57" t="n">
        <f aca="false">AL106*AR106</f>
        <v>5.09668219117227E-006</v>
      </c>
      <c r="AY106" s="57" t="n">
        <f aca="false">AS106*f_stroke_fatal_recur</f>
        <v>2.64703064242887E-006</v>
      </c>
      <c r="AZ106" s="57" t="n">
        <f aca="false">AS106*(1-f_stroke_fatal_recur)*f_stroke_major</f>
        <v>1.48748502931802E-006</v>
      </c>
      <c r="BA106" s="57" t="n">
        <f aca="false">AS106*(1-f_stroke_fatal_recur)*(1-f_stroke_major)</f>
        <v>2.979436980646E-006</v>
      </c>
      <c r="BB106" s="57" t="n">
        <f aca="false">AT106*(1-f_bleed_fatal)</f>
        <v>1.71780904710985E-007</v>
      </c>
      <c r="BC106" s="57" t="n">
        <f aca="false">AU106*(1-f_bleed_fatal)</f>
        <v>1.59736510679867E-006</v>
      </c>
      <c r="BD106" s="57" t="n">
        <f aca="false">AV106*f_mi_fatal</f>
        <v>4.73114106973889E-008</v>
      </c>
      <c r="BE106" s="57" t="n">
        <f aca="false">AV106-BD106</f>
        <v>3.43691983495908E-007</v>
      </c>
      <c r="BF106" s="57" t="n">
        <f aca="false">AL106-AS106-AT106-AU106-BD106</f>
        <v>0.000174121332399523</v>
      </c>
      <c r="BG106" s="19" t="n">
        <f aca="false">AY106*c_stroke_fatal+AZ106*c_stroke_major+BA106*c_stroke_minor+AT106*c_ich+AU106*c_major_bleed+BD106*c_mi_fatal+BE106*c_mi_nonfatal+AW106*c_tia+AX106*c_minor_bleed</f>
        <v>0.269956500681036</v>
      </c>
      <c r="BH106" s="57" t="n">
        <f aca="false">dt*(BE106*dec_mi+BC106*dec_major_bleed+AX106*dec_minor_bleed+AW106*dec_tia)</f>
        <v>7.87994704694833E-008</v>
      </c>
      <c r="BI106" s="57" t="n">
        <f aca="false">H106*AK106+AY106+AT106-BB106+AU106-BC106+BD106</f>
        <v>7.83953392089284E-005</v>
      </c>
      <c r="BJ106" s="57" t="n">
        <f aca="false">1-EXP(LN(1-E106)*hr_death_prior_stroke*dt)</f>
        <v>0.29193414982471</v>
      </c>
      <c r="BK106" s="57" t="n">
        <f aca="false">I106*(1-BJ106)</f>
        <v>9.11416022653919E-005</v>
      </c>
      <c r="BL106" s="57" t="n">
        <f aca="false">(1-EXP(-r_stroke*F106*rr_stroke_prior*rr_asa_stroke*dt))</f>
        <v>0.0388286565679616</v>
      </c>
      <c r="BM106" s="57" t="n">
        <f aca="false">(1-EXP(-r_ich*rr_asa_ich*dt))</f>
        <v>0.00102357767802375</v>
      </c>
      <c r="BN106" s="57" t="n">
        <f aca="false">(1-EXP(-r_mb*rr_asa_mb*dt))</f>
        <v>0.00951809672747972</v>
      </c>
      <c r="BO106" s="57" t="n">
        <f aca="false">(1-EXP(-r_mi*rr_asa_mi*dt))</f>
        <v>0.00213413516393479</v>
      </c>
      <c r="BP106" s="57" t="n">
        <f aca="false">(1-EXP(-r_tia*rr_asa_tia*dt))</f>
        <v>0.00312764565589152</v>
      </c>
      <c r="BQ106" s="57" t="n">
        <f aca="false">(1-EXP(-r_minor*rr_asa_minor*dt))</f>
        <v>0.0278181950466747</v>
      </c>
      <c r="BR106" s="57" t="n">
        <f aca="false">BK106*BL106</f>
        <v>3.53890597341666E-006</v>
      </c>
      <c r="BS106" s="57" t="n">
        <f aca="false">BK106*BM106</f>
        <v>9.32905096181736E-008</v>
      </c>
      <c r="BT106" s="57" t="n">
        <f aca="false">BK106*BN106</f>
        <v>8.67494586259485E-007</v>
      </c>
      <c r="BU106" s="57" t="n">
        <f aca="false">BK106*BO106</f>
        <v>1.94508498291932E-007</v>
      </c>
      <c r="BV106" s="57" t="n">
        <f aca="false">BK106*BP106</f>
        <v>2.85058636396346E-007</v>
      </c>
      <c r="BW106" s="57" t="n">
        <f aca="false">BK106*BQ106</f>
        <v>2.53539486868512E-006</v>
      </c>
      <c r="BX106" s="57" t="n">
        <f aca="false">BR106*f_stroke_fatal_recur</f>
        <v>1.3167915236486E-006</v>
      </c>
      <c r="BY106" s="57" t="n">
        <f aca="false">BR106*(1-f_stroke_fatal_recur)*f_stroke_major</f>
        <v>7.39964111772762E-007</v>
      </c>
      <c r="BZ106" s="57" t="n">
        <f aca="false">BR106*(1-f_stroke_fatal_recur)*(1-f_stroke_major)</f>
        <v>1.48215033799529E-006</v>
      </c>
      <c r="CA106" s="57" t="n">
        <f aca="false">BS106*(1-f_bleed_fatal)</f>
        <v>8.5454106810247E-008</v>
      </c>
      <c r="CB106" s="57" t="n">
        <f aca="false">BT106*(1-f_bleed_fatal)</f>
        <v>7.94625041013688E-007</v>
      </c>
      <c r="CC106" s="57" t="n">
        <f aca="false">BU106*f_mi_fatal</f>
        <v>2.35355282933237E-008</v>
      </c>
      <c r="CD106" s="57" t="n">
        <f aca="false">BU106-CC106</f>
        <v>1.70972969998608E-007</v>
      </c>
      <c r="CE106" s="57" t="n">
        <f aca="false">BK106-BR106-BS106-BT106-CC106</f>
        <v>8.66183756678043E-005</v>
      </c>
      <c r="CF106" s="19" t="n">
        <f aca="false">BX106*c_stroke_fatal+BY106*c_stroke_major+BZ106*c_stroke_minor+BS106*c_ich+BT106*c_major_bleed+CC106*c_mi_fatal+CD106*c_mi_nonfatal+BV106*c_tia+BW106*c_minor_bleed</f>
        <v>0.134292526181128</v>
      </c>
      <c r="CG106" s="57" t="n">
        <f aca="false">dt*(CD106*dec_mi+CB106*dec_major_bleed+BW106*dec_minor_bleed+BV106*dec_tia)</f>
        <v>3.91995744662039E-008</v>
      </c>
      <c r="CH106" s="57" t="n">
        <f aca="false">I106*BJ106+BX106+BS106-CA106+BT106-CB106+CC106</f>
        <v>3.89985353811966E-005</v>
      </c>
      <c r="CI106" s="57" t="n">
        <f aca="false">1-EXP(LN(1-E106)*dt)</f>
        <v>0.139373667543085</v>
      </c>
      <c r="CJ106" s="57" t="n">
        <f aca="false">J106*(1-CI106)</f>
        <v>0.00180272643278545</v>
      </c>
      <c r="CK106" s="57" t="n">
        <f aca="false">(1-EXP(-r_stroke*F106*rr_asa_stroke*dt))</f>
        <v>0.0178401234165232</v>
      </c>
      <c r="CL106" s="57" t="n">
        <f aca="false">(1-EXP(-r_ich*rr_asa_ich*dt))</f>
        <v>0.00102357767802375</v>
      </c>
      <c r="CM106" s="57" t="n">
        <f aca="false">(1-EXP(-r_mb*rr_asa_mb*dt))</f>
        <v>0.00951809672747972</v>
      </c>
      <c r="CN106" s="57" t="n">
        <f aca="false">(1-EXP(-r_mi*rr_asa_mi*dt))</f>
        <v>0.00213413516393479</v>
      </c>
      <c r="CO106" s="57" t="n">
        <f aca="false">(1-EXP(-r_tia*rr_asa_tia*dt))</f>
        <v>0.00312764565589152</v>
      </c>
      <c r="CP106" s="57" t="n">
        <f aca="false">(1-EXP(-r_minor*rr_asa_minor*dt))</f>
        <v>0.0278181950466747</v>
      </c>
      <c r="CQ106" s="57" t="n">
        <f aca="false">CJ106*CK106</f>
        <v>3.2160862047121E-005</v>
      </c>
      <c r="CR106" s="57" t="n">
        <f aca="false">CJ106*CL106</f>
        <v>1.84523053618256E-006</v>
      </c>
      <c r="CS106" s="57" t="n">
        <f aca="false">CJ106*CM106</f>
        <v>1.71585245604364E-005</v>
      </c>
      <c r="CT106" s="57" t="n">
        <f aca="false">CJ106*CN106</f>
        <v>3.84726187116216E-006</v>
      </c>
      <c r="CU106" s="57" t="n">
        <f aca="false">CJ106*CO106</f>
        <v>5.63828949626223E-006</v>
      </c>
      <c r="CV106" s="57" t="n">
        <f aca="false">CJ106*CP106</f>
        <v>5.01485955230217E-005</v>
      </c>
      <c r="CW106" s="57" t="n">
        <f aca="false">CQ106*f_stroke_fatal</f>
        <v>7.62212430516768E-006</v>
      </c>
      <c r="CX106" s="57" t="n">
        <f aca="false">CQ106*(1-f_stroke_fatal)*f_stroke_major</f>
        <v>8.17139966807046E-006</v>
      </c>
      <c r="CY106" s="57" t="n">
        <f aca="false">CQ106*(1-f_stroke_fatal)*(1-f_stroke_major)</f>
        <v>1.63673380738829E-005</v>
      </c>
      <c r="CZ106" s="57" t="n">
        <f aca="false">CR106*(1-f_bleed_fatal)</f>
        <v>1.69023117114323E-006</v>
      </c>
      <c r="DA106" s="57" t="n">
        <f aca="false">CS106*(1-f_bleed_fatal)</f>
        <v>1.57172084973597E-005</v>
      </c>
      <c r="DB106" s="57" t="n">
        <f aca="false">CT106*f_mi_fatal</f>
        <v>4.65518686410621E-007</v>
      </c>
      <c r="DC106" s="57" t="n">
        <f aca="false">CT106-DB106</f>
        <v>3.38174318475154E-006</v>
      </c>
      <c r="DD106" s="57" t="n">
        <f aca="false">CJ106-CQ106-CR106-CS106-DB106</f>
        <v>0.0017510962969553</v>
      </c>
      <c r="DE106" s="19" t="n">
        <f aca="false">CW106*c_stroke_fatal+CX106*c_stroke_major+CY106*c_stroke_minor+CR106*c_ich+CS106*c_major_bleed+DB106*c_mi_fatal+DC106*c_mi_nonfatal+CU106*c_tia+CV106*c_minor_bleed</f>
        <v>1.43101965545089</v>
      </c>
      <c r="DF106" s="57" t="n">
        <f aca="false">dt*(DC106*dec_mi+DA106*dec_major_bleed+CV106*dec_minor_bleed+CU106*dec_tia)</f>
        <v>7.75344159941332E-007</v>
      </c>
      <c r="DG106" s="57" t="n">
        <f aca="false">J106*CI106+CW106+CR106-CZ106+CS106-DA106+DB106</f>
        <v>0.000301625518930508</v>
      </c>
      <c r="DH106" s="57" t="n">
        <f aca="false">AG106</f>
        <v>0.00188580761532754</v>
      </c>
      <c r="DI106" s="57" t="n">
        <f aca="false">AB106+AC106+BF106+BA106+BB106+BC106+CY106+CZ106</f>
        <v>0.000211308518095629</v>
      </c>
      <c r="DJ106" s="57" t="n">
        <f aca="false">AA106+AZ106+BY106+CX106+CE106+BZ106+CA106+CB106</f>
        <v>0.000104791002251655</v>
      </c>
      <c r="DK106" s="57" t="n">
        <f aca="false">AD106+DD106+DA106</f>
        <v>0.00178156285766499</v>
      </c>
      <c r="DL106" s="57" t="n">
        <f aca="false">K106+AJ106+BI106+CH106+DG106</f>
        <v>0.996016530006661</v>
      </c>
      <c r="DM106" s="58" t="n">
        <f aca="false">SUM(DH106:DL106)</f>
        <v>1</v>
      </c>
      <c r="DN106" s="19" t="n">
        <f aca="false">dt*(G106*Warfarin!$H$2+(H106+I106+J106)*c_aspirin)</f>
        <v>0.239351676253311</v>
      </c>
      <c r="DO106" s="19" t="n">
        <f aca="false">dt*(H106*c_lt_minor_stroke+I106*c_lt_major_stroke)</f>
        <v>1.53985645200589</v>
      </c>
      <c r="DP106" s="19" t="n">
        <f aca="false">AH106+BG106+CF106+DE106</f>
        <v>2.88472763094007</v>
      </c>
      <c r="DQ106" s="19" t="n">
        <f aca="false">DN106+DO106+DP106</f>
        <v>4.66393575919927</v>
      </c>
      <c r="DR106" s="57" t="n">
        <f aca="false">dt*(G106*(u_af-dec_per_year_over_70*MAX(B106-ref_age,0))+H106*(u_minor_stroke-dec_per_year_over_70*MAX(B106-ref_age,0))+I106*(u_major_stroke-dec_per_year_over_70*MAX(B106-ref_age,0))+J106*(u_af-dec_per_year_over_70*MAX(B106-ref_age,0)))-AI106-BH106-CG106-DF106</f>
        <v>0.000926656385644085</v>
      </c>
      <c r="DS106" s="57" t="n">
        <f aca="false">dt*(G106+H106+I106+J106)</f>
        <v>0.00118042524695202</v>
      </c>
      <c r="DT106" s="19" t="n">
        <f aca="false">DQ106*C106</f>
        <v>3.21441172542757</v>
      </c>
      <c r="DU106" s="19" t="n">
        <f aca="false">DN106*C106</f>
        <v>0.164962571178612</v>
      </c>
      <c r="DV106" s="19" t="n">
        <f aca="false">DP106*C106</f>
        <v>1.988171107046</v>
      </c>
      <c r="DW106" s="19" t="n">
        <f aca="false">DO106*C106</f>
        <v>1.06127804720295</v>
      </c>
      <c r="DX106" s="57" t="n">
        <f aca="false">DR106*C106</f>
        <v>0.000638656985268611</v>
      </c>
      <c r="DY106" s="57" t="n">
        <f aca="false">DS106*C106</f>
        <v>0.000813555964468246</v>
      </c>
      <c r="DZ106" s="57" t="n">
        <f aca="false">T106+AS106+BR106+CQ106</f>
        <v>6.41124045030405E-005</v>
      </c>
      <c r="EA106" s="57" t="n">
        <f aca="false">U106+AT106+BS106+CR106</f>
        <v>5.99252420096659E-006</v>
      </c>
      <c r="EB106" s="57" t="n">
        <f aca="false">V106+AU106+BT106+CS106</f>
        <v>3.58717804121191E-005</v>
      </c>
      <c r="EC106" s="57" t="n">
        <f aca="false">G106*dt*C106</f>
        <v>0.000385879651479395</v>
      </c>
    </row>
    <row r="107" customFormat="false" ht="15" hidden="false" customHeight="false" outlineLevel="0" collapsed="false">
      <c r="A107" s="8" t="n">
        <v>101</v>
      </c>
      <c r="B107" s="54" t="n">
        <f aca="false">start_age+A107*dt</f>
        <v>95.25</v>
      </c>
      <c r="C107" s="16" t="n">
        <f aca="false">(1+disc_rate)^-(A107*dt)</f>
        <v>0.686645270740947</v>
      </c>
      <c r="D107" s="55" t="n">
        <f aca="false">IF(A107*dt&gt;=wane_start,(1-wane_decay)^(A107*dt-wane_start),1)</f>
        <v>1</v>
      </c>
      <c r="E107" s="25" t="n">
        <f aca="false">MIN(p_nonvasc_death*MIN(EXP(gomp_int+gomp_slope*INT(B107)),1)/qx_ref,0.999)</f>
        <v>0.451396568249239</v>
      </c>
      <c r="F107" s="55" t="n">
        <f aca="false">rr_stroke_per_decade^((B107-ref_age)/10)</f>
        <v>2.78375127602585</v>
      </c>
      <c r="G107" s="57" t="n">
        <f aca="false">DH106</f>
        <v>0.00188580761532754</v>
      </c>
      <c r="H107" s="57" t="n">
        <f aca="false">DI106</f>
        <v>0.000211308518095629</v>
      </c>
      <c r="I107" s="57" t="n">
        <f aca="false">DJ106</f>
        <v>0.000104791002251655</v>
      </c>
      <c r="J107" s="57" t="n">
        <f aca="false">DK106</f>
        <v>0.00178156285766499</v>
      </c>
      <c r="K107" s="57" t="n">
        <f aca="false">DL106</f>
        <v>0.996016530006661</v>
      </c>
      <c r="L107" s="57" t="n">
        <f aca="false">1-EXP(LN(1-E107)*dt)</f>
        <v>0.139373667543085</v>
      </c>
      <c r="M107" s="57" t="n">
        <f aca="false">G107*(1-L107)</f>
        <v>0.00162297569169867</v>
      </c>
      <c r="N107" s="57" t="n">
        <f aca="false">IF(Warfarin!$B$2=1,EXP(LN(or_apx_stroke)*D107)*(1-EXP(-r_stroke*F107*dt))/(1-(1-EXP(-r_stroke*F107*dt))+EXP(LN(or_apx_stroke)*D107)*(1-EXP(-r_stroke*F107*dt))),(1-EXP(-r_stroke*F107*dt)))</f>
        <v>0.0111622811125393</v>
      </c>
      <c r="O107" s="57" t="n">
        <f aca="false">IF(Warfarin!$B$2=1,EXP(LN(or_apx_ich)*D107)*(1-EXP(-r_ich*dt))/(1-(1-EXP(-r_ich*dt))+EXP(LN(or_apx_ich)*D107)*(1-EXP(-r_ich*dt))),(1-EXP(-r_ich*dt)))</f>
        <v>0.0020060281549299</v>
      </c>
      <c r="P107" s="57" t="n">
        <f aca="false">IF(Warfarin!$B$2=1,EXP(LN(or_apx_mb)*D107)*(1-EXP(-r_mb*dt))/(1-(1-EXP(-r_mb*dt))+EXP(LN(or_apx_mb)*D107)*(1-EXP(-r_mb*dt))),(1-EXP(-r_mb*dt)))</f>
        <v>0.00835410477572107</v>
      </c>
      <c r="Q107" s="57" t="n">
        <f aca="false">IF(Warfarin!$B$2=1,EXP(LN(or_apx_mi)*D107)*(1-EXP(-r_mi*dt))/(1-(1-EXP(-r_mi*dt))+EXP(LN(or_apx_mi)*D107)*(1-EXP(-r_mi*dt))),(1-EXP(-r_mi*dt)))</f>
        <v>0.00150338686144691</v>
      </c>
      <c r="R107" s="57" t="n">
        <f aca="false">(1-EXP(-r_tia*dt))</f>
        <v>0.0020060281549299</v>
      </c>
      <c r="S107" s="57" t="n">
        <f aca="false">(1-EXP(-r_minor*dt))</f>
        <v>0.0437937690785545</v>
      </c>
      <c r="T107" s="57" t="n">
        <f aca="false">M107*N107</f>
        <v>1.81161109095583E-005</v>
      </c>
      <c r="U107" s="57" t="n">
        <f aca="false">M107*O107</f>
        <v>3.25573493231434E-006</v>
      </c>
      <c r="V107" s="57" t="n">
        <f aca="false">M107*P107</f>
        <v>1.3558508976899E-005</v>
      </c>
      <c r="W107" s="57" t="n">
        <f aca="false">M107*Q107</f>
        <v>2.43996033134748E-006</v>
      </c>
      <c r="X107" s="57" t="n">
        <f aca="false">M107*R107</f>
        <v>3.25573493231434E-006</v>
      </c>
      <c r="Y107" s="57" t="n">
        <f aca="false">M107*S107</f>
        <v>7.10762226623586E-005</v>
      </c>
      <c r="Z107" s="57" t="n">
        <f aca="false">T107*f_stroke_fatal</f>
        <v>4.29351828556533E-006</v>
      </c>
      <c r="AA107" s="57" t="n">
        <f aca="false">T107*(1-f_stroke_fatal)*f_stroke_major</f>
        <v>4.60292334378967E-006</v>
      </c>
      <c r="AB107" s="57" t="n">
        <f aca="false">T107*(1-f_stroke_fatal)*(1-f_stroke_major)</f>
        <v>9.21966928020334E-006</v>
      </c>
      <c r="AC107" s="57" t="n">
        <f aca="false">U107*(1-f_bleed_fatal)</f>
        <v>2.98225319799994E-006</v>
      </c>
      <c r="AD107" s="57" t="n">
        <f aca="false">V107*(1-f_bleed_fatal)</f>
        <v>1.24195942228395E-005</v>
      </c>
      <c r="AE107" s="57" t="n">
        <f aca="false">W107*f_mi_fatal</f>
        <v>2.95235200093045E-007</v>
      </c>
      <c r="AF107" s="57" t="n">
        <f aca="false">W107-AE107</f>
        <v>2.14472513125444E-006</v>
      </c>
      <c r="AG107" s="57" t="n">
        <f aca="false">M107-T107-U107-V107-AE107</f>
        <v>0.0015877501016798</v>
      </c>
      <c r="AH107" s="19" t="n">
        <f aca="false">Z107*c_stroke_fatal+AA107*c_stroke_major+AB107*c_stroke_minor+U107*c_ich+V107*c_major_bleed+AE107*c_mi_fatal+AF107*c_mi_nonfatal+X107*c_tia+Y107*c_minor_bleed</f>
        <v>0.890403164023654</v>
      </c>
      <c r="AI107" s="57" t="n">
        <f aca="false">dt*(AF107*dec_mi+AD107*dec_major_bleed+Y107*dec_minor_bleed+X107*dec_tia)</f>
        <v>6.6750622563677E-007</v>
      </c>
      <c r="AJ107" s="57" t="n">
        <f aca="false">G107*L107+Z107+U107-AC107+V107-AD107+AE107</f>
        <v>0.00026883307360291</v>
      </c>
      <c r="AK107" s="57" t="n">
        <f aca="false">1-EXP(LN(1-E107)*hr_death_prior_stroke*dt)</f>
        <v>0.29193414982471</v>
      </c>
      <c r="AL107" s="57" t="n">
        <f aca="false">H107*(1-AK107)</f>
        <v>0.000149620345514662</v>
      </c>
      <c r="AM107" s="57" t="n">
        <f aca="false">(1-EXP(-r_stroke*F107*rr_stroke_prior*rr_asa_stroke*dt))</f>
        <v>0.0392163900242437</v>
      </c>
      <c r="AN107" s="57" t="n">
        <f aca="false">(1-EXP(-r_ich*rr_asa_ich*dt))</f>
        <v>0.00102357767802375</v>
      </c>
      <c r="AO107" s="57" t="n">
        <f aca="false">(1-EXP(-r_mb*rr_asa_mb*dt))</f>
        <v>0.00951809672747972</v>
      </c>
      <c r="AP107" s="57" t="n">
        <f aca="false">(1-EXP(-r_mi*rr_asa_mi*dt))</f>
        <v>0.00213413516393479</v>
      </c>
      <c r="AQ107" s="57" t="n">
        <f aca="false">(1-EXP(-r_tia*rr_asa_tia*dt))</f>
        <v>0.00312764565589152</v>
      </c>
      <c r="AR107" s="57" t="n">
        <f aca="false">(1-EXP(-r_minor*rr_asa_minor*dt))</f>
        <v>0.0278181950466747</v>
      </c>
      <c r="AS107" s="57" t="n">
        <f aca="false">AL107*AM107</f>
        <v>5.8675698252651E-006</v>
      </c>
      <c r="AT107" s="57" t="n">
        <f aca="false">AL107*AN107</f>
        <v>1.53148045847009E-007</v>
      </c>
      <c r="AU107" s="57" t="n">
        <f aca="false">AL107*AO107</f>
        <v>1.42410092100749E-006</v>
      </c>
      <c r="AV107" s="57" t="n">
        <f aca="false">AL107*AP107</f>
        <v>3.19310040602914E-007</v>
      </c>
      <c r="AW107" s="57" t="n">
        <f aca="false">AL107*AQ107</f>
        <v>4.67959423681922E-007</v>
      </c>
      <c r="AX107" s="57" t="n">
        <f aca="false">AL107*AR107</f>
        <v>4.16216795447774E-006</v>
      </c>
      <c r="AY107" s="57" t="n">
        <f aca="false">AS107*f_stroke_fatal_recur</f>
        <v>2.18326405628289E-006</v>
      </c>
      <c r="AZ107" s="57" t="n">
        <f aca="false">AS107*(1-f_stroke_fatal_recur)*f_stroke_major</f>
        <v>1.22687382107108E-006</v>
      </c>
      <c r="BA107" s="57" t="n">
        <f aca="false">AS107*(1-f_stroke_fatal_recur)*(1-f_stroke_major)</f>
        <v>2.45743194791114E-006</v>
      </c>
      <c r="BB107" s="57" t="n">
        <f aca="false">AT107*(1-f_bleed_fatal)</f>
        <v>1.4028360999586E-007</v>
      </c>
      <c r="BC107" s="57" t="n">
        <f aca="false">AU107*(1-f_bleed_fatal)</f>
        <v>1.30447644364286E-006</v>
      </c>
      <c r="BD107" s="57" t="n">
        <f aca="false">AV107*f_mi_fatal</f>
        <v>3.86365149129526E-008</v>
      </c>
      <c r="BE107" s="57" t="n">
        <f aca="false">AV107-BD107</f>
        <v>2.80673525689962E-007</v>
      </c>
      <c r="BF107" s="57" t="n">
        <f aca="false">AL107-AS107-AT107-AU107-BD107</f>
        <v>0.00014213689020763</v>
      </c>
      <c r="BG107" s="19" t="n">
        <f aca="false">AY107*c_stroke_fatal+AZ107*c_stroke_major+BA107*c_stroke_minor+AT107*c_ich+AU107*c_major_bleed+BD107*c_mi_fatal+BE107*c_mi_nonfatal+AW107*c_tia+AX107*c_minor_bleed</f>
        <v>0.222458237324602</v>
      </c>
      <c r="BH107" s="57" t="n">
        <f aca="false">dt*(BE107*dec_mi+BC107*dec_major_bleed+AX107*dec_minor_bleed+AW107*dec_tia)</f>
        <v>6.43510068934593E-008</v>
      </c>
      <c r="BI107" s="57" t="n">
        <f aca="false">H107*AK107+AY107+AT107-BB107+AU107-BC107+BD107</f>
        <v>6.40425620653785E-005</v>
      </c>
      <c r="BJ107" s="57" t="n">
        <f aca="false">1-EXP(LN(1-E107)*hr_death_prior_stroke*dt)</f>
        <v>0.29193414982471</v>
      </c>
      <c r="BK107" s="57" t="n">
        <f aca="false">I107*(1-BJ107)</f>
        <v>7.4198930100039E-005</v>
      </c>
      <c r="BL107" s="57" t="n">
        <f aca="false">(1-EXP(-r_stroke*F107*rr_stroke_prior*rr_asa_stroke*dt))</f>
        <v>0.0392163900242437</v>
      </c>
      <c r="BM107" s="57" t="n">
        <f aca="false">(1-EXP(-r_ich*rr_asa_ich*dt))</f>
        <v>0.00102357767802375</v>
      </c>
      <c r="BN107" s="57" t="n">
        <f aca="false">(1-EXP(-r_mb*rr_asa_mb*dt))</f>
        <v>0.00951809672747972</v>
      </c>
      <c r="BO107" s="57" t="n">
        <f aca="false">(1-EXP(-r_mi*rr_asa_mi*dt))</f>
        <v>0.00213413516393479</v>
      </c>
      <c r="BP107" s="57" t="n">
        <f aca="false">(1-EXP(-r_tia*rr_asa_tia*dt))</f>
        <v>0.00312764565589152</v>
      </c>
      <c r="BQ107" s="57" t="n">
        <f aca="false">(1-EXP(-r_minor*rr_asa_minor*dt))</f>
        <v>0.0278181950466747</v>
      </c>
      <c r="BR107" s="57" t="n">
        <f aca="false">BK107*BL107</f>
        <v>2.90981418218473E-006</v>
      </c>
      <c r="BS107" s="57" t="n">
        <f aca="false">BK107*BM107</f>
        <v>7.59483685836441E-008</v>
      </c>
      <c r="BT107" s="57" t="n">
        <f aca="false">BK107*BN107</f>
        <v>7.06232593767677E-007</v>
      </c>
      <c r="BU107" s="57" t="n">
        <f aca="false">BK107*BO107</f>
        <v>1.58350545852833E-007</v>
      </c>
      <c r="BV107" s="57" t="n">
        <f aca="false">BK107*BP107</f>
        <v>2.32067961399185E-007</v>
      </c>
      <c r="BW107" s="57" t="n">
        <f aca="false">BK107*BQ107</f>
        <v>2.06408030977747E-006</v>
      </c>
      <c r="BX107" s="57" t="n">
        <f aca="false">BR107*f_stroke_fatal_recur</f>
        <v>1.08271275904911E-006</v>
      </c>
      <c r="BY107" s="57" t="n">
        <f aca="false">BR107*(1-f_stroke_fatal_recur)*f_stroke_major</f>
        <v>6.08424773904158E-007</v>
      </c>
      <c r="BZ107" s="57" t="n">
        <f aca="false">BR107*(1-f_stroke_fatal_recur)*(1-f_stroke_major)</f>
        <v>1.21867664923145E-006</v>
      </c>
      <c r="CA107" s="57" t="n">
        <f aca="false">BS107*(1-f_bleed_fatal)</f>
        <v>6.9568705622618E-008</v>
      </c>
      <c r="CB107" s="57" t="n">
        <f aca="false">BT107*(1-f_bleed_fatal)</f>
        <v>6.46909055891193E-007</v>
      </c>
      <c r="CC107" s="57" t="n">
        <f aca="false">BU107*f_mi_fatal</f>
        <v>1.91604160481928E-008</v>
      </c>
      <c r="CD107" s="57" t="n">
        <f aca="false">BU107-CC107</f>
        <v>1.3919012980464E-007</v>
      </c>
      <c r="CE107" s="57" t="n">
        <f aca="false">BK107-BR107-BS107-BT107-CC107</f>
        <v>7.04877745394547E-005</v>
      </c>
      <c r="CF107" s="19" t="n">
        <f aca="false">BX107*c_stroke_fatal+BY107*c_stroke_major+BZ107*c_stroke_minor+BS107*c_ich+BT107*c_major_bleed+CC107*c_mi_fatal+CD107*c_mi_nonfatal+BV107*c_tia+BW107*c_minor_bleed</f>
        <v>0.11032031201805</v>
      </c>
      <c r="CG107" s="57" t="n">
        <f aca="false">dt*(CD107*dec_mi+CB107*dec_major_bleed+BW107*dec_minor_bleed+BV107*dec_tia)</f>
        <v>3.19126108546982E-008</v>
      </c>
      <c r="CH107" s="57" t="n">
        <f aca="false">I107*BJ107+BX107+BS107-CA107+BT107-CB107+CC107</f>
        <v>3.17596485275511E-005</v>
      </c>
      <c r="CI107" s="57" t="n">
        <f aca="false">1-EXP(LN(1-E107)*dt)</f>
        <v>0.139373667543085</v>
      </c>
      <c r="CJ107" s="57" t="n">
        <f aca="false">J107*(1-CI107)</f>
        <v>0.00153325990823368</v>
      </c>
      <c r="CK107" s="57" t="n">
        <f aca="false">(1-EXP(-r_stroke*F107*rr_asa_stroke*dt))</f>
        <v>0.0180202342172476</v>
      </c>
      <c r="CL107" s="57" t="n">
        <f aca="false">(1-EXP(-r_ich*rr_asa_ich*dt))</f>
        <v>0.00102357767802375</v>
      </c>
      <c r="CM107" s="57" t="n">
        <f aca="false">(1-EXP(-r_mb*rr_asa_mb*dt))</f>
        <v>0.00951809672747972</v>
      </c>
      <c r="CN107" s="57" t="n">
        <f aca="false">(1-EXP(-r_mi*rr_asa_mi*dt))</f>
        <v>0.00213413516393479</v>
      </c>
      <c r="CO107" s="57" t="n">
        <f aca="false">(1-EXP(-r_tia*rr_asa_tia*dt))</f>
        <v>0.00312764565589152</v>
      </c>
      <c r="CP107" s="57" t="n">
        <f aca="false">(1-EXP(-r_minor*rr_asa_minor*dt))</f>
        <v>0.0278181950466747</v>
      </c>
      <c r="CQ107" s="57" t="n">
        <f aca="false">CJ107*CK107</f>
        <v>2.76297026622865E-005</v>
      </c>
      <c r="CR107" s="57" t="n">
        <f aca="false">CJ107*CL107</f>
        <v>1.56941061667673E-006</v>
      </c>
      <c r="CS107" s="57" t="n">
        <f aca="false">CJ107*CM107</f>
        <v>1.45937161149348E-005</v>
      </c>
      <c r="CT107" s="57" t="n">
        <f aca="false">CJ107*CN107</f>
        <v>3.27218388561293E-006</v>
      </c>
      <c r="CU107" s="57" t="n">
        <f aca="false">CJ107*CO107</f>
        <v>4.7954936913397E-006</v>
      </c>
      <c r="CV107" s="57" t="n">
        <f aca="false">CJ107*CP107</f>
        <v>4.26525231844911E-005</v>
      </c>
      <c r="CW107" s="57" t="n">
        <f aca="false">CQ107*f_stroke_fatal</f>
        <v>6.5482395309619E-006</v>
      </c>
      <c r="CX107" s="57" t="n">
        <f aca="false">CQ107*(1-f_stroke_fatal)*f_stroke_major</f>
        <v>7.0201272227311E-006</v>
      </c>
      <c r="CY107" s="57" t="n">
        <f aca="false">CQ107*(1-f_stroke_fatal)*(1-f_stroke_major)</f>
        <v>1.40613359085935E-005</v>
      </c>
      <c r="CZ107" s="57" t="n">
        <f aca="false">CR107*(1-f_bleed_fatal)</f>
        <v>1.43758012487589E-006</v>
      </c>
      <c r="DA107" s="57" t="n">
        <f aca="false">CS107*(1-f_bleed_fatal)</f>
        <v>1.33678439612803E-005</v>
      </c>
      <c r="DB107" s="57" t="n">
        <f aca="false">CT107*f_mi_fatal</f>
        <v>3.95934250159164E-007</v>
      </c>
      <c r="DC107" s="57" t="n">
        <f aca="false">CT107-DB107</f>
        <v>2.87624963545376E-006</v>
      </c>
      <c r="DD107" s="57" t="n">
        <f aca="false">CJ107-CQ107-CR107-CS107-DB107</f>
        <v>0.00148907114458962</v>
      </c>
      <c r="DE107" s="19" t="n">
        <f aca="false">CW107*c_stroke_fatal+CX107*c_stroke_major+CY107*c_stroke_minor+CR107*c_ich+CS107*c_major_bleed+DB107*c_mi_fatal+DC107*c_mi_nonfatal+CU107*c_tia+CV107*c_minor_bleed</f>
        <v>1.22731815904228</v>
      </c>
      <c r="DF107" s="57" t="n">
        <f aca="false">dt*(DC107*dec_mi+DA107*dec_major_bleed+CV107*dec_minor_bleed+CU107*dec_tia)</f>
        <v>6.59447875118971E-007</v>
      </c>
      <c r="DG107" s="57" t="n">
        <f aca="false">J107*CI107+CW107+CR107-CZ107+CS107-DA107+DB107</f>
        <v>0.000256604825857884</v>
      </c>
      <c r="DH107" s="57" t="n">
        <f aca="false">AG107</f>
        <v>0.0015877501016798</v>
      </c>
      <c r="DI107" s="57" t="n">
        <f aca="false">AB107+AC107+BF107+BA107+BB107+BC107+CY107+CZ107</f>
        <v>0.000173739920720852</v>
      </c>
      <c r="DJ107" s="57" t="n">
        <f aca="false">AA107+AZ107+BY107+CX107+CE107+BZ107+CA107+CB107</f>
        <v>8.5881278111696E-005</v>
      </c>
      <c r="DK107" s="57" t="n">
        <f aca="false">AD107+DD107+DA107</f>
        <v>0.00151485858277374</v>
      </c>
      <c r="DL107" s="57" t="n">
        <f aca="false">K107+AJ107+BI107+CH107+DG107</f>
        <v>0.996637770116715</v>
      </c>
      <c r="DM107" s="58" t="n">
        <f aca="false">SUM(DH107:DL107)</f>
        <v>1</v>
      </c>
      <c r="DN107" s="19" t="n">
        <f aca="false">dt*(G107*Warfarin!$H$2+(H107+I107+J107)*c_aspirin)</f>
        <v>0.201618599332766</v>
      </c>
      <c r="DO107" s="19" t="n">
        <f aca="false">dt*(H107*c_lt_minor_stroke+I107*c_lt_major_stroke)</f>
        <v>1.25538078813726</v>
      </c>
      <c r="DP107" s="19" t="n">
        <f aca="false">AH107+BG107+CF107+DE107</f>
        <v>2.45049987240858</v>
      </c>
      <c r="DQ107" s="19" t="n">
        <f aca="false">DN107+DO107+DP107</f>
        <v>3.9074992598786</v>
      </c>
      <c r="DR107" s="57" t="n">
        <f aca="false">dt*(G107*(u_af-dec_per_year_over_70*MAX(B107-ref_age,0))+H107*(u_minor_stroke-dec_per_year_over_70*MAX(B107-ref_age,0))+I107*(u_major_stroke-dec_per_year_over_70*MAX(B107-ref_age,0))+J107*(u_af-dec_per_year_over_70*MAX(B107-ref_age,0)))-AI107-BH107-CG107-DF107</f>
        <v>0.000782260782286081</v>
      </c>
      <c r="DS107" s="57" t="n">
        <f aca="false">dt*(G107+H107+I107+J107)</f>
        <v>0.000995867498334954</v>
      </c>
      <c r="DT107" s="19" t="n">
        <f aca="false">DQ107*C107</f>
        <v>2.68306588721939</v>
      </c>
      <c r="DU107" s="19" t="n">
        <f aca="false">DN107*C107</f>
        <v>0.138440457725257</v>
      </c>
      <c r="DV107" s="19" t="n">
        <f aca="false">DP107*C107</f>
        <v>1.68262414834065</v>
      </c>
      <c r="DW107" s="19" t="n">
        <f aca="false">DO107*C107</f>
        <v>0.862001281153489</v>
      </c>
      <c r="DX107" s="57" t="n">
        <f aca="false">DR107*C107</f>
        <v>0.000537135666642851</v>
      </c>
      <c r="DY107" s="57" t="n">
        <f aca="false">DS107*C107</f>
        <v>0.000683807708016314</v>
      </c>
      <c r="DZ107" s="57" t="n">
        <f aca="false">T107+AS107+BR107+CQ107</f>
        <v>5.45231975792947E-005</v>
      </c>
      <c r="EA107" s="57" t="n">
        <f aca="false">U107+AT107+BS107+CR107</f>
        <v>5.05424196342173E-006</v>
      </c>
      <c r="EB107" s="57" t="n">
        <f aca="false">V107+AU107+BT107+CS107</f>
        <v>3.0282558606609E-005</v>
      </c>
      <c r="EC107" s="57" t="n">
        <f aca="false">G107*dt*C107</f>
        <v>0.00032372022014798</v>
      </c>
    </row>
    <row r="108" customFormat="false" ht="15" hidden="false" customHeight="false" outlineLevel="0" collapsed="false">
      <c r="A108" s="8" t="n">
        <v>102</v>
      </c>
      <c r="B108" s="54" t="n">
        <f aca="false">start_age+A108*dt</f>
        <v>95.5</v>
      </c>
      <c r="C108" s="16" t="n">
        <f aca="false">(1+disc_rate)^-(A108*dt)</f>
        <v>0.684094222543048</v>
      </c>
      <c r="D108" s="55" t="n">
        <f aca="false">IF(A108*dt&gt;=wane_start,(1-wane_decay)^(A108*dt-wane_start),1)</f>
        <v>1</v>
      </c>
      <c r="E108" s="25" t="n">
        <f aca="false">MIN(p_nonvasc_death*MIN(EXP(gomp_int+gomp_slope*INT(B108)),1)/qx_ref,0.999)</f>
        <v>0.451396568249239</v>
      </c>
      <c r="F108" s="55" t="n">
        <f aca="false">rr_stroke_per_decade^((B108-ref_age)/10)</f>
        <v>2.8121126277129</v>
      </c>
      <c r="G108" s="57" t="n">
        <f aca="false">DH107</f>
        <v>0.0015877501016798</v>
      </c>
      <c r="H108" s="57" t="n">
        <f aca="false">DI107</f>
        <v>0.000173739920720852</v>
      </c>
      <c r="I108" s="57" t="n">
        <f aca="false">DJ107</f>
        <v>8.5881278111696E-005</v>
      </c>
      <c r="J108" s="57" t="n">
        <f aca="false">DK107</f>
        <v>0.00151485858277374</v>
      </c>
      <c r="K108" s="57" t="n">
        <f aca="false">DL107</f>
        <v>0.996637770116715</v>
      </c>
      <c r="L108" s="57" t="n">
        <f aca="false">1-EXP(LN(1-E108)*dt)</f>
        <v>0.139373667543085</v>
      </c>
      <c r="M108" s="57" t="n">
        <f aca="false">G108*(1-L108)</f>
        <v>0.00136645954686678</v>
      </c>
      <c r="N108" s="57" t="n">
        <f aca="false">IF(Warfarin!$B$2=1,EXP(LN(or_apx_stroke)*D108)*(1-EXP(-r_stroke*F108*dt))/(1-(1-EXP(-r_stroke*F108*dt))+EXP(LN(or_apx_stroke)*D108)*(1-EXP(-r_stroke*F108*dt))),(1-EXP(-r_stroke*F108*dt)))</f>
        <v>0.0112753608653421</v>
      </c>
      <c r="O108" s="57" t="n">
        <f aca="false">IF(Warfarin!$B$2=1,EXP(LN(or_apx_ich)*D108)*(1-EXP(-r_ich*dt))/(1-(1-EXP(-r_ich*dt))+EXP(LN(or_apx_ich)*D108)*(1-EXP(-r_ich*dt))),(1-EXP(-r_ich*dt)))</f>
        <v>0.0020060281549299</v>
      </c>
      <c r="P108" s="57" t="n">
        <f aca="false">IF(Warfarin!$B$2=1,EXP(LN(or_apx_mb)*D108)*(1-EXP(-r_mb*dt))/(1-(1-EXP(-r_mb*dt))+EXP(LN(or_apx_mb)*D108)*(1-EXP(-r_mb*dt))),(1-EXP(-r_mb*dt)))</f>
        <v>0.00835410477572107</v>
      </c>
      <c r="Q108" s="57" t="n">
        <f aca="false">IF(Warfarin!$B$2=1,EXP(LN(or_apx_mi)*D108)*(1-EXP(-r_mi*dt))/(1-(1-EXP(-r_mi*dt))+EXP(LN(or_apx_mi)*D108)*(1-EXP(-r_mi*dt))),(1-EXP(-r_mi*dt)))</f>
        <v>0.00150338686144691</v>
      </c>
      <c r="R108" s="57" t="n">
        <f aca="false">(1-EXP(-r_tia*dt))</f>
        <v>0.0020060281549299</v>
      </c>
      <c r="S108" s="57" t="n">
        <f aca="false">(1-EXP(-r_minor*dt))</f>
        <v>0.0437937690785545</v>
      </c>
      <c r="T108" s="57" t="n">
        <f aca="false">M108*N108</f>
        <v>1.54073244988148E-005</v>
      </c>
      <c r="U108" s="57" t="n">
        <f aca="false">M108*O108</f>
        <v>2.74115632358751E-006</v>
      </c>
      <c r="V108" s="57" t="n">
        <f aca="false">M108*P108</f>
        <v>1.14155462263094E-005</v>
      </c>
      <c r="W108" s="57" t="n">
        <f aca="false">M108*Q108</f>
        <v>2.05431732945822E-006</v>
      </c>
      <c r="X108" s="57" t="n">
        <f aca="false">M108*R108</f>
        <v>2.74115632358751E-006</v>
      </c>
      <c r="Y108" s="57" t="n">
        <f aca="false">M108*S108</f>
        <v>5.984241385067E-005</v>
      </c>
      <c r="Z108" s="57" t="n">
        <f aca="false">T108*f_stroke_fatal</f>
        <v>3.6515359062191E-006</v>
      </c>
      <c r="AA108" s="57" t="n">
        <f aca="false">T108*(1-f_stroke_fatal)*f_stroke_major</f>
        <v>3.91467760133436E-006</v>
      </c>
      <c r="AB108" s="57" t="n">
        <f aca="false">T108*(1-f_stroke_fatal)*(1-f_stroke_major)</f>
        <v>7.84111099126132E-006</v>
      </c>
      <c r="AC108" s="57" t="n">
        <f aca="false">U108*(1-f_bleed_fatal)</f>
        <v>2.51089919240616E-006</v>
      </c>
      <c r="AD108" s="57" t="n">
        <f aca="false">V108*(1-f_bleed_fatal)</f>
        <v>1.04566403432994E-005</v>
      </c>
      <c r="AE108" s="57" t="n">
        <f aca="false">W108*f_mi_fatal</f>
        <v>2.48572396864444E-007</v>
      </c>
      <c r="AF108" s="57" t="n">
        <f aca="false">W108-AE108</f>
        <v>1.80574493259377E-006</v>
      </c>
      <c r="AG108" s="57" t="n">
        <f aca="false">M108-T108-U108-V108-AE108</f>
        <v>0.0013366469474212</v>
      </c>
      <c r="AH108" s="19" t="n">
        <f aca="false">Z108*c_stroke_fatal+AA108*c_stroke_major+AB108*c_stroke_minor+U108*c_ich+V108*c_major_bleed+AE108*c_mi_fatal+AF108*c_mi_nonfatal+X108*c_tia+Y108*c_minor_bleed</f>
        <v>0.755381397950294</v>
      </c>
      <c r="AI108" s="57" t="n">
        <f aca="false">dt*(AF108*dec_mi+AD108*dec_major_bleed+Y108*dec_minor_bleed+X108*dec_tia)</f>
        <v>5.62004877386498E-007</v>
      </c>
      <c r="AJ108" s="57" t="n">
        <f aca="false">G108*L108+Z108+U108-AC108+V108-AD108+AE108</f>
        <v>0.000226379826130294</v>
      </c>
      <c r="AK108" s="57" t="n">
        <f aca="false">1-EXP(LN(1-E108)*hr_death_prior_stroke*dt)</f>
        <v>0.29193414982471</v>
      </c>
      <c r="AL108" s="57" t="n">
        <f aca="false">H108*(1-AK108)</f>
        <v>0.000123019304674598</v>
      </c>
      <c r="AM108" s="57" t="n">
        <f aca="false">(1-EXP(-r_stroke*F108*rr_stroke_prior*rr_asa_stroke*dt))</f>
        <v>0.0396079149690949</v>
      </c>
      <c r="AN108" s="57" t="n">
        <f aca="false">(1-EXP(-r_ich*rr_asa_ich*dt))</f>
        <v>0.00102357767802375</v>
      </c>
      <c r="AO108" s="57" t="n">
        <f aca="false">(1-EXP(-r_mb*rr_asa_mb*dt))</f>
        <v>0.00951809672747972</v>
      </c>
      <c r="AP108" s="57" t="n">
        <f aca="false">(1-EXP(-r_mi*rr_asa_mi*dt))</f>
        <v>0.00213413516393479</v>
      </c>
      <c r="AQ108" s="57" t="n">
        <f aca="false">(1-EXP(-r_tia*rr_asa_tia*dt))</f>
        <v>0.00312764565589152</v>
      </c>
      <c r="AR108" s="57" t="n">
        <f aca="false">(1-EXP(-r_minor*rr_asa_minor*dt))</f>
        <v>0.0278181950466747</v>
      </c>
      <c r="AS108" s="57" t="n">
        <f aca="false">AL108*AM108</f>
        <v>4.87253815910865E-006</v>
      </c>
      <c r="AT108" s="57" t="n">
        <f aca="false">AL108*AN108</f>
        <v>1.25919814230921E-007</v>
      </c>
      <c r="AU108" s="57" t="n">
        <f aca="false">AL108*AO108</f>
        <v>1.17090964124012E-006</v>
      </c>
      <c r="AV108" s="57" t="n">
        <f aca="false">AL108*AP108</f>
        <v>2.62539823948867E-007</v>
      </c>
      <c r="AW108" s="57" t="n">
        <f aca="false">AL108*AQ108</f>
        <v>3.84760793856301E-007</v>
      </c>
      <c r="AX108" s="57" t="n">
        <f aca="false">AL108*AR108</f>
        <v>3.42217501194426E-006</v>
      </c>
      <c r="AY108" s="57" t="n">
        <f aca="false">AS108*f_stroke_fatal_recur</f>
        <v>1.81302272362274E-006</v>
      </c>
      <c r="AZ108" s="57" t="n">
        <f aca="false">AS108*(1-f_stroke_fatal_recur)*f_stroke_major</f>
        <v>1.01881864001681E-006</v>
      </c>
      <c r="BA108" s="57" t="n">
        <f aca="false">AS108*(1-f_stroke_fatal_recur)*(1-f_stroke_major)</f>
        <v>2.0406967954691E-006</v>
      </c>
      <c r="BB108" s="57" t="n">
        <f aca="false">AT108*(1-f_bleed_fatal)</f>
        <v>1.15342549835523E-007</v>
      </c>
      <c r="BC108" s="57" t="n">
        <f aca="false">AU108*(1-f_bleed_fatal)</f>
        <v>1.07255323137595E-006</v>
      </c>
      <c r="BD108" s="57" t="n">
        <f aca="false">AV108*f_mi_fatal</f>
        <v>3.17673186978129E-008</v>
      </c>
      <c r="BE108" s="57" t="n">
        <f aca="false">AV108-BD108</f>
        <v>2.30772505251054E-007</v>
      </c>
      <c r="BF108" s="57" t="n">
        <f aca="false">AL108-AS108-AT108-AU108-BD108</f>
        <v>0.00011681816974132</v>
      </c>
      <c r="BG108" s="19" t="n">
        <f aca="false">AY108*c_stroke_fatal+AZ108*c_stroke_major+BA108*c_stroke_minor+AT108*c_ich+AU108*c_major_bleed+BD108*c_mi_fatal+BE108*c_mi_nonfatal+AW108*c_tia+AX108*c_minor_bleed</f>
        <v>0.184568035832471</v>
      </c>
      <c r="BH108" s="57" t="n">
        <f aca="false">dt*(BE108*dec_mi+BC108*dec_major_bleed+AX108*dec_minor_bleed+AW108*dec_tia)</f>
        <v>5.29100243413609E-008</v>
      </c>
      <c r="BI108" s="57" t="n">
        <f aca="false">H108*AK108+AY108+AT108-BB108+AU108-BC108+BD108</f>
        <v>5.26743397628347E-005</v>
      </c>
      <c r="BJ108" s="57" t="n">
        <f aca="false">1-EXP(LN(1-E108)*hr_death_prior_stroke*dt)</f>
        <v>0.29193414982471</v>
      </c>
      <c r="BK108" s="57" t="n">
        <f aca="false">I108*(1-BJ108)</f>
        <v>6.08096002002986E-005</v>
      </c>
      <c r="BL108" s="57" t="n">
        <f aca="false">(1-EXP(-r_stroke*F108*rr_stroke_prior*rr_asa_stroke*dt))</f>
        <v>0.0396079149690949</v>
      </c>
      <c r="BM108" s="57" t="n">
        <f aca="false">(1-EXP(-r_ich*rr_asa_ich*dt))</f>
        <v>0.00102357767802375</v>
      </c>
      <c r="BN108" s="57" t="n">
        <f aca="false">(1-EXP(-r_mb*rr_asa_mb*dt))</f>
        <v>0.00951809672747972</v>
      </c>
      <c r="BO108" s="57" t="n">
        <f aca="false">(1-EXP(-r_mi*rr_asa_mi*dt))</f>
        <v>0.00213413516393479</v>
      </c>
      <c r="BP108" s="57" t="n">
        <f aca="false">(1-EXP(-r_tia*rr_asa_tia*dt))</f>
        <v>0.00312764565589152</v>
      </c>
      <c r="BQ108" s="57" t="n">
        <f aca="false">(1-EXP(-r_minor*rr_asa_minor*dt))</f>
        <v>0.0278181950466747</v>
      </c>
      <c r="BR108" s="57" t="n">
        <f aca="false">BK108*BL108</f>
        <v>2.40854147403808E-006</v>
      </c>
      <c r="BS108" s="57" t="n">
        <f aca="false">BK108*BM108</f>
        <v>6.22433493745739E-008</v>
      </c>
      <c r="BT108" s="57" t="n">
        <f aca="false">BK108*BN108</f>
        <v>5.78791656665812E-007</v>
      </c>
      <c r="BU108" s="57" t="n">
        <f aca="false">BK108*BO108</f>
        <v>1.29775906092273E-007</v>
      </c>
      <c r="BV108" s="57" t="n">
        <f aca="false">BK108*BP108</f>
        <v>1.90190881902964E-007</v>
      </c>
      <c r="BW108" s="57" t="n">
        <f aca="false">BK108*BQ108</f>
        <v>1.69161331908221E-006</v>
      </c>
      <c r="BX108" s="57" t="n">
        <f aca="false">BR108*f_stroke_fatal_recur</f>
        <v>8.96194197074829E-007</v>
      </c>
      <c r="BY108" s="57" t="n">
        <f aca="false">BR108*(1-f_stroke_fatal_recur)*f_stroke_major</f>
        <v>5.03611643228763E-007</v>
      </c>
      <c r="BZ108" s="57" t="n">
        <f aca="false">BR108*(1-f_stroke_fatal_recur)*(1-f_stroke_major)</f>
        <v>1.00873563373449E-006</v>
      </c>
      <c r="CA108" s="57" t="n">
        <f aca="false">BS108*(1-f_bleed_fatal)</f>
        <v>5.70149080271097E-008</v>
      </c>
      <c r="CB108" s="57" t="n">
        <f aca="false">BT108*(1-f_bleed_fatal)</f>
        <v>5.30173157505884E-007</v>
      </c>
      <c r="CC108" s="57" t="n">
        <f aca="false">BU108*f_mi_fatal</f>
        <v>1.57028846371651E-008</v>
      </c>
      <c r="CD108" s="57" t="n">
        <f aca="false">BU108-CC108</f>
        <v>1.14073021455108E-007</v>
      </c>
      <c r="CE108" s="57" t="n">
        <f aca="false">BK108-BR108-BS108-BT108-CC108</f>
        <v>5.77443208355829E-005</v>
      </c>
      <c r="CF108" s="19" t="n">
        <f aca="false">BX108*c_stroke_fatal+BY108*c_stroke_major+BZ108*c_stroke_minor+BS108*c_ich+BT108*c_major_bleed+CC108*c_mi_fatal+CD108*c_mi_nonfatal+BV108*c_tia+BW108*c_minor_bleed</f>
        <v>0.0912337173292811</v>
      </c>
      <c r="CG108" s="57" t="n">
        <f aca="false">dt*(CD108*dec_mi+CB108*dec_major_bleed+BW108*dec_minor_bleed+BV108*dec_tia)</f>
        <v>2.6153923039126E-008</v>
      </c>
      <c r="CH108" s="57" t="n">
        <f aca="false">I108*BJ108+BX108+BS108-CA108+BT108-CB108+CC108</f>
        <v>2.60374219336168E-005</v>
      </c>
      <c r="CI108" s="57" t="n">
        <f aca="false">1-EXP(LN(1-E108)*dt)</f>
        <v>0.139373667543085</v>
      </c>
      <c r="CJ108" s="57" t="n">
        <f aca="false">J108*(1-CI108)</f>
        <v>0.00130372718628345</v>
      </c>
      <c r="CK108" s="57" t="n">
        <f aca="false">(1-EXP(-r_stroke*F108*rr_asa_stroke*dt))</f>
        <v>0.0182021464831538</v>
      </c>
      <c r="CL108" s="57" t="n">
        <f aca="false">(1-EXP(-r_ich*rr_asa_ich*dt))</f>
        <v>0.00102357767802375</v>
      </c>
      <c r="CM108" s="57" t="n">
        <f aca="false">(1-EXP(-r_mb*rr_asa_mb*dt))</f>
        <v>0.00951809672747972</v>
      </c>
      <c r="CN108" s="57" t="n">
        <f aca="false">(1-EXP(-r_mi*rr_asa_mi*dt))</f>
        <v>0.00213413516393479</v>
      </c>
      <c r="CO108" s="57" t="n">
        <f aca="false">(1-EXP(-r_tia*rr_asa_tia*dt))</f>
        <v>0.00312764565589152</v>
      </c>
      <c r="CP108" s="57" t="n">
        <f aca="false">(1-EXP(-r_minor*rr_asa_minor*dt))</f>
        <v>0.0278181950466747</v>
      </c>
      <c r="CQ108" s="57" t="n">
        <f aca="false">CJ108*CK108</f>
        <v>2.37306332188012E-005</v>
      </c>
      <c r="CR108" s="57" t="n">
        <f aca="false">CJ108*CL108</f>
        <v>1.33446604611244E-006</v>
      </c>
      <c r="CS108" s="57" t="n">
        <f aca="false">CJ108*CM108</f>
        <v>1.24090014652908E-005</v>
      </c>
      <c r="CT108" s="57" t="n">
        <f aca="false">CJ108*CN108</f>
        <v>2.78233003242527E-006</v>
      </c>
      <c r="CU108" s="57" t="n">
        <f aca="false">CJ108*CO108</f>
        <v>4.0775966706471E-006</v>
      </c>
      <c r="CV108" s="57" t="n">
        <f aca="false">CJ108*CP108</f>
        <v>3.62673371556853E-005</v>
      </c>
      <c r="CW108" s="57" t="n">
        <f aca="false">CQ108*f_stroke_fatal</f>
        <v>5.62416007285588E-006</v>
      </c>
      <c r="CX108" s="57" t="n">
        <f aca="false">CQ108*(1-f_stroke_fatal)*f_stroke_major</f>
        <v>6.02945555759979E-006</v>
      </c>
      <c r="CY108" s="57" t="n">
        <f aca="false">CQ108*(1-f_stroke_fatal)*(1-f_stroke_major)</f>
        <v>1.20770175883455E-005</v>
      </c>
      <c r="CZ108" s="57" t="n">
        <f aca="false">CR108*(1-f_bleed_fatal)</f>
        <v>1.222370898239E-006</v>
      </c>
      <c r="DA108" s="57" t="n">
        <f aca="false">CS108*(1-f_bleed_fatal)</f>
        <v>1.13666453422064E-005</v>
      </c>
      <c r="DB108" s="57" t="n">
        <f aca="false">CT108*f_mi_fatal</f>
        <v>3.36661933923457E-007</v>
      </c>
      <c r="DC108" s="57" t="n">
        <f aca="false">CT108-DB108</f>
        <v>2.44566809850181E-006</v>
      </c>
      <c r="DD108" s="57" t="n">
        <f aca="false">CJ108-CQ108-CR108-CS108-DB108</f>
        <v>0.00126591642361932</v>
      </c>
      <c r="DE108" s="19" t="n">
        <f aca="false">CW108*c_stroke_fatal+CX108*c_stroke_major+CY108*c_stroke_minor+CR108*c_ich+CS108*c_major_bleed+DB108*c_mi_fatal+DC108*c_mi_nonfatal+CU108*c_tia+CV108*c_minor_bleed</f>
        <v>1.0523483046484</v>
      </c>
      <c r="DF108" s="57" t="n">
        <f aca="false">dt*(DC108*dec_mi+DA108*dec_major_bleed+CV108*dec_minor_bleed+CU108*dec_tia)</f>
        <v>5.60726930974069E-007</v>
      </c>
      <c r="DG108" s="57" t="n">
        <f aca="false">J108*CI108+CW108+CR108-CZ108+CS108-DA108+DB108</f>
        <v>0.000218246669768033</v>
      </c>
      <c r="DH108" s="57" t="n">
        <f aca="false">AG108</f>
        <v>0.0013366469474212</v>
      </c>
      <c r="DI108" s="57" t="n">
        <f aca="false">AB108+AC108+BF108+BA108+BB108+BC108+CY108+CZ108</f>
        <v>0.000143698160988253</v>
      </c>
      <c r="DJ108" s="57" t="n">
        <f aca="false">AA108+AZ108+BY108+CX108+CE108+BZ108+CA108+CB108</f>
        <v>7.08068079770301E-005</v>
      </c>
      <c r="DK108" s="57" t="n">
        <f aca="false">AD108+DD108+DA108</f>
        <v>0.00128773970930482</v>
      </c>
      <c r="DL108" s="57" t="n">
        <f aca="false">K108+AJ108+BI108+CH108+DG108</f>
        <v>0.99716110837431</v>
      </c>
      <c r="DM108" s="58" t="n">
        <f aca="false">SUM(DH108:DL108)</f>
        <v>1</v>
      </c>
      <c r="DN108" s="19" t="n">
        <f aca="false">dt*(G108*Warfarin!$H$2+(H108+I108+J108)*c_aspirin)</f>
        <v>0.169833764580572</v>
      </c>
      <c r="DO108" s="19" t="n">
        <f aca="false">dt*(H108*c_lt_minor_stroke+I108*c_lt_major_stroke)</f>
        <v>1.0303654444086</v>
      </c>
      <c r="DP108" s="19" t="n">
        <f aca="false">AH108+BG108+CF108+DE108</f>
        <v>2.08353145576045</v>
      </c>
      <c r="DQ108" s="19" t="n">
        <f aca="false">DN108+DO108+DP108</f>
        <v>3.28373066474962</v>
      </c>
      <c r="DR108" s="57" t="n">
        <f aca="false">dt*(G108*(u_af-dec_per_year_over_70*MAX(B108-ref_age,0))+H108*(u_minor_stroke-dec_per_year_over_70*MAX(B108-ref_age,0))+I108*(u_major_stroke-dec_per_year_over_70*MAX(B108-ref_age,0))+J108*(u_af-dec_per_year_over_70*MAX(B108-ref_age,0)))-AI108-BH108-CG108-DF108</f>
        <v>0.000660577803759523</v>
      </c>
      <c r="DS108" s="57" t="n">
        <f aca="false">dt*(G108+H108+I108+J108)</f>
        <v>0.000840557470821523</v>
      </c>
      <c r="DT108" s="19" t="n">
        <f aca="false">DQ108*C108</f>
        <v>2.24638117614266</v>
      </c>
      <c r="DU108" s="19" t="n">
        <f aca="false">DN108*C108</f>
        <v>0.116182297142305</v>
      </c>
      <c r="DV108" s="19" t="n">
        <f aca="false">DP108*C108</f>
        <v>1.42533183137243</v>
      </c>
      <c r="DW108" s="19" t="n">
        <f aca="false">DO108*C108</f>
        <v>0.704867047627924</v>
      </c>
      <c r="DX108" s="57" t="n">
        <f aca="false">DR108*C108</f>
        <v>0.000451897459092065</v>
      </c>
      <c r="DY108" s="57" t="n">
        <f aca="false">DS108*C108</f>
        <v>0.0005750205095044</v>
      </c>
      <c r="DZ108" s="57" t="n">
        <f aca="false">T108+AS108+BR108+CQ108</f>
        <v>4.64190373507627E-005</v>
      </c>
      <c r="EA108" s="57" t="n">
        <f aca="false">U108+AT108+BS108+CR108</f>
        <v>4.26378553330545E-006</v>
      </c>
      <c r="EB108" s="57" t="n">
        <f aca="false">V108+AU108+BT108+CS108</f>
        <v>2.55742489895062E-005</v>
      </c>
      <c r="EC108" s="57" t="n">
        <f aca="false">G108*dt*C108</f>
        <v>0.000271542667850322</v>
      </c>
    </row>
    <row r="109" customFormat="false" ht="15" hidden="false" customHeight="false" outlineLevel="0" collapsed="false">
      <c r="A109" s="8" t="n">
        <v>103</v>
      </c>
      <c r="B109" s="54" t="n">
        <f aca="false">start_age+A109*dt</f>
        <v>95.75</v>
      </c>
      <c r="C109" s="16" t="n">
        <f aca="false">(1+disc_rate)^-(A109*dt)</f>
        <v>0.681552652087421</v>
      </c>
      <c r="D109" s="55" t="n">
        <f aca="false">IF(A109*dt&gt;=wane_start,(1-wane_decay)^(A109*dt-wane_start),1)</f>
        <v>1</v>
      </c>
      <c r="E109" s="25" t="n">
        <f aca="false">MIN(p_nonvasc_death*MIN(EXP(gomp_int+gomp_slope*INT(B109)),1)/qx_ref,0.999)</f>
        <v>0.451396568249239</v>
      </c>
      <c r="F109" s="55" t="n">
        <f aca="false">rr_stroke_per_decade^((B109-ref_age)/10)</f>
        <v>2.84076292988072</v>
      </c>
      <c r="G109" s="57" t="n">
        <f aca="false">DH108</f>
        <v>0.0013366469474212</v>
      </c>
      <c r="H109" s="57" t="n">
        <f aca="false">DI108</f>
        <v>0.000143698160988253</v>
      </c>
      <c r="I109" s="57" t="n">
        <f aca="false">DJ108</f>
        <v>7.08068079770301E-005</v>
      </c>
      <c r="J109" s="57" t="n">
        <f aca="false">DK108</f>
        <v>0.00128773970930482</v>
      </c>
      <c r="K109" s="57" t="n">
        <f aca="false">DL108</f>
        <v>0.99716110837431</v>
      </c>
      <c r="L109" s="57" t="n">
        <f aca="false">1-EXP(LN(1-E109)*dt)</f>
        <v>0.139373667543085</v>
      </c>
      <c r="M109" s="57" t="n">
        <f aca="false">G109*(1-L109)</f>
        <v>0.00115035356014884</v>
      </c>
      <c r="N109" s="57" t="n">
        <f aca="false">IF(Warfarin!$B$2=1,EXP(LN(or_apx_stroke)*D109)*(1-EXP(-r_stroke*F109*dt))/(1-(1-EXP(-r_stroke*F109*dt))+EXP(LN(or_apx_stroke)*D109)*(1-EXP(-r_stroke*F109*dt))),(1-EXP(-r_stroke*F109*dt)))</f>
        <v>0.0113895795650599</v>
      </c>
      <c r="O109" s="57" t="n">
        <f aca="false">IF(Warfarin!$B$2=1,EXP(LN(or_apx_ich)*D109)*(1-EXP(-r_ich*dt))/(1-(1-EXP(-r_ich*dt))+EXP(LN(or_apx_ich)*D109)*(1-EXP(-r_ich*dt))),(1-EXP(-r_ich*dt)))</f>
        <v>0.0020060281549299</v>
      </c>
      <c r="P109" s="57" t="n">
        <f aca="false">IF(Warfarin!$B$2=1,EXP(LN(or_apx_mb)*D109)*(1-EXP(-r_mb*dt))/(1-(1-EXP(-r_mb*dt))+EXP(LN(or_apx_mb)*D109)*(1-EXP(-r_mb*dt))),(1-EXP(-r_mb*dt)))</f>
        <v>0.00835410477572107</v>
      </c>
      <c r="Q109" s="57" t="n">
        <f aca="false">IF(Warfarin!$B$2=1,EXP(LN(or_apx_mi)*D109)*(1-EXP(-r_mi*dt))/(1-(1-EXP(-r_mi*dt))+EXP(LN(or_apx_mi)*D109)*(1-EXP(-r_mi*dt))),(1-EXP(-r_mi*dt)))</f>
        <v>0.00150338686144691</v>
      </c>
      <c r="R109" s="57" t="n">
        <f aca="false">(1-EXP(-r_tia*dt))</f>
        <v>0.0020060281549299</v>
      </c>
      <c r="S109" s="57" t="n">
        <f aca="false">(1-EXP(-r_minor*dt))</f>
        <v>0.0437937690785545</v>
      </c>
      <c r="T109" s="57" t="n">
        <f aca="false">M109*N109</f>
        <v>1.31020434012652E-005</v>
      </c>
      <c r="U109" s="57" t="n">
        <f aca="false">M109*O109</f>
        <v>2.30764162978242E-006</v>
      </c>
      <c r="V109" s="57" t="n">
        <f aca="false">M109*P109</f>
        <v>9.61017417060719E-006</v>
      </c>
      <c r="W109" s="57" t="n">
        <f aca="false">M109*Q109</f>
        <v>1.72942642834645E-006</v>
      </c>
      <c r="X109" s="57" t="n">
        <f aca="false">M109*R109</f>
        <v>2.30764162978242E-006</v>
      </c>
      <c r="Y109" s="57" t="n">
        <f aca="false">M109*S109</f>
        <v>5.03783181718515E-005</v>
      </c>
      <c r="Z109" s="57" t="n">
        <f aca="false">T109*f_stroke_fatal</f>
        <v>3.10518428609985E-006</v>
      </c>
      <c r="AA109" s="57" t="n">
        <f aca="false">T109*(1-f_stroke_fatal)*f_stroke_major</f>
        <v>3.32895408535006E-006</v>
      </c>
      <c r="AB109" s="57" t="n">
        <f aca="false">T109*(1-f_stroke_fatal)*(1-f_stroke_major)</f>
        <v>6.66790502981529E-006</v>
      </c>
      <c r="AC109" s="57" t="n">
        <f aca="false">U109*(1-f_bleed_fatal)</f>
        <v>2.1137997328807E-006</v>
      </c>
      <c r="AD109" s="57" t="n">
        <f aca="false">V109*(1-f_bleed_fatal)</f>
        <v>8.80291954027618E-006</v>
      </c>
      <c r="AE109" s="57" t="n">
        <f aca="false">W109*f_mi_fatal</f>
        <v>2.0926059782992E-007</v>
      </c>
      <c r="AF109" s="57" t="n">
        <f aca="false">W109-AE109</f>
        <v>1.52016583051653E-006</v>
      </c>
      <c r="AG109" s="57" t="n">
        <f aca="false">M109-T109-U109-V109-AE109</f>
        <v>0.00112512444034936</v>
      </c>
      <c r="AH109" s="19" t="n">
        <f aca="false">Z109*c_stroke_fatal+AA109*c_stroke_major+AB109*c_stroke_minor+U109*c_ich+V109*c_major_bleed+AE109*c_mi_fatal+AF109*c_mi_nonfatal+X109*c_tia+Y109*c_minor_bleed</f>
        <v>0.640772222525417</v>
      </c>
      <c r="AI109" s="57" t="n">
        <f aca="false">dt*(AF109*dec_mi+AD109*dec_major_bleed+Y109*dec_minor_bleed+X109*dec_tia)</f>
        <v>4.73123637655408E-007</v>
      </c>
      <c r="AJ109" s="57" t="n">
        <f aca="false">G109*L109+Z109+U109-AC109+V109-AD109+AE109</f>
        <v>0.000190608928683524</v>
      </c>
      <c r="AK109" s="57" t="n">
        <f aca="false">1-EXP(LN(1-E109)*hr_death_prior_stroke*dt)</f>
        <v>0.29193414982471</v>
      </c>
      <c r="AL109" s="57" t="n">
        <f aca="false">H109*(1-AK109)</f>
        <v>0.000101747760528773</v>
      </c>
      <c r="AM109" s="57" t="n">
        <f aca="false">(1-EXP(-r_stroke*F109*rr_stroke_prior*rr_asa_stroke*dt))</f>
        <v>0.0400032668444909</v>
      </c>
      <c r="AN109" s="57" t="n">
        <f aca="false">(1-EXP(-r_ich*rr_asa_ich*dt))</f>
        <v>0.00102357767802375</v>
      </c>
      <c r="AO109" s="57" t="n">
        <f aca="false">(1-EXP(-r_mb*rr_asa_mb*dt))</f>
        <v>0.00951809672747972</v>
      </c>
      <c r="AP109" s="57" t="n">
        <f aca="false">(1-EXP(-r_mi*rr_asa_mi*dt))</f>
        <v>0.00213413516393479</v>
      </c>
      <c r="AQ109" s="57" t="n">
        <f aca="false">(1-EXP(-r_tia*rr_asa_tia*dt))</f>
        <v>0.00312764565589152</v>
      </c>
      <c r="AR109" s="57" t="n">
        <f aca="false">(1-EXP(-r_minor*rr_asa_minor*dt))</f>
        <v>0.0278181950466747</v>
      </c>
      <c r="AS109" s="57" t="n">
        <f aca="false">AL109*AM109</f>
        <v>4.07024281526186E-006</v>
      </c>
      <c r="AT109" s="57" t="n">
        <f aca="false">AL109*AN109</f>
        <v>1.04146736466158E-007</v>
      </c>
      <c r="AU109" s="57" t="n">
        <f aca="false">AL109*AO109</f>
        <v>9.68445026517304E-007</v>
      </c>
      <c r="AV109" s="57" t="n">
        <f aca="false">AL109*AP109</f>
        <v>2.17143473596071E-007</v>
      </c>
      <c r="AW109" s="57" t="n">
        <f aca="false">AL109*AQ109</f>
        <v>3.18230941214507E-007</v>
      </c>
      <c r="AX109" s="57" t="n">
        <f aca="false">AL109*AR109</f>
        <v>2.83043904795176E-006</v>
      </c>
      <c r="AY109" s="57" t="n">
        <f aca="false">AS109*f_stroke_fatal_recur</f>
        <v>1.51449664913078E-006</v>
      </c>
      <c r="AZ109" s="57" t="n">
        <f aca="false">AS109*(1-f_stroke_fatal_recur)*f_stroke_major</f>
        <v>8.51063473321647E-007</v>
      </c>
      <c r="BA109" s="57" t="n">
        <f aca="false">AS109*(1-f_stroke_fatal_recur)*(1-f_stroke_major)</f>
        <v>1.70468269280943E-006</v>
      </c>
      <c r="BB109" s="57" t="n">
        <f aca="false">AT109*(1-f_bleed_fatal)</f>
        <v>9.53984106030003E-008</v>
      </c>
      <c r="BC109" s="57" t="n">
        <f aca="false">AU109*(1-f_bleed_fatal)</f>
        <v>8.87095644289851E-007</v>
      </c>
      <c r="BD109" s="57" t="n">
        <f aca="false">AV109*f_mi_fatal</f>
        <v>2.62743603051246E-008</v>
      </c>
      <c r="BE109" s="57" t="n">
        <f aca="false">AV109-BD109</f>
        <v>1.90869113290946E-007</v>
      </c>
      <c r="BF109" s="57" t="n">
        <f aca="false">AL109-AS109-AT109-AU109-BD109</f>
        <v>9.65786515902225E-005</v>
      </c>
      <c r="BG109" s="19" t="n">
        <f aca="false">AY109*c_stroke_fatal+AZ109*c_stroke_major+BA109*c_stroke_minor+AT109*c_ich+AU109*c_major_bleed+BD109*c_mi_fatal+BE109*c_mi_nonfatal+AW109*c_tia+AX109*c_minor_bleed</f>
        <v>0.154040938842391</v>
      </c>
      <c r="BH109" s="57" t="n">
        <f aca="false">dt*(BE109*dec_mi+BC109*dec_major_bleed+AX109*dec_minor_bleed+AW109*dec_tia)</f>
        <v>4.37612332511254E-008</v>
      </c>
      <c r="BI109" s="57" t="n">
        <f aca="false">H109*AK109+AY109+AT109-BB109+AU109-BC109+BD109</f>
        <v>4.35812691770065E-005</v>
      </c>
      <c r="BJ109" s="57" t="n">
        <f aca="false">1-EXP(LN(1-E109)*hr_death_prior_stroke*dt)</f>
        <v>0.29193414982471</v>
      </c>
      <c r="BK109" s="57" t="n">
        <f aca="false">I109*(1-BJ109)</f>
        <v>5.01358826884543E-005</v>
      </c>
      <c r="BL109" s="57" t="n">
        <f aca="false">(1-EXP(-r_stroke*F109*rr_stroke_prior*rr_asa_stroke*dt))</f>
        <v>0.0400032668444909</v>
      </c>
      <c r="BM109" s="57" t="n">
        <f aca="false">(1-EXP(-r_ich*rr_asa_ich*dt))</f>
        <v>0.00102357767802375</v>
      </c>
      <c r="BN109" s="57" t="n">
        <f aca="false">(1-EXP(-r_mb*rr_asa_mb*dt))</f>
        <v>0.00951809672747972</v>
      </c>
      <c r="BO109" s="57" t="n">
        <f aca="false">(1-EXP(-r_mi*rr_asa_mi*dt))</f>
        <v>0.00213413516393479</v>
      </c>
      <c r="BP109" s="57" t="n">
        <f aca="false">(1-EXP(-r_tia*rr_asa_tia*dt))</f>
        <v>0.00312764565589152</v>
      </c>
      <c r="BQ109" s="57" t="n">
        <f aca="false">(1-EXP(-r_minor*rr_asa_minor*dt))</f>
        <v>0.0278181950466747</v>
      </c>
      <c r="BR109" s="57" t="n">
        <f aca="false">BK109*BL109</f>
        <v>2.00559909367033E-006</v>
      </c>
      <c r="BS109" s="57" t="n">
        <f aca="false">BK109*BM109</f>
        <v>5.1317970387919E-008</v>
      </c>
      <c r="BT109" s="57" t="n">
        <f aca="false">BK109*BN109</f>
        <v>4.77198180946284E-007</v>
      </c>
      <c r="BU109" s="57" t="n">
        <f aca="false">BK109*BO109</f>
        <v>1.0699675022034E-007</v>
      </c>
      <c r="BV109" s="57" t="n">
        <f aca="false">BK109*BP109</f>
        <v>1.56807275694831E-007</v>
      </c>
      <c r="BW109" s="57" t="n">
        <f aca="false">BK109*BQ109</f>
        <v>1.39468976346462E-006</v>
      </c>
      <c r="BX109" s="57" t="n">
        <f aca="false">BR109*f_stroke_fatal_recur</f>
        <v>7.46263366763792E-007</v>
      </c>
      <c r="BY109" s="57" t="n">
        <f aca="false">BR109*(1-f_stroke_fatal_recur)*f_stroke_major</f>
        <v>4.19358797059876E-007</v>
      </c>
      <c r="BZ109" s="57" t="n">
        <f aca="false">BR109*(1-f_stroke_fatal_recur)*(1-f_stroke_major)</f>
        <v>8.39976929846659E-007</v>
      </c>
      <c r="CA109" s="57" t="n">
        <f aca="false">BS109*(1-f_bleed_fatal)</f>
        <v>4.70072608753338E-008</v>
      </c>
      <c r="CB109" s="57" t="n">
        <f aca="false">BT109*(1-f_bleed_fatal)</f>
        <v>4.37113533746796E-007</v>
      </c>
      <c r="CC109" s="57" t="n">
        <f aca="false">BU109*f_mi_fatal</f>
        <v>1.29466067766611E-008</v>
      </c>
      <c r="CD109" s="57" t="n">
        <f aca="false">BU109-CC109</f>
        <v>9.40501434436788E-008</v>
      </c>
      <c r="CE109" s="57" t="n">
        <f aca="false">BK109-BR109-BS109-BT109-CC109</f>
        <v>4.75888208366731E-005</v>
      </c>
      <c r="CF109" s="19" t="n">
        <f aca="false">BX109*c_stroke_fatal+BY109*c_stroke_major+BZ109*c_stroke_minor+BS109*c_ich+BT109*c_major_bleed+CC109*c_mi_fatal+CD109*c_mi_nonfatal+BV109*c_tia+BW109*c_minor_bleed</f>
        <v>0.0759031785946534</v>
      </c>
      <c r="CG109" s="57" t="n">
        <f aca="false">dt*(CD109*dec_mi+CB109*dec_major_bleed+BW109*dec_minor_bleed+BV109*dec_tia)</f>
        <v>2.15632073391932E-008</v>
      </c>
      <c r="CH109" s="57" t="n">
        <f aca="false">I109*BJ109+BX109+BS109-CA109+BT109-CB109+CC109</f>
        <v>2.14745306188283E-005</v>
      </c>
      <c r="CI109" s="57" t="n">
        <f aca="false">1-EXP(LN(1-E109)*dt)</f>
        <v>0.139373667543085</v>
      </c>
      <c r="CJ109" s="57" t="n">
        <f aca="false">J109*(1-CI109)</f>
        <v>0.00110826270317815</v>
      </c>
      <c r="CK109" s="57" t="n">
        <f aca="false">(1-EXP(-r_stroke*F109*rr_asa_stroke*dt))</f>
        <v>0.0183858778874141</v>
      </c>
      <c r="CL109" s="57" t="n">
        <f aca="false">(1-EXP(-r_ich*rr_asa_ich*dt))</f>
        <v>0.00102357767802375</v>
      </c>
      <c r="CM109" s="57" t="n">
        <f aca="false">(1-EXP(-r_mb*rr_asa_mb*dt))</f>
        <v>0.00951809672747972</v>
      </c>
      <c r="CN109" s="57" t="n">
        <f aca="false">(1-EXP(-r_mi*rr_asa_mi*dt))</f>
        <v>0.00213413516393479</v>
      </c>
      <c r="CO109" s="57" t="n">
        <f aca="false">(1-EXP(-r_tia*rr_asa_tia*dt))</f>
        <v>0.00312764565589152</v>
      </c>
      <c r="CP109" s="57" t="n">
        <f aca="false">(1-EXP(-r_minor*rr_asa_minor*dt))</f>
        <v>0.0278181950466747</v>
      </c>
      <c r="CQ109" s="57" t="n">
        <f aca="false">CJ109*CK109</f>
        <v>2.03763827278088E-005</v>
      </c>
      <c r="CR109" s="57" t="n">
        <f aca="false">CJ109*CL109</f>
        <v>1.13439296435941E-006</v>
      </c>
      <c r="CS109" s="57" t="n">
        <f aca="false">CJ109*CM109</f>
        <v>1.05485516083077E-005</v>
      </c>
      <c r="CT109" s="57" t="n">
        <f aca="false">CJ109*CN109</f>
        <v>2.36518240572991E-006</v>
      </c>
      <c r="CU109" s="57" t="n">
        <f aca="false">CJ109*CO109</f>
        <v>3.46625302918172E-006</v>
      </c>
      <c r="CV109" s="57" t="n">
        <f aca="false">CJ109*CP109</f>
        <v>3.08298680399646E-005</v>
      </c>
      <c r="CW109" s="57" t="n">
        <f aca="false">CQ109*f_stroke_fatal</f>
        <v>4.82920270649069E-006</v>
      </c>
      <c r="CX109" s="57" t="n">
        <f aca="false">CQ109*(1-f_stroke_fatal)*f_stroke_major</f>
        <v>5.17721094709894E-006</v>
      </c>
      <c r="CY109" s="57" t="n">
        <f aca="false">CQ109*(1-f_stroke_fatal)*(1-f_stroke_major)</f>
        <v>1.03699690742192E-005</v>
      </c>
      <c r="CZ109" s="57" t="n">
        <f aca="false">CR109*(1-f_bleed_fatal)</f>
        <v>1.03910395535322E-006</v>
      </c>
      <c r="DA109" s="57" t="n">
        <f aca="false">CS109*(1-f_bleed_fatal)</f>
        <v>9.66247327320988E-006</v>
      </c>
      <c r="DB109" s="57" t="n">
        <f aca="false">CT109*f_mi_fatal</f>
        <v>2.86187071093319E-007</v>
      </c>
      <c r="DC109" s="57" t="n">
        <f aca="false">CT109-DB109</f>
        <v>2.07899533463659E-006</v>
      </c>
      <c r="DD109" s="57" t="n">
        <f aca="false">CJ109-CQ109-CR109-CS109-DB109</f>
        <v>0.00107591718880658</v>
      </c>
      <c r="DE109" s="19" t="n">
        <f aca="false">CW109*c_stroke_fatal+CX109*c_stroke_major+CY109*c_stroke_minor+CR109*c_ich+CS109*c_major_bleed+DB109*c_mi_fatal+DC109*c_mi_nonfatal+CU109*c_tia+CV109*c_minor_bleed</f>
        <v>0.902095789405462</v>
      </c>
      <c r="DF109" s="57" t="n">
        <f aca="false">dt*(DC109*dec_mi+DA109*dec_major_bleed+CV109*dec_minor_bleed+CU109*dec_tia)</f>
        <v>4.76658576122535E-007</v>
      </c>
      <c r="DG109" s="57" t="n">
        <f aca="false">J109*CI109+CW109+CR109-CZ109+CS109-DA109+DB109</f>
        <v>0.000185573763248367</v>
      </c>
      <c r="DH109" s="57" t="n">
        <f aca="false">AG109</f>
        <v>0.00112512444034936</v>
      </c>
      <c r="DI109" s="57" t="n">
        <f aca="false">AB109+AC109+BF109+BA109+BB109+BC109+CY109+CZ109</f>
        <v>0.000119456606130193</v>
      </c>
      <c r="DJ109" s="57" t="n">
        <f aca="false">AA109+AZ109+BY109+CX109+CE109+BZ109+CA109+CB109</f>
        <v>5.86895058639725E-005</v>
      </c>
      <c r="DK109" s="57" t="n">
        <f aca="false">AD109+DD109+DA109</f>
        <v>0.00109438258162006</v>
      </c>
      <c r="DL109" s="57" t="n">
        <f aca="false">K109+AJ109+BI109+CH109+DG109</f>
        <v>0.997602346866037</v>
      </c>
      <c r="DM109" s="58" t="n">
        <f aca="false">SUM(DH109:DL109)</f>
        <v>1</v>
      </c>
      <c r="DN109" s="19" t="n">
        <f aca="false">dt*(G109*Warfarin!$H$2+(H109+I109+J109)*c_aspirin)</f>
        <v>0.143056482031319</v>
      </c>
      <c r="DO109" s="19" t="n">
        <f aca="false">dt*(H109*c_lt_minor_stroke+I109*c_lt_major_stroke)</f>
        <v>0.850736668094999</v>
      </c>
      <c r="DP109" s="19" t="n">
        <f aca="false">AH109+BG109+CF109+DE109</f>
        <v>1.77281212936792</v>
      </c>
      <c r="DQ109" s="19" t="n">
        <f aca="false">DN109+DO109+DP109</f>
        <v>2.76660527949424</v>
      </c>
      <c r="DR109" s="57" t="n">
        <f aca="false">dt*(G109*(u_af-dec_per_year_over_70*MAX(B109-ref_age,0))+H109*(u_minor_stroke-dec_per_year_over_70*MAX(B109-ref_age,0))+I109*(u_major_stroke-dec_per_year_over_70*MAX(B109-ref_age,0))+J109*(u_af-dec_per_year_over_70*MAX(B109-ref_age,0)))-AI109-BH109-CG109-DF109</f>
        <v>0.000557954326797528</v>
      </c>
      <c r="DS109" s="57" t="n">
        <f aca="false">dt*(G109+H109+I109+J109)</f>
        <v>0.000709722906422828</v>
      </c>
      <c r="DT109" s="19" t="n">
        <f aca="false">DQ109*C109</f>
        <v>1.88558716551836</v>
      </c>
      <c r="DU109" s="19" t="n">
        <f aca="false">DN109*C109</f>
        <v>0.0975005247267416</v>
      </c>
      <c r="DV109" s="19" t="n">
        <f aca="false">DP109*C109</f>
        <v>1.20826480842346</v>
      </c>
      <c r="DW109" s="19" t="n">
        <f aca="false">DO109*C109</f>
        <v>0.579821832368162</v>
      </c>
      <c r="DX109" s="57" t="n">
        <f aca="false">DR109*C109</f>
        <v>0.000380275251172507</v>
      </c>
      <c r="DY109" s="57" t="n">
        <f aca="false">DS109*C109</f>
        <v>0.000483713529119671</v>
      </c>
      <c r="DZ109" s="57" t="n">
        <f aca="false">T109+AS109+BR109+CQ109</f>
        <v>3.95542680380062E-005</v>
      </c>
      <c r="EA109" s="57" t="n">
        <f aca="false">U109+AT109+BS109+CR109</f>
        <v>3.5974993009959E-006</v>
      </c>
      <c r="EB109" s="57" t="n">
        <f aca="false">V109+AU109+BT109+CS109</f>
        <v>2.16043689863785E-005</v>
      </c>
      <c r="EC109" s="57" t="n">
        <f aca="false">G109*dt*C109</f>
        <v>0.000227748817979869</v>
      </c>
    </row>
    <row r="110" customFormat="false" ht="15" hidden="false" customHeight="false" outlineLevel="0" collapsed="false">
      <c r="A110" s="8" t="n">
        <v>104</v>
      </c>
      <c r="B110" s="54" t="n">
        <f aca="false">start_age+A110*dt</f>
        <v>96</v>
      </c>
      <c r="C110" s="16" t="n">
        <f aca="false">(1+disc_rate)^-(A110*dt)</f>
        <v>0.67902052416203</v>
      </c>
      <c r="D110" s="55" t="n">
        <f aca="false">IF(A110*dt&gt;=wane_start,(1-wane_decay)^(A110*dt-wane_start),1)</f>
        <v>1</v>
      </c>
      <c r="E110" s="25" t="n">
        <f aca="false">MIN(p_nonvasc_death*MIN(EXP(gomp_int+gomp_slope*INT(B110)),1)/qx_ref,0.999)</f>
        <v>0.501187263110617</v>
      </c>
      <c r="F110" s="55" t="n">
        <f aca="false">rr_stroke_per_decade^((B110-ref_age)/10)</f>
        <v>2.86970512640803</v>
      </c>
      <c r="G110" s="57" t="n">
        <f aca="false">DH109</f>
        <v>0.00112512444034936</v>
      </c>
      <c r="H110" s="57" t="n">
        <f aca="false">DI109</f>
        <v>0.000119456606130193</v>
      </c>
      <c r="I110" s="57" t="n">
        <f aca="false">DJ109</f>
        <v>5.86895058639725E-005</v>
      </c>
      <c r="J110" s="57" t="n">
        <f aca="false">DK109</f>
        <v>0.00109438258162006</v>
      </c>
      <c r="K110" s="57" t="n">
        <f aca="false">DL109</f>
        <v>0.997602346866037</v>
      </c>
      <c r="L110" s="57" t="n">
        <f aca="false">1-EXP(LN(1-E110)*dt)</f>
        <v>0.159603212505678</v>
      </c>
      <c r="M110" s="57" t="n">
        <f aca="false">G110*(1-L110)</f>
        <v>0.000945550965200947</v>
      </c>
      <c r="N110" s="57" t="n">
        <f aca="false">IF(Warfarin!$B$2=1,EXP(LN(or_apx_stroke)*D110)*(1-EXP(-r_stroke*F110*dt))/(1-(1-EXP(-r_stroke*F110*dt))+EXP(LN(or_apx_stroke)*D110)*(1-EXP(-r_stroke*F110*dt))),(1-EXP(-r_stroke*F110*dt)))</f>
        <v>0.0115049485481362</v>
      </c>
      <c r="O110" s="57" t="n">
        <f aca="false">IF(Warfarin!$B$2=1,EXP(LN(or_apx_ich)*D110)*(1-EXP(-r_ich*dt))/(1-(1-EXP(-r_ich*dt))+EXP(LN(or_apx_ich)*D110)*(1-EXP(-r_ich*dt))),(1-EXP(-r_ich*dt)))</f>
        <v>0.0020060281549299</v>
      </c>
      <c r="P110" s="57" t="n">
        <f aca="false">IF(Warfarin!$B$2=1,EXP(LN(or_apx_mb)*D110)*(1-EXP(-r_mb*dt))/(1-(1-EXP(-r_mb*dt))+EXP(LN(or_apx_mb)*D110)*(1-EXP(-r_mb*dt))),(1-EXP(-r_mb*dt)))</f>
        <v>0.00835410477572107</v>
      </c>
      <c r="Q110" s="57" t="n">
        <f aca="false">IF(Warfarin!$B$2=1,EXP(LN(or_apx_mi)*D110)*(1-EXP(-r_mi*dt))/(1-(1-EXP(-r_mi*dt))+EXP(LN(or_apx_mi)*D110)*(1-EXP(-r_mi*dt))),(1-EXP(-r_mi*dt)))</f>
        <v>0.00150338686144691</v>
      </c>
      <c r="R110" s="57" t="n">
        <f aca="false">(1-EXP(-r_tia*dt))</f>
        <v>0.0020060281549299</v>
      </c>
      <c r="S110" s="57" t="n">
        <f aca="false">(1-EXP(-r_minor*dt))</f>
        <v>0.0437937690785545</v>
      </c>
      <c r="T110" s="57" t="n">
        <f aca="false">M110*N110</f>
        <v>1.08785152042774E-005</v>
      </c>
      <c r="U110" s="57" t="n">
        <f aca="false">M110*O110</f>
        <v>1.89680185811424E-006</v>
      </c>
      <c r="V110" s="57" t="n">
        <f aca="false">M110*P110</f>
        <v>7.8992318340729E-006</v>
      </c>
      <c r="W110" s="57" t="n">
        <f aca="false">M110*Q110</f>
        <v>1.42152889791155E-006</v>
      </c>
      <c r="X110" s="57" t="n">
        <f aca="false">M110*R110</f>
        <v>1.89680185811424E-006</v>
      </c>
      <c r="Y110" s="57" t="n">
        <f aca="false">M110*S110</f>
        <v>4.14092406220146E-005</v>
      </c>
      <c r="Z110" s="57" t="n">
        <f aca="false">T110*f_stroke_fatal</f>
        <v>2.57820810341375E-006</v>
      </c>
      <c r="AA110" s="57" t="n">
        <f aca="false">T110*(1-f_stroke_fatal)*f_stroke_major</f>
        <v>2.76400226458761E-006</v>
      </c>
      <c r="AB110" s="57" t="n">
        <f aca="false">T110*(1-f_stroke_fatal)*(1-f_stroke_major)</f>
        <v>5.53630483627608E-006</v>
      </c>
      <c r="AC110" s="57" t="n">
        <f aca="false">U110*(1-f_bleed_fatal)</f>
        <v>1.73747050203264E-006</v>
      </c>
      <c r="AD110" s="57" t="n">
        <f aca="false">V110*(1-f_bleed_fatal)</f>
        <v>7.23569636001078E-006</v>
      </c>
      <c r="AE110" s="57" t="n">
        <f aca="false">W110*f_mi_fatal</f>
        <v>1.72004996647297E-007</v>
      </c>
      <c r="AF110" s="57" t="n">
        <f aca="false">W110-AE110</f>
        <v>1.24952390126425E-006</v>
      </c>
      <c r="AG110" s="57" t="n">
        <f aca="false">M110-T110-U110-V110-AE110</f>
        <v>0.000924704411307835</v>
      </c>
      <c r="AH110" s="19" t="n">
        <f aca="false">Z110*c_stroke_fatal+AA110*c_stroke_major+AB110*c_stroke_minor+U110*c_ich+V110*c_major_bleed+AE110*c_mi_fatal+AF110*c_mi_nonfatal+X110*c_tia+Y110*c_minor_bleed</f>
        <v>0.530723190296576</v>
      </c>
      <c r="AI110" s="57" t="n">
        <f aca="false">dt*(AF110*dec_mi+AD110*dec_major_bleed+Y110*dec_minor_bleed+X110*dec_tia)</f>
        <v>3.88891318062745E-007</v>
      </c>
      <c r="AJ110" s="57" t="n">
        <f aca="false">G110*L110+Z110+U110-AC110+V110-AD110+AE110</f>
        <v>0.000183146555078616</v>
      </c>
      <c r="AK110" s="57" t="n">
        <f aca="false">1-EXP(LN(1-E110)*hr_death_prior_stroke*dt)</f>
        <v>0.329630754020851</v>
      </c>
      <c r="AL110" s="57" t="n">
        <f aca="false">H110*(1-AK110)</f>
        <v>8.00800349787258E-005</v>
      </c>
      <c r="AM110" s="57" t="n">
        <f aca="false">(1-EXP(-r_stroke*F110*rr_stroke_prior*rr_asa_stroke*dt))</f>
        <v>0.0404024813902498</v>
      </c>
      <c r="AN110" s="57" t="n">
        <f aca="false">(1-EXP(-r_ich*rr_asa_ich*dt))</f>
        <v>0.00102357767802375</v>
      </c>
      <c r="AO110" s="57" t="n">
        <f aca="false">(1-EXP(-r_mb*rr_asa_mb*dt))</f>
        <v>0.00951809672747972</v>
      </c>
      <c r="AP110" s="57" t="n">
        <f aca="false">(1-EXP(-r_mi*rr_asa_mi*dt))</f>
        <v>0.00213413516393479</v>
      </c>
      <c r="AQ110" s="57" t="n">
        <f aca="false">(1-EXP(-r_tia*rr_asa_tia*dt))</f>
        <v>0.00312764565589152</v>
      </c>
      <c r="AR110" s="57" t="n">
        <f aca="false">(1-EXP(-r_minor*rr_asa_minor*dt))</f>
        <v>0.0278181950466747</v>
      </c>
      <c r="AS110" s="57" t="n">
        <f aca="false">AL110*AM110</f>
        <v>3.23543212295853E-006</v>
      </c>
      <c r="AT110" s="57" t="n">
        <f aca="false">AL110*AN110</f>
        <v>8.19681362595845E-008</v>
      </c>
      <c r="AU110" s="57" t="n">
        <f aca="false">AL110*AO110</f>
        <v>7.62209518867472E-007</v>
      </c>
      <c r="AV110" s="57" t="n">
        <f aca="false">AL110*AP110</f>
        <v>1.70901618577227E-007</v>
      </c>
      <c r="AW110" s="57" t="n">
        <f aca="false">AL110*AQ110</f>
        <v>2.50461973524853E-007</v>
      </c>
      <c r="AX110" s="57" t="n">
        <f aca="false">AL110*AR110</f>
        <v>2.22768203238273E-006</v>
      </c>
      <c r="AY110" s="57" t="n">
        <f aca="false">AS110*f_stroke_fatal_recur</f>
        <v>1.20387193863164E-006</v>
      </c>
      <c r="AZ110" s="57" t="n">
        <f aca="false">AS110*(1-f_stroke_fatal_recur)*f_stroke_major</f>
        <v>6.76509541380854E-007</v>
      </c>
      <c r="BA110" s="57" t="n">
        <f aca="false">AS110*(1-f_stroke_fatal_recur)*(1-f_stroke_major)</f>
        <v>1.35505064294603E-006</v>
      </c>
      <c r="BB110" s="57" t="n">
        <f aca="false">AT110*(1-f_bleed_fatal)</f>
        <v>7.50828128137794E-008</v>
      </c>
      <c r="BC110" s="57" t="n">
        <f aca="false">AU110*(1-f_bleed_fatal)</f>
        <v>6.98183919282604E-007</v>
      </c>
      <c r="BD110" s="57" t="n">
        <f aca="false">AV110*f_mi_fatal</f>
        <v>2.06790958478445E-008</v>
      </c>
      <c r="BE110" s="57" t="n">
        <f aca="false">AV110-BD110</f>
        <v>1.50222522729382E-007</v>
      </c>
      <c r="BF110" s="57" t="n">
        <f aca="false">AL110-AS110-AT110-AU110-BD110</f>
        <v>7.59797461047924E-005</v>
      </c>
      <c r="BG110" s="19" t="n">
        <f aca="false">AY110*c_stroke_fatal+AZ110*c_stroke_major+BA110*c_stroke_minor+AT110*c_ich+AU110*c_major_bleed+BD110*c_mi_fatal+BE110*c_mi_nonfatal+AW110*c_tia+AX110*c_minor_bleed</f>
        <v>0.122339381190501</v>
      </c>
      <c r="BH110" s="57" t="n">
        <f aca="false">dt*(BE110*dec_mi+BC110*dec_major_bleed+AX110*dec_minor_bleed+AW110*dec_tia)</f>
        <v>3.44420464023019E-008</v>
      </c>
      <c r="BI110" s="57" t="n">
        <f aca="false">H110*AK110+AY110+AT110-BB110+AU110-BC110+BD110</f>
        <v>4.06720331089775E-005</v>
      </c>
      <c r="BJ110" s="57" t="n">
        <f aca="false">1-EXP(LN(1-E110)*hr_death_prior_stroke*dt)</f>
        <v>0.329630754020851</v>
      </c>
      <c r="BK110" s="57" t="n">
        <f aca="false">I110*(1-BJ110)</f>
        <v>3.93436397929201E-005</v>
      </c>
      <c r="BL110" s="57" t="n">
        <f aca="false">(1-EXP(-r_stroke*F110*rr_stroke_prior*rr_asa_stroke*dt))</f>
        <v>0.0404024813902498</v>
      </c>
      <c r="BM110" s="57" t="n">
        <f aca="false">(1-EXP(-r_ich*rr_asa_ich*dt))</f>
        <v>0.00102357767802375</v>
      </c>
      <c r="BN110" s="57" t="n">
        <f aca="false">(1-EXP(-r_mb*rr_asa_mb*dt))</f>
        <v>0.00951809672747972</v>
      </c>
      <c r="BO110" s="57" t="n">
        <f aca="false">(1-EXP(-r_mi*rr_asa_mi*dt))</f>
        <v>0.00213413516393479</v>
      </c>
      <c r="BP110" s="57" t="n">
        <f aca="false">(1-EXP(-r_tia*rr_asa_tia*dt))</f>
        <v>0.00312764565589152</v>
      </c>
      <c r="BQ110" s="57" t="n">
        <f aca="false">(1-EXP(-r_minor*rr_asa_minor*dt))</f>
        <v>0.0278181950466747</v>
      </c>
      <c r="BR110" s="57" t="n">
        <f aca="false">BK110*BL110</f>
        <v>1.58958067455815E-006</v>
      </c>
      <c r="BS110" s="57" t="n">
        <f aca="false">BK110*BM110</f>
        <v>4.02712714642398E-008</v>
      </c>
      <c r="BT110" s="57" t="n">
        <f aca="false">BK110*BN110</f>
        <v>3.74476569160133E-007</v>
      </c>
      <c r="BU110" s="57" t="n">
        <f aca="false">BK110*BO110</f>
        <v>8.39646451592549E-008</v>
      </c>
      <c r="BV110" s="57" t="n">
        <f aca="false">BK110*BP110</f>
        <v>1.23052964085287E-007</v>
      </c>
      <c r="BW110" s="57" t="n">
        <f aca="false">BK110*BQ110</f>
        <v>1.09446904560556E-006</v>
      </c>
      <c r="BX110" s="57" t="n">
        <f aca="false">BR110*f_stroke_fatal_recur</f>
        <v>5.9146707319634E-007</v>
      </c>
      <c r="BY110" s="57" t="n">
        <f aca="false">BR110*(1-f_stroke_fatal_recur)*f_stroke_major</f>
        <v>3.32371829253481E-007</v>
      </c>
      <c r="BZ110" s="57" t="n">
        <f aca="false">BR110*(1-f_stroke_fatal_recur)*(1-f_stroke_major)</f>
        <v>6.65741772108324E-007</v>
      </c>
      <c r="CA110" s="57" t="n">
        <f aca="false">BS110*(1-f_bleed_fatal)</f>
        <v>3.68884846612436E-008</v>
      </c>
      <c r="CB110" s="57" t="n">
        <f aca="false">BT110*(1-f_bleed_fatal)</f>
        <v>3.43020537350682E-007</v>
      </c>
      <c r="CC110" s="57" t="n">
        <f aca="false">BU110*f_mi_fatal</f>
        <v>1.01597220642698E-008</v>
      </c>
      <c r="CD110" s="57" t="n">
        <f aca="false">BU110-CC110</f>
        <v>7.3804923094985E-008</v>
      </c>
      <c r="CE110" s="57" t="n">
        <f aca="false">BK110-BR110-BS110-BT110-CC110</f>
        <v>3.73291515556733E-005</v>
      </c>
      <c r="CF110" s="19" t="n">
        <f aca="false">BX110*c_stroke_fatal+BY110*c_stroke_major+BZ110*c_stroke_minor+BS110*c_ich+BT110*c_major_bleed+CC110*c_mi_fatal+CD110*c_mi_nonfatal+BV110*c_tia+BW110*c_minor_bleed</f>
        <v>0.0601058247205627</v>
      </c>
      <c r="CG110" s="57" t="n">
        <f aca="false">dt*(CD110*dec_mi+CB110*dec_major_bleed+BW110*dec_minor_bleed+BV110*dec_tia)</f>
        <v>1.69215144291982E-008</v>
      </c>
      <c r="CH110" s="57" t="n">
        <f aca="false">I110*BJ110+BX110+BS110-CA110+BT110-CB110+CC110</f>
        <v>1.99823316849254E-005</v>
      </c>
      <c r="CI110" s="57" t="n">
        <f aca="false">1-EXP(LN(1-E110)*dt)</f>
        <v>0.159603212505678</v>
      </c>
      <c r="CJ110" s="57" t="n">
        <f aca="false">J110*(1-CI110)</f>
        <v>0.000919715605883242</v>
      </c>
      <c r="CK110" s="57" t="n">
        <f aca="false">(1-EXP(-r_stroke*F110*rr_asa_stroke*dt))</f>
        <v>0.0185714462695167</v>
      </c>
      <c r="CL110" s="57" t="n">
        <f aca="false">(1-EXP(-r_ich*rr_asa_ich*dt))</f>
        <v>0.00102357767802375</v>
      </c>
      <c r="CM110" s="57" t="n">
        <f aca="false">(1-EXP(-r_mb*rr_asa_mb*dt))</f>
        <v>0.00951809672747972</v>
      </c>
      <c r="CN110" s="57" t="n">
        <f aca="false">(1-EXP(-r_mi*rr_asa_mi*dt))</f>
        <v>0.00213413516393479</v>
      </c>
      <c r="CO110" s="57" t="n">
        <f aca="false">(1-EXP(-r_tia*rr_asa_tia*dt))</f>
        <v>0.00312764565589152</v>
      </c>
      <c r="CP110" s="57" t="n">
        <f aca="false">(1-EXP(-r_minor*rr_asa_minor*dt))</f>
        <v>0.0278181950466747</v>
      </c>
      <c r="CQ110" s="57" t="n">
        <f aca="false">CJ110*CK110</f>
        <v>1.70804489578966E-005</v>
      </c>
      <c r="CR110" s="57" t="n">
        <f aca="false">CJ110*CL110</f>
        <v>9.41400364312172E-007</v>
      </c>
      <c r="CS110" s="57" t="n">
        <f aca="false">CJ110*CM110</f>
        <v>8.75394209856931E-006</v>
      </c>
      <c r="CT110" s="57" t="n">
        <f aca="false">CJ110*CN110</f>
        <v>1.96279741533502E-006</v>
      </c>
      <c r="CU110" s="57" t="n">
        <f aca="false">CJ110*CO110</f>
        <v>2.87654451939636E-006</v>
      </c>
      <c r="CV110" s="57" t="n">
        <f aca="false">CJ110*CP110</f>
        <v>2.55848281119306E-005</v>
      </c>
      <c r="CW110" s="57" t="n">
        <f aca="false">CQ110*f_stroke_fatal</f>
        <v>4.0480664030215E-006</v>
      </c>
      <c r="CX110" s="57" t="n">
        <f aca="false">CQ110*(1-f_stroke_fatal)*f_stroke_major</f>
        <v>4.33978339077341E-006</v>
      </c>
      <c r="CY110" s="57" t="n">
        <f aca="false">CQ110*(1-f_stroke_fatal)*(1-f_stroke_major)</f>
        <v>8.6925991641017E-006</v>
      </c>
      <c r="CZ110" s="57" t="n">
        <f aca="false">CR110*(1-f_bleed_fatal)</f>
        <v>8.62322733709949E-007</v>
      </c>
      <c r="DA110" s="57" t="n">
        <f aca="false">CS110*(1-f_bleed_fatal)</f>
        <v>8.01861096228949E-006</v>
      </c>
      <c r="DB110" s="57" t="n">
        <f aca="false">CT110*f_mi_fatal</f>
        <v>2.37498487255537E-007</v>
      </c>
      <c r="DC110" s="57" t="n">
        <f aca="false">CT110-DB110</f>
        <v>1.72529892807948E-006</v>
      </c>
      <c r="DD110" s="57" t="n">
        <f aca="false">CJ110-CQ110-CR110-CS110-DB110</f>
        <v>0.000892702315975208</v>
      </c>
      <c r="DE110" s="19" t="n">
        <f aca="false">CW110*c_stroke_fatal+CX110*c_stroke_major+CY110*c_stroke_minor+CR110*c_ich+CS110*c_major_bleed+DB110*c_mi_fatal+DC110*c_mi_nonfatal+CU110*c_tia+CV110*c_minor_bleed</f>
        <v>0.754929421952559</v>
      </c>
      <c r="DF110" s="57" t="n">
        <f aca="false">dt*(DC110*dec_mi+DA110*dec_major_bleed+CV110*dec_minor_bleed+CU110*dec_tia)</f>
        <v>3.95565356373373E-007</v>
      </c>
      <c r="DG110" s="57" t="n">
        <f aca="false">J110*CI110+CW110+CR110-CZ110+CS110-DA110+DB110</f>
        <v>0.000179766949393979</v>
      </c>
      <c r="DH110" s="57" t="n">
        <f aca="false">AG110</f>
        <v>0.000924704411307835</v>
      </c>
      <c r="DI110" s="57" t="n">
        <f aca="false">AB110+AC110+BF110+BA110+BB110+BC110+CY110+CZ110</f>
        <v>9.49367607159552E-005</v>
      </c>
      <c r="DJ110" s="57" t="n">
        <f aca="false">AA110+AZ110+BY110+CX110+CE110+BZ110+CA110+CB110</f>
        <v>4.64874693757889E-005</v>
      </c>
      <c r="DK110" s="57" t="n">
        <f aca="false">AD110+DD110+DA110</f>
        <v>0.000907956623297509</v>
      </c>
      <c r="DL110" s="57" t="n">
        <f aca="false">K110+AJ110+BI110+CH110+DG110</f>
        <v>0.998025914735304</v>
      </c>
      <c r="DM110" s="58" t="n">
        <f aca="false">SUM(DH110:DL110)</f>
        <v>1</v>
      </c>
      <c r="DN110" s="19" t="n">
        <f aca="false">dt*(G110*Warfarin!$H$2+(H110+I110+J110)*c_aspirin)</f>
        <v>0.120496192543542</v>
      </c>
      <c r="DO110" s="19" t="n">
        <f aca="false">dt*(H110*c_lt_minor_stroke+I110*c_lt_major_stroke)</f>
        <v>0.706094082566757</v>
      </c>
      <c r="DP110" s="19" t="n">
        <f aca="false">AH110+BG110+CF110+DE110</f>
        <v>1.4680978181602</v>
      </c>
      <c r="DQ110" s="19" t="n">
        <f aca="false">DN110+DO110+DP110</f>
        <v>2.2946880932705</v>
      </c>
      <c r="DR110" s="57" t="n">
        <f aca="false">dt*(G110*(u_af-dec_per_year_over_70*MAX(B110-ref_age,0))+H110*(u_minor_stroke-dec_per_year_over_70*MAX(B110-ref_age,0))+I110*(u_major_stroke-dec_per_year_over_70*MAX(B110-ref_age,0))+J110*(u_af-dec_per_year_over_70*MAX(B110-ref_age,0)))-AI110-BH110-CG110-DF110</f>
        <v>0.000471372921618019</v>
      </c>
      <c r="DS110" s="57" t="n">
        <f aca="false">dt*(G110+H110+I110+J110)</f>
        <v>0.000599413283490896</v>
      </c>
      <c r="DT110" s="19" t="n">
        <f aca="false">DQ110*C110</f>
        <v>1.5581403118809</v>
      </c>
      <c r="DU110" s="19" t="n">
        <f aca="false">DN110*C110</f>
        <v>0.0818193878204451</v>
      </c>
      <c r="DV110" s="19" t="n">
        <f aca="false">DP110*C110</f>
        <v>0.996868550008271</v>
      </c>
      <c r="DW110" s="19" t="n">
        <f aca="false">DO110*C110</f>
        <v>0.479452374052187</v>
      </c>
      <c r="DX110" s="57" t="n">
        <f aca="false">DR110*C110</f>
        <v>0.000320071888312855</v>
      </c>
      <c r="DY110" s="57" t="n">
        <f aca="false">DS110*C110</f>
        <v>0.000407013921945672</v>
      </c>
      <c r="DZ110" s="57" t="n">
        <f aca="false">T110+AS110+BR110+CQ110</f>
        <v>3.27839769596907E-005</v>
      </c>
      <c r="EA110" s="57" t="n">
        <f aca="false">U110+AT110+BS110+CR110</f>
        <v>2.96044163015023E-006</v>
      </c>
      <c r="EB110" s="57" t="n">
        <f aca="false">V110+AU110+BT110+CS110</f>
        <v>1.77898600206698E-005</v>
      </c>
      <c r="EC110" s="57" t="n">
        <f aca="false">G110*dt*C110</f>
        <v>0.000190995646808383</v>
      </c>
    </row>
    <row r="111" customFormat="false" ht="15" hidden="false" customHeight="false" outlineLevel="0" collapsed="false">
      <c r="A111" s="8" t="n">
        <v>105</v>
      </c>
      <c r="B111" s="54" t="n">
        <f aca="false">start_age+A111*dt</f>
        <v>96.25</v>
      </c>
      <c r="C111" s="16" t="n">
        <f aca="false">(1+disc_rate)^-(A111*dt)</f>
        <v>0.676497803685662</v>
      </c>
      <c r="D111" s="55" t="n">
        <f aca="false">IF(A111*dt&gt;=wane_start,(1-wane_decay)^(A111*dt-wane_start),1)</f>
        <v>1</v>
      </c>
      <c r="E111" s="25" t="n">
        <f aca="false">MIN(p_nonvasc_death*MIN(EXP(gomp_int+gomp_slope*INT(B111)),1)/qx_ref,0.999)</f>
        <v>0.501187263110617</v>
      </c>
      <c r="F111" s="55" t="n">
        <f aca="false">rr_stroke_per_decade^((B111-ref_age)/10)</f>
        <v>2.89894219116634</v>
      </c>
      <c r="G111" s="57" t="n">
        <f aca="false">DH110</f>
        <v>0.000924704411307835</v>
      </c>
      <c r="H111" s="57" t="n">
        <f aca="false">DI110</f>
        <v>9.49367607159552E-005</v>
      </c>
      <c r="I111" s="57" t="n">
        <f aca="false">DJ110</f>
        <v>4.64874693757889E-005</v>
      </c>
      <c r="J111" s="57" t="n">
        <f aca="false">DK110</f>
        <v>0.000907956623297509</v>
      </c>
      <c r="K111" s="57" t="n">
        <f aca="false">DL110</f>
        <v>0.998025914735304</v>
      </c>
      <c r="L111" s="57" t="n">
        <f aca="false">1-EXP(LN(1-E111)*dt)</f>
        <v>0.159603212505678</v>
      </c>
      <c r="M111" s="57" t="n">
        <f aca="false">G111*(1-L111)</f>
        <v>0.000777118616644932</v>
      </c>
      <c r="N111" s="57" t="n">
        <f aca="false">IF(Warfarin!$B$2=1,EXP(LN(or_apx_stroke)*D111)*(1-EXP(-r_stroke*F111*dt))/(1-(1-EXP(-r_stroke*F111*dt))+EXP(LN(or_apx_stroke)*D111)*(1-EXP(-r_stroke*F111*dt))),(1-EXP(-r_stroke*F111*dt)))</f>
        <v>0.0116214792610845</v>
      </c>
      <c r="O111" s="57" t="n">
        <f aca="false">IF(Warfarin!$B$2=1,EXP(LN(or_apx_ich)*D111)*(1-EXP(-r_ich*dt))/(1-(1-EXP(-r_ich*dt))+EXP(LN(or_apx_ich)*D111)*(1-EXP(-r_ich*dt))),(1-EXP(-r_ich*dt)))</f>
        <v>0.0020060281549299</v>
      </c>
      <c r="P111" s="57" t="n">
        <f aca="false">IF(Warfarin!$B$2=1,EXP(LN(or_apx_mb)*D111)*(1-EXP(-r_mb*dt))/(1-(1-EXP(-r_mb*dt))+EXP(LN(or_apx_mb)*D111)*(1-EXP(-r_mb*dt))),(1-EXP(-r_mb*dt)))</f>
        <v>0.00835410477572107</v>
      </c>
      <c r="Q111" s="57" t="n">
        <f aca="false">IF(Warfarin!$B$2=1,EXP(LN(or_apx_mi)*D111)*(1-EXP(-r_mi*dt))/(1-(1-EXP(-r_mi*dt))+EXP(LN(or_apx_mi)*D111)*(1-EXP(-r_mi*dt))),(1-EXP(-r_mi*dt)))</f>
        <v>0.00150338686144691</v>
      </c>
      <c r="R111" s="57" t="n">
        <f aca="false">(1-EXP(-r_tia*dt))</f>
        <v>0.0020060281549299</v>
      </c>
      <c r="S111" s="57" t="n">
        <f aca="false">(1-EXP(-r_minor*dt))</f>
        <v>0.0437937690785545</v>
      </c>
      <c r="T111" s="57" t="n">
        <f aca="false">M111*N111</f>
        <v>9.03126788674174E-006</v>
      </c>
      <c r="U111" s="57" t="n">
        <f aca="false">M111*O111</f>
        <v>1.55892182470991E-006</v>
      </c>
      <c r="V111" s="57" t="n">
        <f aca="false">M111*P111</f>
        <v>6.49213034661518E-006</v>
      </c>
      <c r="W111" s="57" t="n">
        <f aca="false">M111*Q111</f>
        <v>1.16830991804979E-006</v>
      </c>
      <c r="X111" s="57" t="n">
        <f aca="false">M111*R111</f>
        <v>1.55892182470991E-006</v>
      </c>
      <c r="Y111" s="57" t="n">
        <f aca="false">M111*S111</f>
        <v>3.40329532439939E-005</v>
      </c>
      <c r="Z111" s="57" t="n">
        <f aca="false">T111*f_stroke_fatal</f>
        <v>2.14041048915779E-006</v>
      </c>
      <c r="AA111" s="57" t="n">
        <f aca="false">T111*(1-f_stroke_fatal)*f_stroke_major</f>
        <v>2.29465551339546E-006</v>
      </c>
      <c r="AB111" s="57" t="n">
        <f aca="false">T111*(1-f_stroke_fatal)*(1-f_stroke_major)</f>
        <v>4.59620188418849E-006</v>
      </c>
      <c r="AC111" s="57" t="n">
        <f aca="false">U111*(1-f_bleed_fatal)</f>
        <v>1.42797239143427E-006</v>
      </c>
      <c r="AD111" s="57" t="n">
        <f aca="false">V111*(1-f_bleed_fatal)</f>
        <v>5.94679139749951E-006</v>
      </c>
      <c r="AE111" s="57" t="n">
        <f aca="false">W111*f_mi_fatal</f>
        <v>1.41365500084024E-007</v>
      </c>
      <c r="AF111" s="57" t="n">
        <f aca="false">W111-AE111</f>
        <v>1.02694441796576E-006</v>
      </c>
      <c r="AG111" s="57" t="n">
        <f aca="false">M111-T111-U111-V111-AE111</f>
        <v>0.000759894931086782</v>
      </c>
      <c r="AH111" s="19" t="n">
        <f aca="false">Z111*c_stroke_fatal+AA111*c_stroke_major+AB111*c_stroke_minor+U111*c_ich+V111*c_major_bleed+AE111*c_mi_fatal+AF111*c_mi_nonfatal+X111*c_tia+Y111*c_minor_bleed</f>
        <v>0.439530618240383</v>
      </c>
      <c r="AI111" s="57" t="n">
        <f aca="false">dt*(AF111*dec_mi+AD111*dec_major_bleed+Y111*dec_minor_bleed+X111*dec_tia)</f>
        <v>3.19617550233179E-007</v>
      </c>
      <c r="AJ111" s="57" t="n">
        <f aca="false">G111*L111+Z111+U111-AC111+V111-AD111+AE111</f>
        <v>0.000150543859034536</v>
      </c>
      <c r="AK111" s="57" t="n">
        <f aca="false">1-EXP(LN(1-E111)*hr_death_prior_stroke*dt)</f>
        <v>0.329630754020851</v>
      </c>
      <c r="AL111" s="57" t="n">
        <f aca="false">H111*(1-AK111)</f>
        <v>6.36426846968578E-005</v>
      </c>
      <c r="AM111" s="57" t="n">
        <f aca="false">(1-EXP(-r_stroke*F111*rr_stroke_prior*rr_asa_stroke*dt))</f>
        <v>0.0408055946458331</v>
      </c>
      <c r="AN111" s="57" t="n">
        <f aca="false">(1-EXP(-r_ich*rr_asa_ich*dt))</f>
        <v>0.00102357767802375</v>
      </c>
      <c r="AO111" s="57" t="n">
        <f aca="false">(1-EXP(-r_mb*rr_asa_mb*dt))</f>
        <v>0.00951809672747972</v>
      </c>
      <c r="AP111" s="57" t="n">
        <f aca="false">(1-EXP(-r_mi*rr_asa_mi*dt))</f>
        <v>0.00213413516393479</v>
      </c>
      <c r="AQ111" s="57" t="n">
        <f aca="false">(1-EXP(-r_tia*rr_asa_tia*dt))</f>
        <v>0.00312764565589152</v>
      </c>
      <c r="AR111" s="57" t="n">
        <f aca="false">(1-EXP(-r_minor*rr_asa_minor*dt))</f>
        <v>0.0278181950466747</v>
      </c>
      <c r="AS111" s="57" t="n">
        <f aca="false">AL111*AM111</f>
        <v>2.59697759391255E-006</v>
      </c>
      <c r="AT111" s="57" t="n">
        <f aca="false">AL111*AN111</f>
        <v>6.51432314252071E-008</v>
      </c>
      <c r="AU111" s="57" t="n">
        <f aca="false">AL111*AO111</f>
        <v>6.05757228941186E-007</v>
      </c>
      <c r="AV111" s="57" t="n">
        <f aca="false">AL111*AP111</f>
        <v>1.35822091338779E-007</v>
      </c>
      <c r="AW111" s="57" t="n">
        <f aca="false">AL111*AQ111</f>
        <v>1.99051766321401E-007</v>
      </c>
      <c r="AX111" s="57" t="n">
        <f aca="false">AL111*AR111</f>
        <v>1.77042461619121E-006</v>
      </c>
      <c r="AY111" s="57" t="n">
        <f aca="false">AS111*f_stroke_fatal_recur</f>
        <v>9.66309392918919E-007</v>
      </c>
      <c r="AZ111" s="57" t="n">
        <f aca="false">AS111*(1-f_stroke_fatal_recur)*f_stroke_major</f>
        <v>5.43012510930877E-007</v>
      </c>
      <c r="BA111" s="57" t="n">
        <f aca="false">AS111*(1-f_stroke_fatal_recur)*(1-f_stroke_major)</f>
        <v>1.08765569006275E-006</v>
      </c>
      <c r="BB111" s="57" t="n">
        <f aca="false">AT111*(1-f_bleed_fatal)</f>
        <v>5.96711999854897E-008</v>
      </c>
      <c r="BC111" s="57" t="n">
        <f aca="false">AU111*(1-f_bleed_fatal)</f>
        <v>5.54873621710126E-007</v>
      </c>
      <c r="BD111" s="57" t="n">
        <f aca="false">AV111*f_mi_fatal</f>
        <v>1.64344730519922E-008</v>
      </c>
      <c r="BE111" s="57" t="n">
        <f aca="false">AV111-BD111</f>
        <v>1.19387618286787E-007</v>
      </c>
      <c r="BF111" s="57" t="n">
        <f aca="false">AL111-AS111-AT111-AU111-BD111</f>
        <v>6.03583721695269E-005</v>
      </c>
      <c r="BG111" s="19" t="n">
        <f aca="false">AY111*c_stroke_fatal+AZ111*c_stroke_major+BA111*c_stroke_minor+AT111*c_ich+AU111*c_major_bleed+BD111*c_mi_fatal+BE111*c_mi_nonfatal+AW111*c_tia+AX111*c_minor_bleed</f>
        <v>0.0981123906732857</v>
      </c>
      <c r="BH111" s="57" t="n">
        <f aca="false">dt*(BE111*dec_mi+BC111*dec_major_bleed+AX111*dec_minor_bleed+AW111*dec_tia)</f>
        <v>2.73724193561925E-008</v>
      </c>
      <c r="BI111" s="57" t="n">
        <f aca="false">H111*AK111+AY111+AT111-BB111+AU111-BC111+BD111</f>
        <v>3.23331755237391E-005</v>
      </c>
      <c r="BJ111" s="57" t="n">
        <f aca="false">1-EXP(LN(1-E111)*hr_death_prior_stroke*dt)</f>
        <v>0.329630754020851</v>
      </c>
      <c r="BK111" s="57" t="n">
        <f aca="false">I111*(1-BJ111)</f>
        <v>3.11637697929264E-005</v>
      </c>
      <c r="BL111" s="57" t="n">
        <f aca="false">(1-EXP(-r_stroke*F111*rr_stroke_prior*rr_asa_stroke*dt))</f>
        <v>0.0408055946458331</v>
      </c>
      <c r="BM111" s="57" t="n">
        <f aca="false">(1-EXP(-r_ich*rr_asa_ich*dt))</f>
        <v>0.00102357767802375</v>
      </c>
      <c r="BN111" s="57" t="n">
        <f aca="false">(1-EXP(-r_mb*rr_asa_mb*dt))</f>
        <v>0.00951809672747972</v>
      </c>
      <c r="BO111" s="57" t="n">
        <f aca="false">(1-EXP(-r_mi*rr_asa_mi*dt))</f>
        <v>0.00213413516393479</v>
      </c>
      <c r="BP111" s="57" t="n">
        <f aca="false">(1-EXP(-r_tia*rr_asa_tia*dt))</f>
        <v>0.00312764565589152</v>
      </c>
      <c r="BQ111" s="57" t="n">
        <f aca="false">(1-EXP(-r_minor*rr_asa_minor*dt))</f>
        <v>0.0278181950466747</v>
      </c>
      <c r="BR111" s="57" t="n">
        <f aca="false">BK111*BL111</f>
        <v>1.27165615780621E-006</v>
      </c>
      <c r="BS111" s="57" t="n">
        <f aca="false">BK111*BM111</f>
        <v>3.18985391231102E-008</v>
      </c>
      <c r="BT111" s="57" t="n">
        <f aca="false">BK111*BN111</f>
        <v>2.96619775281984E-007</v>
      </c>
      <c r="BU111" s="57" t="n">
        <f aca="false">BK111*BO111</f>
        <v>6.65076969558531E-008</v>
      </c>
      <c r="BV111" s="57" t="n">
        <f aca="false">BK111*BP111</f>
        <v>9.74692292140496E-008</v>
      </c>
      <c r="BW111" s="57" t="n">
        <f aca="false">BK111*BQ111</f>
        <v>8.66919826489296E-007</v>
      </c>
      <c r="BX111" s="57" t="n">
        <f aca="false">BR111*f_stroke_fatal_recur</f>
        <v>4.73170539758114E-007</v>
      </c>
      <c r="BY111" s="57" t="n">
        <f aca="false">BR111*(1-f_stroke_fatal_recur)*f_stroke_major</f>
        <v>2.65895710810017E-007</v>
      </c>
      <c r="BZ111" s="57" t="n">
        <f aca="false">BR111*(1-f_stroke_fatal_recur)*(1-f_stroke_major)</f>
        <v>5.32589907238082E-007</v>
      </c>
      <c r="CA111" s="57" t="n">
        <f aca="false">BS111*(1-f_bleed_fatal)</f>
        <v>2.92190618367689E-008</v>
      </c>
      <c r="CB111" s="57" t="n">
        <f aca="false">BT111*(1-f_bleed_fatal)</f>
        <v>2.71703714158297E-007</v>
      </c>
      <c r="CC111" s="57" t="n">
        <f aca="false">BU111*f_mi_fatal</f>
        <v>8.04743133165822E-009</v>
      </c>
      <c r="CD111" s="57" t="n">
        <f aca="false">BU111-CC111</f>
        <v>5.84602656241949E-008</v>
      </c>
      <c r="CE111" s="57" t="n">
        <f aca="false">BK111-BR111-BS111-BT111-CC111</f>
        <v>2.95555478893834E-005</v>
      </c>
      <c r="CF111" s="19" t="n">
        <f aca="false">BX111*c_stroke_fatal+BY111*c_stroke_major+BZ111*c_stroke_minor+BS111*c_ich+BT111*c_major_bleed+CC111*c_mi_fatal+CD111*c_mi_nonfatal+BV111*c_tia+BW111*c_minor_bleed</f>
        <v>0.048042472930544</v>
      </c>
      <c r="CG111" s="57" t="n">
        <f aca="false">dt*(CD111*dec_mi+CB111*dec_major_bleed+BW111*dec_minor_bleed+BV111*dec_tia)</f>
        <v>1.34033908147489E-008</v>
      </c>
      <c r="CH111" s="57" t="n">
        <f aca="false">I111*BJ111+BX111+BS111-CA111+BT111-CB111+CC111</f>
        <v>1.58325130923623E-005</v>
      </c>
      <c r="CI111" s="57" t="n">
        <f aca="false">1-EXP(LN(1-E111)*dt)</f>
        <v>0.159603212505678</v>
      </c>
      <c r="CJ111" s="57" t="n">
        <f aca="false">J111*(1-CI111)</f>
        <v>0.000763043829403418</v>
      </c>
      <c r="CK111" s="57" t="n">
        <f aca="false">(1-EXP(-r_stroke*F111*rr_asa_stroke*dt))</f>
        <v>0.0187588696366847</v>
      </c>
      <c r="CL111" s="57" t="n">
        <f aca="false">(1-EXP(-r_ich*rr_asa_ich*dt))</f>
        <v>0.00102357767802375</v>
      </c>
      <c r="CM111" s="57" t="n">
        <f aca="false">(1-EXP(-r_mb*rr_asa_mb*dt))</f>
        <v>0.00951809672747972</v>
      </c>
      <c r="CN111" s="57" t="n">
        <f aca="false">(1-EXP(-r_mi*rr_asa_mi*dt))</f>
        <v>0.00213413516393479</v>
      </c>
      <c r="CO111" s="57" t="n">
        <f aca="false">(1-EXP(-r_tia*rr_asa_tia*dt))</f>
        <v>0.00312764565589152</v>
      </c>
      <c r="CP111" s="57" t="n">
        <f aca="false">(1-EXP(-r_minor*rr_asa_minor*dt))</f>
        <v>0.0278181950466747</v>
      </c>
      <c r="CQ111" s="57" t="n">
        <f aca="false">CJ111*CK111</f>
        <v>1.43138397228554E-005</v>
      </c>
      <c r="CR111" s="57" t="n">
        <f aca="false">CJ111*CL111</f>
        <v>7.81034631131098E-007</v>
      </c>
      <c r="CS111" s="57" t="n">
        <f aca="false">CJ111*CM111</f>
        <v>7.26272497556827E-006</v>
      </c>
      <c r="CT111" s="57" t="n">
        <f aca="false">CJ111*CN111</f>
        <v>1.6284386679533E-006</v>
      </c>
      <c r="CU111" s="57" t="n">
        <f aca="false">CJ111*CO111</f>
        <v>2.38653071828843E-006</v>
      </c>
      <c r="CV111" s="57" t="n">
        <f aca="false">CJ111*CP111</f>
        <v>2.12265020755059E-005</v>
      </c>
      <c r="CW111" s="57" t="n">
        <f aca="false">CQ111*f_stroke_fatal</f>
        <v>3.39238001431673E-006</v>
      </c>
      <c r="CX111" s="57" t="n">
        <f aca="false">CQ111*(1-f_stroke_fatal)*f_stroke_major</f>
        <v>3.63684608294338E-006</v>
      </c>
      <c r="CY111" s="57" t="n">
        <f aca="false">CQ111*(1-f_stroke_fatal)*(1-f_stroke_major)</f>
        <v>7.2846136255953E-006</v>
      </c>
      <c r="CZ111" s="57" t="n">
        <f aca="false">CR111*(1-f_bleed_fatal)</f>
        <v>7.15427722116086E-007</v>
      </c>
      <c r="DA111" s="57" t="n">
        <f aca="false">CS111*(1-f_bleed_fatal)</f>
        <v>6.65265607762053E-006</v>
      </c>
      <c r="DB111" s="57" t="n">
        <f aca="false">CT111*f_mi_fatal</f>
        <v>1.97041078822349E-007</v>
      </c>
      <c r="DC111" s="57" t="n">
        <f aca="false">CT111-DB111</f>
        <v>1.43139758913095E-006</v>
      </c>
      <c r="DD111" s="57" t="n">
        <f aca="false">CJ111-CQ111-CR111-CS111-DB111</f>
        <v>0.000740489188995041</v>
      </c>
      <c r="DE111" s="19" t="n">
        <f aca="false">CW111*c_stroke_fatal+CX111*c_stroke_major+CY111*c_stroke_minor+CR111*c_ich+CS111*c_major_bleed+DB111*c_mi_fatal+DC111*c_mi_nonfatal+CU111*c_tia+CV111*c_minor_bleed</f>
        <v>0.631612617111237</v>
      </c>
      <c r="DF111" s="57" t="n">
        <f aca="false">dt*(DC111*dec_mi+DA111*dec_major_bleed+CV111*dec_minor_bleed+CU111*dec_tia)</f>
        <v>3.28181562186936E-007</v>
      </c>
      <c r="DG111" s="57" t="n">
        <f aca="false">J111*CI111+CW111+CR111-CZ111+CS111-DA111+DB111</f>
        <v>0.000149177890794192</v>
      </c>
      <c r="DH111" s="57" t="n">
        <f aca="false">AG111</f>
        <v>0.000759894931086782</v>
      </c>
      <c r="DI111" s="57" t="n">
        <f aca="false">AB111+AC111+BF111+BA111+BB111+BC111+CY111+CZ111</f>
        <v>7.60847883046194E-005</v>
      </c>
      <c r="DJ111" s="57" t="n">
        <f aca="false">AA111+AZ111+BY111+CX111+CE111+BZ111+CA111+CB111</f>
        <v>3.71294703906963E-005</v>
      </c>
      <c r="DK111" s="57" t="n">
        <f aca="false">AD111+DD111+DA111</f>
        <v>0.000753088636470161</v>
      </c>
      <c r="DL111" s="57" t="n">
        <f aca="false">K111+AJ111+BI111+CH111+DG111</f>
        <v>0.998373802173749</v>
      </c>
      <c r="DM111" s="58" t="n">
        <f aca="false">SUM(DH111:DL111)</f>
        <v>1</v>
      </c>
      <c r="DN111" s="19" t="n">
        <f aca="false">dt*(G111*Warfarin!$H$2+(H111+I111+J111)*c_aspirin)</f>
        <v>0.0990664811878862</v>
      </c>
      <c r="DO111" s="19" t="n">
        <f aca="false">dt*(H111*c_lt_minor_stroke+I111*c_lt_major_stroke)</f>
        <v>0.560145983090501</v>
      </c>
      <c r="DP111" s="19" t="n">
        <f aca="false">AH111+BG111+CF111+DE111</f>
        <v>1.21729809895545</v>
      </c>
      <c r="DQ111" s="19" t="n">
        <f aca="false">DN111+DO111+DP111</f>
        <v>1.87651056323384</v>
      </c>
      <c r="DR111" s="57" t="n">
        <f aca="false">dt*(G111*(u_af-dec_per_year_over_70*MAX(B111-ref_age,0))+H111*(u_minor_stroke-dec_per_year_over_70*MAX(B111-ref_age,0))+I111*(u_major_stroke-dec_per_year_over_70*MAX(B111-ref_age,0))+J111*(u_af-dec_per_year_over_70*MAX(B111-ref_age,0)))-AI111-BH111-CG111-DF111</f>
        <v>0.000388334429278453</v>
      </c>
      <c r="DS111" s="57" t="n">
        <f aca="false">dt*(G111+H111+I111+J111)</f>
        <v>0.000493521316174272</v>
      </c>
      <c r="DT111" s="19" t="n">
        <f aca="false">DQ111*C111</f>
        <v>1.26945527462064</v>
      </c>
      <c r="DU111" s="19" t="n">
        <f aca="false">DN111*C111</f>
        <v>0.0670182569424719</v>
      </c>
      <c r="DV111" s="19" t="n">
        <f aca="false">DP111*C111</f>
        <v>0.823499490374093</v>
      </c>
      <c r="DW111" s="19" t="n">
        <f aca="false">DO111*C111</f>
        <v>0.37893752730407</v>
      </c>
      <c r="DX111" s="57" t="n">
        <f aca="false">DR111*C111</f>
        <v>0.000262707388502398</v>
      </c>
      <c r="DY111" s="57" t="n">
        <f aca="false">DS111*C111</f>
        <v>0.000333866086463952</v>
      </c>
      <c r="DZ111" s="57" t="n">
        <f aca="false">T111+AS111+BR111+CQ111</f>
        <v>2.72137413613159E-005</v>
      </c>
      <c r="EA111" s="57" t="n">
        <f aca="false">U111+AT111+BS111+CR111</f>
        <v>2.43699822638932E-006</v>
      </c>
      <c r="EB111" s="57" t="n">
        <f aca="false">V111+AU111+BT111+CS111</f>
        <v>1.46572323264066E-005</v>
      </c>
      <c r="EC111" s="57" t="n">
        <f aca="false">G111*dt*C111</f>
        <v>0.000156390125827048</v>
      </c>
    </row>
    <row r="112" customFormat="false" ht="15" hidden="false" customHeight="false" outlineLevel="0" collapsed="false">
      <c r="A112" s="8" t="n">
        <v>106</v>
      </c>
      <c r="B112" s="54" t="n">
        <f aca="false">start_age+A112*dt</f>
        <v>96.5</v>
      </c>
      <c r="C112" s="16" t="n">
        <f aca="false">(1+disc_rate)^-(A112*dt)</f>
        <v>0.673984455707437</v>
      </c>
      <c r="D112" s="55" t="n">
        <f aca="false">IF(A112*dt&gt;=wane_start,(1-wane_decay)^(A112*dt-wane_start),1)</f>
        <v>1</v>
      </c>
      <c r="E112" s="25" t="n">
        <f aca="false">MIN(p_nonvasc_death*MIN(EXP(gomp_int+gomp_slope*INT(B112)),1)/qx_ref,0.999)</f>
        <v>0.501187263110617</v>
      </c>
      <c r="F112" s="55" t="n">
        <f aca="false">rr_stroke_per_decade^((B112-ref_age)/10)</f>
        <v>2.92847712832549</v>
      </c>
      <c r="G112" s="57" t="n">
        <f aca="false">DH111</f>
        <v>0.000759894931086782</v>
      </c>
      <c r="H112" s="57" t="n">
        <f aca="false">DI111</f>
        <v>7.60847883046194E-005</v>
      </c>
      <c r="I112" s="57" t="n">
        <f aca="false">DJ111</f>
        <v>3.71294703906963E-005</v>
      </c>
      <c r="J112" s="57" t="n">
        <f aca="false">DK111</f>
        <v>0.000753088636470161</v>
      </c>
      <c r="K112" s="57" t="n">
        <f aca="false">DL111</f>
        <v>0.998373802173749</v>
      </c>
      <c r="L112" s="57" t="n">
        <f aca="false">1-EXP(LN(1-E112)*dt)</f>
        <v>0.159603212505678</v>
      </c>
      <c r="M112" s="57" t="n">
        <f aca="false">G112*(1-L112)</f>
        <v>0.00063861325891855</v>
      </c>
      <c r="N112" s="57" t="n">
        <f aca="false">IF(Warfarin!$B$2=1,EXP(LN(or_apx_stroke)*D112)*(1-EXP(-r_stroke*F112*dt))/(1-(1-EXP(-r_stroke*F112*dt))+EXP(LN(or_apx_stroke)*D112)*(1-EXP(-r_stroke*F112*dt))),(1-EXP(-r_stroke*F112*dt)))</f>
        <v>0.0117391832614999</v>
      </c>
      <c r="O112" s="57" t="n">
        <f aca="false">IF(Warfarin!$B$2=1,EXP(LN(or_apx_ich)*D112)*(1-EXP(-r_ich*dt))/(1-(1-EXP(-r_ich*dt))+EXP(LN(or_apx_ich)*D112)*(1-EXP(-r_ich*dt))),(1-EXP(-r_ich*dt)))</f>
        <v>0.0020060281549299</v>
      </c>
      <c r="P112" s="57" t="n">
        <f aca="false">IF(Warfarin!$B$2=1,EXP(LN(or_apx_mb)*D112)*(1-EXP(-r_mb*dt))/(1-(1-EXP(-r_mb*dt))+EXP(LN(or_apx_mb)*D112)*(1-EXP(-r_mb*dt))),(1-EXP(-r_mb*dt)))</f>
        <v>0.00835410477572107</v>
      </c>
      <c r="Q112" s="57" t="n">
        <f aca="false">IF(Warfarin!$B$2=1,EXP(LN(or_apx_mi)*D112)*(1-EXP(-r_mi*dt))/(1-(1-EXP(-r_mi*dt))+EXP(LN(or_apx_mi)*D112)*(1-EXP(-r_mi*dt))),(1-EXP(-r_mi*dt)))</f>
        <v>0.00150338686144691</v>
      </c>
      <c r="R112" s="57" t="n">
        <f aca="false">(1-EXP(-r_tia*dt))</f>
        <v>0.0020060281549299</v>
      </c>
      <c r="S112" s="57" t="n">
        <f aca="false">(1-EXP(-r_minor*dt))</f>
        <v>0.0437937690785545</v>
      </c>
      <c r="T112" s="57" t="n">
        <f aca="false">M112*N112</f>
        <v>7.49679807966856E-006</v>
      </c>
      <c r="U112" s="57" t="n">
        <f aca="false">M112*O112</f>
        <v>1.28107617750215E-006</v>
      </c>
      <c r="V112" s="57" t="n">
        <f aca="false">M112*P112</f>
        <v>5.33504207617026E-006</v>
      </c>
      <c r="W112" s="57" t="n">
        <f aca="false">M112*Q112</f>
        <v>9.60082783003942E-007</v>
      </c>
      <c r="X112" s="57" t="n">
        <f aca="false">M112*R112</f>
        <v>1.28107617750215E-006</v>
      </c>
      <c r="Y112" s="57" t="n">
        <f aca="false">M112*S112</f>
        <v>2.79672815915821E-005</v>
      </c>
      <c r="Z112" s="57" t="n">
        <f aca="false">T112*f_stroke_fatal</f>
        <v>1.77674114488145E-006</v>
      </c>
      <c r="AA112" s="57" t="n">
        <f aca="false">T112*(1-f_stroke_fatal)*f_stroke_major</f>
        <v>1.90477895928411E-006</v>
      </c>
      <c r="AB112" s="57" t="n">
        <f aca="false">T112*(1-f_stroke_fatal)*(1-f_stroke_major)</f>
        <v>3.815277975503E-006</v>
      </c>
      <c r="AC112" s="57" t="n">
        <f aca="false">U112*(1-f_bleed_fatal)</f>
        <v>1.17346577859197E-006</v>
      </c>
      <c r="AD112" s="57" t="n">
        <f aca="false">V112*(1-f_bleed_fatal)</f>
        <v>4.88689854177196E-006</v>
      </c>
      <c r="AE112" s="57" t="n">
        <f aca="false">W112*f_mi_fatal</f>
        <v>1.16170016743477E-007</v>
      </c>
      <c r="AF112" s="57" t="n">
        <f aca="false">W112-AE112</f>
        <v>8.43912766260465E-007</v>
      </c>
      <c r="AG112" s="57" t="n">
        <f aca="false">M112-T112-U112-V112-AE112</f>
        <v>0.000624384172568466</v>
      </c>
      <c r="AH112" s="19" t="n">
        <f aca="false">Z112*c_stroke_fatal+AA112*c_stroke_major+AB112*c_stroke_minor+U112*c_ich+V112*c_major_bleed+AE112*c_mi_fatal+AF112*c_mi_nonfatal+X112*c_tia+Y112*c_minor_bleed</f>
        <v>0.363970610122762</v>
      </c>
      <c r="AI112" s="57" t="n">
        <f aca="false">dt*(AF112*dec_mi+AD112*dec_major_bleed+Y112*dec_minor_bleed+X112*dec_tia)</f>
        <v>2.62652317149717E-007</v>
      </c>
      <c r="AJ112" s="57" t="n">
        <f aca="false">G112*L112+Z112+U112-AC112+V112-AD112+AE112</f>
        <v>0.000123730337263165</v>
      </c>
      <c r="AK112" s="57" t="n">
        <f aca="false">1-EXP(LN(1-E112)*hr_death_prior_stroke*dt)</f>
        <v>0.329630754020851</v>
      </c>
      <c r="AL112" s="57" t="n">
        <f aca="false">H112*(1-AK112)</f>
        <v>5.10049021662509E-005</v>
      </c>
      <c r="AM112" s="57" t="n">
        <f aca="false">(1-EXP(-r_stroke*F112*rr_stroke_prior*rr_asa_stroke*dt))</f>
        <v>0.0412126429521403</v>
      </c>
      <c r="AN112" s="57" t="n">
        <f aca="false">(1-EXP(-r_ich*rr_asa_ich*dt))</f>
        <v>0.00102357767802375</v>
      </c>
      <c r="AO112" s="57" t="n">
        <f aca="false">(1-EXP(-r_mb*rr_asa_mb*dt))</f>
        <v>0.00951809672747972</v>
      </c>
      <c r="AP112" s="57" t="n">
        <f aca="false">(1-EXP(-r_mi*rr_asa_mi*dt))</f>
        <v>0.00213413516393479</v>
      </c>
      <c r="AQ112" s="57" t="n">
        <f aca="false">(1-EXP(-r_tia*rr_asa_tia*dt))</f>
        <v>0.00312764565589152</v>
      </c>
      <c r="AR112" s="57" t="n">
        <f aca="false">(1-EXP(-r_minor*rr_asa_minor*dt))</f>
        <v>0.0278181950466747</v>
      </c>
      <c r="AS112" s="57" t="n">
        <f aca="false">AL112*AM112</f>
        <v>2.10204682178655E-006</v>
      </c>
      <c r="AT112" s="57" t="n">
        <f aca="false">AL112*AN112</f>
        <v>5.22074793271594E-008</v>
      </c>
      <c r="AU112" s="57" t="n">
        <f aca="false">AL112*AO112</f>
        <v>4.85469592394016E-007</v>
      </c>
      <c r="AV112" s="57" t="n">
        <f aca="false">AL112*AP112</f>
        <v>1.0885135524605E-007</v>
      </c>
      <c r="AW112" s="57" t="n">
        <f aca="false">AL112*AQ112</f>
        <v>1.59525260689447E-007</v>
      </c>
      <c r="AX112" s="57" t="n">
        <f aca="false">AL112*AR112</f>
        <v>1.41886431679733E-006</v>
      </c>
      <c r="AY112" s="57" t="n">
        <f aca="false">AS112*f_stroke_fatal_recur</f>
        <v>7.82150601918556E-007</v>
      </c>
      <c r="AZ112" s="57" t="n">
        <f aca="false">AS112*(1-f_stroke_fatal_recur)*f_stroke_major</f>
        <v>4.39525441216041E-007</v>
      </c>
      <c r="BA112" s="57" t="n">
        <f aca="false">AS112*(1-f_stroke_fatal_recur)*(1-f_stroke_major)</f>
        <v>8.8037077865195E-007</v>
      </c>
      <c r="BB112" s="57" t="n">
        <f aca="false">AT112*(1-f_bleed_fatal)</f>
        <v>4.7822051063678E-008</v>
      </c>
      <c r="BC112" s="57" t="n">
        <f aca="false">AU112*(1-f_bleed_fatal)</f>
        <v>4.44690146632919E-007</v>
      </c>
      <c r="BD112" s="57" t="n">
        <f aca="false">AV112*f_mi_fatal</f>
        <v>1.3171013984772E-008</v>
      </c>
      <c r="BE112" s="57" t="n">
        <f aca="false">AV112-BD112</f>
        <v>9.56803412612778E-008</v>
      </c>
      <c r="BF112" s="57" t="n">
        <f aca="false">AL112-AS112-AT112-AU112-BD112</f>
        <v>4.83520072587584E-005</v>
      </c>
      <c r="BG112" s="19" t="n">
        <f aca="false">AY112*c_stroke_fatal+AZ112*c_stroke_major+BA112*c_stroke_minor+AT112*c_ich+AU112*c_major_bleed+BD112*c_mi_fatal+BE112*c_mi_nonfatal+AW112*c_tia+AX112*c_minor_bleed</f>
        <v>0.0793456645538839</v>
      </c>
      <c r="BH112" s="57" t="n">
        <f aca="false">dt*(BE112*dec_mi+BC112*dec_major_bleed+AX112*dec_minor_bleed+AW112*dec_tia)</f>
        <v>2.19369685293166E-008</v>
      </c>
      <c r="BI112" s="57" t="n">
        <f aca="false">H112*AK112+AY112+AT112-BB112+AU112-BC112+BD112</f>
        <v>2.59203726282964E-005</v>
      </c>
      <c r="BJ112" s="57" t="n">
        <f aca="false">1-EXP(LN(1-E112)*hr_death_prior_stroke*dt)</f>
        <v>0.329630754020851</v>
      </c>
      <c r="BK112" s="57" t="n">
        <f aca="false">I112*(1-BJ112)</f>
        <v>2.48904550694162E-005</v>
      </c>
      <c r="BL112" s="57" t="n">
        <f aca="false">(1-EXP(-r_stroke*F112*rr_stroke_prior*rr_asa_stroke*dt))</f>
        <v>0.0412126429521403</v>
      </c>
      <c r="BM112" s="57" t="n">
        <f aca="false">(1-EXP(-r_ich*rr_asa_ich*dt))</f>
        <v>0.00102357767802375</v>
      </c>
      <c r="BN112" s="57" t="n">
        <f aca="false">(1-EXP(-r_mb*rr_asa_mb*dt))</f>
        <v>0.00951809672747972</v>
      </c>
      <c r="BO112" s="57" t="n">
        <f aca="false">(1-EXP(-r_mi*rr_asa_mi*dt))</f>
        <v>0.00213413516393479</v>
      </c>
      <c r="BP112" s="57" t="n">
        <f aca="false">(1-EXP(-r_tia*rr_asa_tia*dt))</f>
        <v>0.00312764565589152</v>
      </c>
      <c r="BQ112" s="57" t="n">
        <f aca="false">(1-EXP(-r_minor*rr_asa_minor*dt))</f>
        <v>0.0278181950466747</v>
      </c>
      <c r="BR112" s="57" t="n">
        <f aca="false">BK112*BL112</f>
        <v>1.02580143769214E-006</v>
      </c>
      <c r="BS112" s="57" t="n">
        <f aca="false">BK112*BM112</f>
        <v>2.54773142049074E-008</v>
      </c>
      <c r="BT112" s="57" t="n">
        <f aca="false">BK112*BN112</f>
        <v>2.36909758941692E-007</v>
      </c>
      <c r="BU112" s="57" t="n">
        <f aca="false">BK112*BO112</f>
        <v>5.31195954099802E-008</v>
      </c>
      <c r="BV112" s="57" t="n">
        <f aca="false">BK112*BP112</f>
        <v>7.78485236710227E-008</v>
      </c>
      <c r="BW112" s="57" t="n">
        <f aca="false">BK112*BQ112</f>
        <v>6.92407533921514E-007</v>
      </c>
      <c r="BX112" s="57" t="n">
        <f aca="false">BR112*f_stroke_fatal_recur</f>
        <v>3.81690456950869E-007</v>
      </c>
      <c r="BY112" s="57" t="n">
        <f aca="false">BR112*(1-f_stroke_fatal_recur)*f_stroke_major</f>
        <v>2.14488956586844E-007</v>
      </c>
      <c r="BZ112" s="57" t="n">
        <f aca="false">BR112*(1-f_stroke_fatal_recur)*(1-f_stroke_major)</f>
        <v>4.29622024154429E-007</v>
      </c>
      <c r="CA112" s="57" t="n">
        <f aca="false">BS112*(1-f_bleed_fatal)</f>
        <v>2.33372198116952E-008</v>
      </c>
      <c r="CB112" s="57" t="n">
        <f aca="false">BT112*(1-f_bleed_fatal)</f>
        <v>2.1700933919059E-007</v>
      </c>
      <c r="CC112" s="57" t="n">
        <f aca="false">BU112*f_mi_fatal</f>
        <v>6.4274710446076E-009</v>
      </c>
      <c r="CD112" s="57" t="n">
        <f aca="false">BU112-CC112</f>
        <v>4.66921243653726E-008</v>
      </c>
      <c r="CE112" s="57" t="n">
        <f aca="false">BK112-BR112-BS112-BT112-CC112</f>
        <v>2.35958390875329E-005</v>
      </c>
      <c r="CF112" s="19" t="n">
        <f aca="false">BX112*c_stroke_fatal+BY112*c_stroke_major+BZ112*c_stroke_minor+BS112*c_ich+BT112*c_major_bleed+CC112*c_mi_fatal+CD112*c_mi_nonfatal+BV112*c_tia+BW112*c_minor_bleed</f>
        <v>0.0387207820160904</v>
      </c>
      <c r="CG112" s="57" t="n">
        <f aca="false">dt*(CD112*dec_mi+CB112*dec_major_bleed+BW112*dec_minor_bleed+BV112*dec_tia)</f>
        <v>1.07052676575752E-008</v>
      </c>
      <c r="CH112" s="57" t="n">
        <f aca="false">I112*BJ112+BX112+BS112-CA112+BT112-CB112+CC112</f>
        <v>1.26491737634199E-005</v>
      </c>
      <c r="CI112" s="57" t="n">
        <f aca="false">1-EXP(LN(1-E112)*dt)</f>
        <v>0.159603212505678</v>
      </c>
      <c r="CJ112" s="57" t="n">
        <f aca="false">J112*(1-CI112)</f>
        <v>0.000632893270788002</v>
      </c>
      <c r="CK112" s="57" t="n">
        <f aca="false">(1-EXP(-r_stroke*F112*rr_asa_stroke*dt))</f>
        <v>0.0189481661653036</v>
      </c>
      <c r="CL112" s="57" t="n">
        <f aca="false">(1-EXP(-r_ich*rr_asa_ich*dt))</f>
        <v>0.00102357767802375</v>
      </c>
      <c r="CM112" s="57" t="n">
        <f aca="false">(1-EXP(-r_mb*rr_asa_mb*dt))</f>
        <v>0.00951809672747972</v>
      </c>
      <c r="CN112" s="57" t="n">
        <f aca="false">(1-EXP(-r_mi*rr_asa_mi*dt))</f>
        <v>0.00213413516393479</v>
      </c>
      <c r="CO112" s="57" t="n">
        <f aca="false">(1-EXP(-r_tia*rr_asa_tia*dt))</f>
        <v>0.00312764565589152</v>
      </c>
      <c r="CP112" s="57" t="n">
        <f aca="false">(1-EXP(-r_minor*rr_asa_minor*dt))</f>
        <v>0.0278181950466747</v>
      </c>
      <c r="CQ112" s="57" t="n">
        <f aca="false">CJ112*CK112</f>
        <v>1.19921668597935E-005</v>
      </c>
      <c r="CR112" s="57" t="n">
        <f aca="false">CJ112*CL112</f>
        <v>6.47815424550037E-007</v>
      </c>
      <c r="CS112" s="57" t="n">
        <f aca="false">CJ112*CM112</f>
        <v>6.02393936953122E-006</v>
      </c>
      <c r="CT112" s="57" t="n">
        <f aca="false">CJ112*CN112</f>
        <v>1.35067978420638E-006</v>
      </c>
      <c r="CU112" s="57" t="n">
        <f aca="false">CJ112*CO112</f>
        <v>1.97946588902307E-006</v>
      </c>
      <c r="CV112" s="57" t="n">
        <f aca="false">CJ112*CP112</f>
        <v>1.76059484505086E-005</v>
      </c>
      <c r="CW112" s="57" t="n">
        <f aca="false">CQ112*f_stroke_fatal</f>
        <v>2.84214354577107E-006</v>
      </c>
      <c r="CX112" s="57" t="n">
        <f aca="false">CQ112*(1-f_stroke_fatal)*f_stroke_major</f>
        <v>3.04695776356949E-006</v>
      </c>
      <c r="CY112" s="57" t="n">
        <f aca="false">CQ112*(1-f_stroke_fatal)*(1-f_stroke_major)</f>
        <v>6.10306555045299E-006</v>
      </c>
      <c r="CZ112" s="57" t="n">
        <f aca="false">CR112*(1-f_bleed_fatal)</f>
        <v>5.93398928887834E-007</v>
      </c>
      <c r="DA112" s="57" t="n">
        <f aca="false">CS112*(1-f_bleed_fatal)</f>
        <v>5.5179284624906E-006</v>
      </c>
      <c r="DB112" s="57" t="n">
        <f aca="false">CT112*f_mi_fatal</f>
        <v>1.63432253888972E-007</v>
      </c>
      <c r="DC112" s="57" t="n">
        <f aca="false">CT112-DB112</f>
        <v>1.18724753031741E-006</v>
      </c>
      <c r="DD112" s="57" t="n">
        <f aca="false">CJ112-CQ112-CR112-CS112-DB112</f>
        <v>0.000614065916880238</v>
      </c>
      <c r="DE112" s="19" t="n">
        <f aca="false">CW112*c_stroke_fatal+CX112*c_stroke_major+CY112*c_stroke_minor+CR112*c_ich+CS112*c_major_bleed+DB112*c_mi_fatal+DC112*c_mi_nonfatal+CU112*c_tia+CV112*c_minor_bleed</f>
        <v>0.528306458027224</v>
      </c>
      <c r="DF112" s="57" t="n">
        <f aca="false">dt*(DC112*dec_mi+DA112*dec_major_bleed+CV112*dec_minor_bleed+CU112*dec_tia)</f>
        <v>2.722044190662E-007</v>
      </c>
      <c r="DG112" s="57" t="n">
        <f aca="false">J112*CI112+CW112+CR112-CZ112+CS112-DA112+DB112</f>
        <v>0.000123761368884522</v>
      </c>
      <c r="DH112" s="57" t="n">
        <f aca="false">AG112</f>
        <v>0.000624384172568466</v>
      </c>
      <c r="DI112" s="57" t="n">
        <f aca="false">AB112+AC112+BF112+BA112+BB112+BC112+CY112+CZ112</f>
        <v>6.14100984685427E-005</v>
      </c>
      <c r="DJ112" s="57" t="n">
        <f aca="false">AA112+AZ112+BY112+CX112+CE112+BZ112+CA112+CB112</f>
        <v>2.98715587913461E-005</v>
      </c>
      <c r="DK112" s="57" t="n">
        <f aca="false">AD112+DD112+DA112</f>
        <v>0.000624470743884501</v>
      </c>
      <c r="DL112" s="57" t="n">
        <f aca="false">K112+AJ112+BI112+CH112+DG112</f>
        <v>0.998659863426288</v>
      </c>
      <c r="DM112" s="58" t="n">
        <f aca="false">SUM(DH112:DL112)</f>
        <v>1</v>
      </c>
      <c r="DN112" s="19" t="n">
        <f aca="false">dt*(G112*Warfarin!$H$2+(H112+I112+J112)*c_aspirin)</f>
        <v>0.0814485017788113</v>
      </c>
      <c r="DO112" s="19" t="n">
        <f aca="false">dt*(H112*c_lt_minor_stroke+I112*c_lt_major_stroke)</f>
        <v>0.448087748962791</v>
      </c>
      <c r="DP112" s="19" t="n">
        <f aca="false">AH112+BG112+CF112+DE112</f>
        <v>1.01034351471996</v>
      </c>
      <c r="DQ112" s="19" t="n">
        <f aca="false">DN112+DO112+DP112</f>
        <v>1.53987976546156</v>
      </c>
      <c r="DR112" s="57" t="n">
        <f aca="false">dt*(G112*(u_af-dec_per_year_over_70*MAX(B112-ref_age,0))+H112*(u_minor_stroke-dec_per_year_over_70*MAX(B112-ref_age,0))+I112*(u_major_stroke-dec_per_year_over_70*MAX(B112-ref_age,0))+J112*(u_af-dec_per_year_over_70*MAX(B112-ref_age,0)))-AI112-BH112-CG112-DF112</f>
        <v>0.000320040554154293</v>
      </c>
      <c r="DS112" s="57" t="n">
        <f aca="false">dt*(G112+H112+I112+J112)</f>
        <v>0.000406549456563065</v>
      </c>
      <c r="DT112" s="19" t="n">
        <f aca="false">DQ112*C112</f>
        <v>1.03785502557951</v>
      </c>
      <c r="DU112" s="19" t="n">
        <f aca="false">DN112*C112</f>
        <v>0.0548950241395783</v>
      </c>
      <c r="DV112" s="19" t="n">
        <f aca="false">DP112*C112</f>
        <v>0.680955823846071</v>
      </c>
      <c r="DW112" s="19" t="n">
        <f aca="false">DO112*C112</f>
        <v>0.302004177593857</v>
      </c>
      <c r="DX112" s="57" t="n">
        <f aca="false">DR112*C112</f>
        <v>0.000215702358695988</v>
      </c>
      <c r="DY112" s="57" t="n">
        <f aca="false">DS112*C112</f>
        <v>0.000274008014199811</v>
      </c>
      <c r="DZ112" s="57" t="n">
        <f aca="false">T112+AS112+BR112+CQ112</f>
        <v>2.26168131989408E-005</v>
      </c>
      <c r="EA112" s="57" t="n">
        <f aca="false">U112+AT112+BS112+CR112</f>
        <v>2.00657639558425E-006</v>
      </c>
      <c r="EB112" s="57" t="n">
        <f aca="false">V112+AU112+BT112+CS112</f>
        <v>1.20813607970372E-005</v>
      </c>
      <c r="EC112" s="57" t="n">
        <f aca="false">G112*dt*C112</f>
        <v>0.000128039342880841</v>
      </c>
    </row>
    <row r="113" customFormat="false" ht="15" hidden="false" customHeight="false" outlineLevel="0" collapsed="false">
      <c r="A113" s="8" t="n">
        <v>107</v>
      </c>
      <c r="B113" s="54" t="n">
        <f aca="false">start_age+A113*dt</f>
        <v>96.75</v>
      </c>
      <c r="C113" s="16" t="n">
        <f aca="false">(1+disc_rate)^-(A113*dt)</f>
        <v>0.671480445406326</v>
      </c>
      <c r="D113" s="55" t="n">
        <f aca="false">IF(A113*dt&gt;=wane_start,(1-wane_decay)^(A113*dt-wane_start),1)</f>
        <v>1</v>
      </c>
      <c r="E113" s="25" t="n">
        <f aca="false">MIN(p_nonvasc_death*MIN(EXP(gomp_int+gomp_slope*INT(B113)),1)/qx_ref,0.999)</f>
        <v>0.501187263110617</v>
      </c>
      <c r="F113" s="55" t="n">
        <f aca="false">rr_stroke_per_decade^((B113-ref_age)/10)</f>
        <v>2.95831297266231</v>
      </c>
      <c r="G113" s="57" t="n">
        <f aca="false">DH112</f>
        <v>0.000624384172568466</v>
      </c>
      <c r="H113" s="57" t="n">
        <f aca="false">DI112</f>
        <v>6.14100984685427E-005</v>
      </c>
      <c r="I113" s="57" t="n">
        <f aca="false">DJ112</f>
        <v>2.98715587913461E-005</v>
      </c>
      <c r="J113" s="57" t="n">
        <f aca="false">DK112</f>
        <v>0.000624470743884501</v>
      </c>
      <c r="K113" s="57" t="n">
        <f aca="false">DL112</f>
        <v>0.998659863426288</v>
      </c>
      <c r="L113" s="57" t="n">
        <f aca="false">1-EXP(LN(1-E113)*dt)</f>
        <v>0.159603212505678</v>
      </c>
      <c r="M113" s="57" t="n">
        <f aca="false">G113*(1-L113)</f>
        <v>0.000524730452788839</v>
      </c>
      <c r="N113" s="57" t="n">
        <f aca="false">IF(Warfarin!$B$2=1,EXP(LN(or_apx_stroke)*D113)*(1-EXP(-r_stroke*F113*dt))/(1-(1-EXP(-r_stroke*F113*dt))+EXP(LN(or_apx_stroke)*D113)*(1-EXP(-r_stroke*F113*dt))),(1-EXP(-r_stroke*F113*dt)))</f>
        <v>0.0118580722190791</v>
      </c>
      <c r="O113" s="57" t="n">
        <f aca="false">IF(Warfarin!$B$2=1,EXP(LN(or_apx_ich)*D113)*(1-EXP(-r_ich*dt))/(1-(1-EXP(-r_ich*dt))+EXP(LN(or_apx_ich)*D113)*(1-EXP(-r_ich*dt))),(1-EXP(-r_ich*dt)))</f>
        <v>0.0020060281549299</v>
      </c>
      <c r="P113" s="57" t="n">
        <f aca="false">IF(Warfarin!$B$2=1,EXP(LN(or_apx_mb)*D113)*(1-EXP(-r_mb*dt))/(1-(1-EXP(-r_mb*dt))+EXP(LN(or_apx_mb)*D113)*(1-EXP(-r_mb*dt))),(1-EXP(-r_mb*dt)))</f>
        <v>0.00835410477572107</v>
      </c>
      <c r="Q113" s="57" t="n">
        <f aca="false">IF(Warfarin!$B$2=1,EXP(LN(or_apx_mi)*D113)*(1-EXP(-r_mi*dt))/(1-(1-EXP(-r_mi*dt))+EXP(LN(or_apx_mi)*D113)*(1-EXP(-r_mi*dt))),(1-EXP(-r_mi*dt)))</f>
        <v>0.00150338686144691</v>
      </c>
      <c r="R113" s="57" t="n">
        <f aca="false">(1-EXP(-r_tia*dt))</f>
        <v>0.0020060281549299</v>
      </c>
      <c r="S113" s="57" t="n">
        <f aca="false">(1-EXP(-r_minor*dt))</f>
        <v>0.0437937690785545</v>
      </c>
      <c r="T113" s="57" t="n">
        <f aca="false">M113*N113</f>
        <v>6.22229160472012E-006</v>
      </c>
      <c r="U113" s="57" t="n">
        <f aca="false">M113*O113</f>
        <v>1.05262406204352E-006</v>
      </c>
      <c r="V113" s="57" t="n">
        <f aca="false">M113*P113</f>
        <v>4.38365318160952E-006</v>
      </c>
      <c r="W113" s="57" t="n">
        <f aca="false">M113*Q113</f>
        <v>7.88872868523828E-007</v>
      </c>
      <c r="X113" s="57" t="n">
        <f aca="false">M113*R113</f>
        <v>1.05262406204352E-006</v>
      </c>
      <c r="Y113" s="57" t="n">
        <f aca="false">M113*S113</f>
        <v>2.29799242779197E-005</v>
      </c>
      <c r="Z113" s="57" t="n">
        <f aca="false">T113*f_stroke_fatal</f>
        <v>1.47468311031867E-006</v>
      </c>
      <c r="AA113" s="57" t="n">
        <f aca="false">T113*(1-f_stroke_fatal)*f_stroke_major</f>
        <v>1.58095362863568E-006</v>
      </c>
      <c r="AB113" s="57" t="n">
        <f aca="false">T113*(1-f_stroke_fatal)*(1-f_stroke_major)</f>
        <v>3.16665486576577E-006</v>
      </c>
      <c r="AC113" s="57" t="n">
        <f aca="false">U113*(1-f_bleed_fatal)</f>
        <v>9.64203640831867E-007</v>
      </c>
      <c r="AD113" s="57" t="n">
        <f aca="false">V113*(1-f_bleed_fatal)</f>
        <v>4.01542631435432E-006</v>
      </c>
      <c r="AE113" s="57" t="n">
        <f aca="false">W113*f_mi_fatal</f>
        <v>9.54536170913831E-008</v>
      </c>
      <c r="AF113" s="57" t="n">
        <f aca="false">W113-AE113</f>
        <v>6.93419251432445E-007</v>
      </c>
      <c r="AG113" s="57" t="n">
        <f aca="false">M113-T113-U113-V113-AE113</f>
        <v>0.000512976430323374</v>
      </c>
      <c r="AH113" s="19" t="n">
        <f aca="false">Z113*c_stroke_fatal+AA113*c_stroke_major+AB113*c_stroke_minor+U113*c_ich+V113*c_major_bleed+AE113*c_mi_fatal+AF113*c_mi_nonfatal+X113*c_tia+Y113*c_minor_bleed</f>
        <v>0.301369321322481</v>
      </c>
      <c r="AI113" s="57" t="n">
        <f aca="false">dt*(AF113*dec_mi+AD113*dec_major_bleed+Y113*dec_minor_bleed+X113*dec_tia)</f>
        <v>2.15813980338273E-007</v>
      </c>
      <c r="AJ113" s="57" t="n">
        <f aca="false">G113*L113+Z113+U113-AC113+V113-AD113+AE113</f>
        <v>0.000101680503795504</v>
      </c>
      <c r="AK113" s="57" t="n">
        <f aca="false">1-EXP(LN(1-E113)*hr_death_prior_stroke*dt)</f>
        <v>0.329630754020851</v>
      </c>
      <c r="AL113" s="57" t="n">
        <f aca="false">H113*(1-AK113)</f>
        <v>4.11674414058623E-005</v>
      </c>
      <c r="AM113" s="57" t="n">
        <f aca="false">(1-EXP(-r_stroke*F113*rr_stroke_prior*rr_asa_stroke*dt))</f>
        <v>0.0416236629532983</v>
      </c>
      <c r="AN113" s="57" t="n">
        <f aca="false">(1-EXP(-r_ich*rr_asa_ich*dt))</f>
        <v>0.00102357767802375</v>
      </c>
      <c r="AO113" s="57" t="n">
        <f aca="false">(1-EXP(-r_mb*rr_asa_mb*dt))</f>
        <v>0.00951809672747972</v>
      </c>
      <c r="AP113" s="57" t="n">
        <f aca="false">(1-EXP(-r_mi*rr_asa_mi*dt))</f>
        <v>0.00213413516393479</v>
      </c>
      <c r="AQ113" s="57" t="n">
        <f aca="false">(1-EXP(-r_tia*rr_asa_tia*dt))</f>
        <v>0.00312764565589152</v>
      </c>
      <c r="AR113" s="57" t="n">
        <f aca="false">(1-EXP(-r_minor*rr_asa_minor*dt))</f>
        <v>0.0278181950466747</v>
      </c>
      <c r="AS113" s="57" t="n">
        <f aca="false">AL113*AM113</f>
        <v>1.71353970572727E-006</v>
      </c>
      <c r="AT113" s="57" t="n">
        <f aca="false">AL113*AN113</f>
        <v>4.21380740843911E-008</v>
      </c>
      <c r="AU113" s="57" t="n">
        <f aca="false">AL113*AO113</f>
        <v>3.91835689323851E-007</v>
      </c>
      <c r="AV113" s="57" t="n">
        <f aca="false">AL113*AP113</f>
        <v>8.78568843134759E-008</v>
      </c>
      <c r="AW113" s="57" t="n">
        <f aca="false">AL113*AQ113</f>
        <v>1.28757169277214E-007</v>
      </c>
      <c r="AX113" s="57" t="n">
        <f aca="false">AL113*AR113</f>
        <v>1.14520391460083E-006</v>
      </c>
      <c r="AY113" s="57" t="n">
        <f aca="false">AS113*f_stroke_fatal_recur</f>
        <v>6.3759098910406E-007</v>
      </c>
      <c r="AZ113" s="57" t="n">
        <f aca="false">AS113*(1-f_stroke_fatal_recur)*f_stroke_major</f>
        <v>3.58290922635529E-007</v>
      </c>
      <c r="BA113" s="57" t="n">
        <f aca="false">AS113*(1-f_stroke_fatal_recur)*(1-f_stroke_major)</f>
        <v>7.17657793987681E-007</v>
      </c>
      <c r="BB113" s="57" t="n">
        <f aca="false">AT113*(1-f_bleed_fatal)</f>
        <v>3.85984758613023E-008</v>
      </c>
      <c r="BC113" s="57" t="n">
        <f aca="false">AU113*(1-f_bleed_fatal)</f>
        <v>3.58921491420648E-007</v>
      </c>
      <c r="BD113" s="57" t="n">
        <f aca="false">AV113*f_mi_fatal</f>
        <v>1.06306830019306E-008</v>
      </c>
      <c r="BE113" s="57" t="n">
        <f aca="false">AV113-BD113</f>
        <v>7.72262013115453E-008</v>
      </c>
      <c r="BF113" s="57" t="n">
        <f aca="false">AL113-AS113-AT113-AU113-BD113</f>
        <v>3.90092972537249E-005</v>
      </c>
      <c r="BG113" s="19" t="n">
        <f aca="false">AY113*c_stroke_fatal+AZ113*c_stroke_major+BA113*c_stroke_minor+AT113*c_ich+AU113*c_major_bleed+BD113*c_mi_fatal+BE113*c_mi_nonfatal+AW113*c_tia+AX113*c_minor_bleed</f>
        <v>0.0646254547724746</v>
      </c>
      <c r="BH113" s="57" t="n">
        <f aca="false">dt*(BE113*dec_mi+BC113*dec_major_bleed+AX113*dec_minor_bleed+AW113*dec_tia)</f>
        <v>1.77059229250016E-008</v>
      </c>
      <c r="BI113" s="57" t="n">
        <f aca="false">H113*AK113+AY113+AT113-BB113+AU113-BC113+BD113</f>
        <v>2.09273325309127E-005</v>
      </c>
      <c r="BJ113" s="57" t="n">
        <f aca="false">1-EXP(LN(1-E113)*hr_death_prior_stroke*dt)</f>
        <v>0.329630754020851</v>
      </c>
      <c r="BK113" s="57" t="n">
        <f aca="false">I113*(1-BJ113)</f>
        <v>2.00249743431765E-005</v>
      </c>
      <c r="BL113" s="57" t="n">
        <f aca="false">(1-EXP(-r_stroke*F113*rr_stroke_prior*rr_asa_stroke*dt))</f>
        <v>0.0416236629532983</v>
      </c>
      <c r="BM113" s="57" t="n">
        <f aca="false">(1-EXP(-r_ich*rr_asa_ich*dt))</f>
        <v>0.00102357767802375</v>
      </c>
      <c r="BN113" s="57" t="n">
        <f aca="false">(1-EXP(-r_mb*rr_asa_mb*dt))</f>
        <v>0.00951809672747972</v>
      </c>
      <c r="BO113" s="57" t="n">
        <f aca="false">(1-EXP(-r_mi*rr_asa_mi*dt))</f>
        <v>0.00213413516393479</v>
      </c>
      <c r="BP113" s="57" t="n">
        <f aca="false">(1-EXP(-r_tia*rr_asa_tia*dt))</f>
        <v>0.00312764565589152</v>
      </c>
      <c r="BQ113" s="57" t="n">
        <f aca="false">(1-EXP(-r_minor*rr_asa_minor*dt))</f>
        <v>0.0278181950466747</v>
      </c>
      <c r="BR113" s="57" t="n">
        <f aca="false">BK113*BL113</f>
        <v>8.33512782708825E-007</v>
      </c>
      <c r="BS113" s="57" t="n">
        <f aca="false">BK113*BM113</f>
        <v>2.04971167406737E-008</v>
      </c>
      <c r="BT113" s="57" t="n">
        <f aca="false">BK113*BN113</f>
        <v>1.90599642763654E-007</v>
      </c>
      <c r="BU113" s="57" t="n">
        <f aca="false">BK113*BO113</f>
        <v>4.2736001902665E-008</v>
      </c>
      <c r="BV113" s="57" t="n">
        <f aca="false">BK113*BP113</f>
        <v>6.26310240137751E-008</v>
      </c>
      <c r="BW113" s="57" t="n">
        <f aca="false">BK113*BQ113</f>
        <v>5.5705864208314E-007</v>
      </c>
      <c r="BX113" s="57" t="n">
        <f aca="false">BR113*f_stroke_fatal_recur</f>
        <v>3.10141771318127E-007</v>
      </c>
      <c r="BY113" s="57" t="n">
        <f aca="false">BR113*(1-f_stroke_fatal_recur)*f_stroke_major</f>
        <v>1.74282546793103E-007</v>
      </c>
      <c r="BZ113" s="57" t="n">
        <f aca="false">BR113*(1-f_stroke_fatal_recur)*(1-f_stroke_major)</f>
        <v>3.49088464597596E-007</v>
      </c>
      <c r="CA113" s="57" t="n">
        <f aca="false">BS113*(1-f_bleed_fatal)</f>
        <v>1.87753589344571E-008</v>
      </c>
      <c r="CB113" s="57" t="n">
        <f aca="false">BT113*(1-f_bleed_fatal)</f>
        <v>1.74589272771507E-007</v>
      </c>
      <c r="CC113" s="57" t="n">
        <f aca="false">BU113*f_mi_fatal</f>
        <v>5.17105623022246E-009</v>
      </c>
      <c r="CD113" s="57" t="n">
        <f aca="false">BU113-CC113</f>
        <v>3.75649456724425E-008</v>
      </c>
      <c r="CE113" s="57" t="n">
        <f aca="false">BK113-BR113-BS113-BT113-CC113</f>
        <v>1.89751937447331E-005</v>
      </c>
      <c r="CF113" s="19" t="n">
        <f aca="false">BX113*c_stroke_fatal+BY113*c_stroke_major+BZ113*c_stroke_minor+BS113*c_ich+BT113*c_major_bleed+CC113*c_mi_fatal+CD113*c_mi_nonfatal+BV113*c_tia+BW113*c_minor_bleed</f>
        <v>0.0314355964213659</v>
      </c>
      <c r="CG113" s="57" t="n">
        <f aca="false">dt*(CD113*dec_mi+CB113*dec_major_bleed+BW113*dec_minor_bleed+BV113*dec_tia)</f>
        <v>8.6126472811334E-009</v>
      </c>
      <c r="CH113" s="57" t="n">
        <f aca="false">I113*BJ113+BX113+BS113-CA113+BT113-CB113+CC113</f>
        <v>1.01796294035163E-005</v>
      </c>
      <c r="CI113" s="57" t="n">
        <f aca="false">1-EXP(LN(1-E113)*dt)</f>
        <v>0.159603212505678</v>
      </c>
      <c r="CJ113" s="57" t="n">
        <f aca="false">J113*(1-CI113)</f>
        <v>0.000524803207044724</v>
      </c>
      <c r="CK113" s="57" t="n">
        <f aca="false">(1-EXP(-r_stroke*F113*rr_asa_stroke*dt))</f>
        <v>0.0191393542023588</v>
      </c>
      <c r="CL113" s="57" t="n">
        <f aca="false">(1-EXP(-r_ich*rr_asa_ich*dt))</f>
        <v>0.00102357767802375</v>
      </c>
      <c r="CM113" s="57" t="n">
        <f aca="false">(1-EXP(-r_mb*rr_asa_mb*dt))</f>
        <v>0.00951809672747972</v>
      </c>
      <c r="CN113" s="57" t="n">
        <f aca="false">(1-EXP(-r_mi*rr_asa_mi*dt))</f>
        <v>0.00213413516393479</v>
      </c>
      <c r="CO113" s="57" t="n">
        <f aca="false">(1-EXP(-r_tia*rr_asa_tia*dt))</f>
        <v>0.00312764565589152</v>
      </c>
      <c r="CP113" s="57" t="n">
        <f aca="false">(1-EXP(-r_minor*rr_asa_minor*dt))</f>
        <v>0.0278181950466747</v>
      </c>
      <c r="CQ113" s="57" t="n">
        <f aca="false">CJ113*CK113</f>
        <v>1.00443944661628E-005</v>
      </c>
      <c r="CR113" s="57" t="n">
        <f aca="false">CJ113*CL113</f>
        <v>5.37176848086254E-007</v>
      </c>
      <c r="CS113" s="57" t="n">
        <f aca="false">CJ113*CM113</f>
        <v>4.99512768754325E-006</v>
      </c>
      <c r="CT113" s="57" t="n">
        <f aca="false">CJ113*CN113</f>
        <v>1.1200009782999E-006</v>
      </c>
      <c r="CU113" s="57" t="n">
        <f aca="false">CJ113*CO113</f>
        <v>1.64139847071137E-006</v>
      </c>
      <c r="CV113" s="57" t="n">
        <f aca="false">CJ113*CP113</f>
        <v>1.45990779746905E-005</v>
      </c>
      <c r="CW113" s="57" t="n">
        <f aca="false">CQ113*f_stroke_fatal</f>
        <v>2.38052148848059E-006</v>
      </c>
      <c r="CX113" s="57" t="n">
        <f aca="false">CQ113*(1-f_stroke_fatal)*f_stroke_major</f>
        <v>2.55206970156818E-006</v>
      </c>
      <c r="CY113" s="57" t="n">
        <f aca="false">CQ113*(1-f_stroke_fatal)*(1-f_stroke_major)</f>
        <v>5.11180327611404E-006</v>
      </c>
      <c r="CZ113" s="57" t="n">
        <f aca="false">CR113*(1-f_bleed_fatal)</f>
        <v>4.92053992847009E-007</v>
      </c>
      <c r="DA113" s="57" t="n">
        <f aca="false">CS113*(1-f_bleed_fatal)</f>
        <v>4.57553696178962E-006</v>
      </c>
      <c r="DB113" s="57" t="n">
        <f aca="false">CT113*f_mi_fatal</f>
        <v>1.35520118374287E-007</v>
      </c>
      <c r="DC113" s="57" t="n">
        <f aca="false">CT113-DB113</f>
        <v>9.84480859925609E-007</v>
      </c>
      <c r="DD113" s="57" t="n">
        <f aca="false">CJ113-CQ113-CR113-CS113-DB113</f>
        <v>0.000509090987924557</v>
      </c>
      <c r="DE113" s="19" t="n">
        <f aca="false">CW113*c_stroke_fatal+CX113*c_stroke_major+CY113*c_stroke_minor+CR113*c_ich+CS113*c_major_bleed+DB113*c_mi_fatal+DC113*c_mi_nonfatal+CU113*c_tia+CV113*c_minor_bleed</f>
        <v>0.441785663219225</v>
      </c>
      <c r="DF113" s="57" t="n">
        <f aca="false">dt*(DC113*dec_mi+DA113*dec_major_bleed+CV113*dec_minor_bleed+CU113*dec_tia)</f>
        <v>2.25715391032398E-007</v>
      </c>
      <c r="DG113" s="57" t="n">
        <f aca="false">J113*CI113+CW113+CR113-CZ113+CS113-DA113+DB113</f>
        <v>0.000102648292027625</v>
      </c>
      <c r="DH113" s="57" t="n">
        <f aca="false">AG113</f>
        <v>0.000512976430323374</v>
      </c>
      <c r="DI113" s="57" t="n">
        <f aca="false">AB113+AC113+BF113+BA113+BB113+BC113+CY113+CZ113</f>
        <v>4.98591907905532E-005</v>
      </c>
      <c r="DJ113" s="57" t="n">
        <f aca="false">AA113+AZ113+BY113+CX113+CE113+BZ113+CA113+CB113</f>
        <v>2.41832436406692E-005</v>
      </c>
      <c r="DK113" s="57" t="n">
        <f aca="false">AD113+DD113+DA113</f>
        <v>0.000517681951200701</v>
      </c>
      <c r="DL113" s="57" t="n">
        <f aca="false">K113+AJ113+BI113+CH113+DG113</f>
        <v>0.998895299184046</v>
      </c>
      <c r="DM113" s="58" t="n">
        <f aca="false">SUM(DH113:DL113)</f>
        <v>1</v>
      </c>
      <c r="DN113" s="19" t="n">
        <f aca="false">dt*(G113*Warfarin!$H$2+(H113+I113+J113)*c_aspirin)</f>
        <v>0.0669623438277277</v>
      </c>
      <c r="DO113" s="19" t="n">
        <f aca="false">dt*(H113*c_lt_minor_stroke+I113*c_lt_major_stroke)</f>
        <v>0.361032830030829</v>
      </c>
      <c r="DP113" s="19" t="n">
        <f aca="false">AH113+BG113+CF113+DE113</f>
        <v>0.839216035735547</v>
      </c>
      <c r="DQ113" s="19" t="n">
        <f aca="false">DN113+DO113+DP113</f>
        <v>1.2672112095941</v>
      </c>
      <c r="DR113" s="57" t="n">
        <f aca="false">dt*(G113*(u_af-dec_per_year_over_70*MAX(B113-ref_age,0))+H113*(u_minor_stroke-dec_per_year_over_70*MAX(B113-ref_age,0))+I113*(u_major_stroke-dec_per_year_over_70*MAX(B113-ref_age,0))+J113*(u_af-dec_per_year_over_70*MAX(B113-ref_age,0)))-AI113-BH113-CG113-DF113</f>
        <v>0.000263824458848857</v>
      </c>
      <c r="DS113" s="57" t="n">
        <f aca="false">dt*(G113+H113+I113+J113)</f>
        <v>0.000335034143428214</v>
      </c>
      <c r="DT113" s="19" t="n">
        <f aca="false">DQ113*C113</f>
        <v>0.850907547442138</v>
      </c>
      <c r="DU113" s="19" t="n">
        <f aca="false">DN113*C113</f>
        <v>0.0449639044588941</v>
      </c>
      <c r="DV113" s="19" t="n">
        <f aca="false">DP113*C113</f>
        <v>0.563517157467836</v>
      </c>
      <c r="DW113" s="19" t="n">
        <f aca="false">DO113*C113</f>
        <v>0.242426485515408</v>
      </c>
      <c r="DX113" s="57" t="n">
        <f aca="false">DR113*C113</f>
        <v>0.000177152965136913</v>
      </c>
      <c r="DY113" s="57" t="n">
        <f aca="false">DS113*C113</f>
        <v>0.000224968875855504</v>
      </c>
      <c r="DZ113" s="57" t="n">
        <f aca="false">T113+AS113+BR113+CQ113</f>
        <v>1.8813738559319E-005</v>
      </c>
      <c r="EA113" s="57" t="n">
        <f aca="false">U113+AT113+BS113+CR113</f>
        <v>1.65243610095484E-006</v>
      </c>
      <c r="EB113" s="57" t="n">
        <f aca="false">V113+AU113+BT113+CS113</f>
        <v>9.96121620124027E-006</v>
      </c>
      <c r="EC113" s="57" t="n">
        <f aca="false">G113*dt*C113</f>
        <v>0.000104815440575233</v>
      </c>
    </row>
    <row r="114" customFormat="false" ht="15" hidden="false" customHeight="false" outlineLevel="0" collapsed="false">
      <c r="A114" s="8" t="n">
        <v>108</v>
      </c>
      <c r="B114" s="54" t="n">
        <f aca="false">start_age+A114*dt</f>
        <v>97</v>
      </c>
      <c r="C114" s="16" t="n">
        <f aca="false">(1+disc_rate)^-(A114*dt)</f>
        <v>0.66898573809067</v>
      </c>
      <c r="D114" s="55" t="n">
        <f aca="false">IF(A114*dt&gt;=wane_start,(1-wane_decay)^(A114*dt-wane_start),1)</f>
        <v>1</v>
      </c>
      <c r="E114" s="25" t="n">
        <f aca="false">MIN(p_nonvasc_death*MIN(EXP(gomp_int+gomp_slope*INT(B114)),1)/qx_ref,0.999)</f>
        <v>0.55647005398946</v>
      </c>
      <c r="F114" s="55" t="n">
        <f aca="false">rr_stroke_per_decade^((B114-ref_age)/10)</f>
        <v>2.9884527898725</v>
      </c>
      <c r="G114" s="57" t="n">
        <f aca="false">DH113</f>
        <v>0.000512976430323374</v>
      </c>
      <c r="H114" s="57" t="n">
        <f aca="false">DI113</f>
        <v>4.98591907905532E-005</v>
      </c>
      <c r="I114" s="57" t="n">
        <f aca="false">DJ113</f>
        <v>2.41832436406692E-005</v>
      </c>
      <c r="J114" s="57" t="n">
        <f aca="false">DK113</f>
        <v>0.000517681951200701</v>
      </c>
      <c r="K114" s="57" t="n">
        <f aca="false">DL113</f>
        <v>0.998895299184046</v>
      </c>
      <c r="L114" s="57" t="n">
        <f aca="false">1-EXP(LN(1-E114)*dt)</f>
        <v>0.183923753770145</v>
      </c>
      <c r="M114" s="57" t="n">
        <f aca="false">G114*(1-L114)</f>
        <v>0.00041862787966269</v>
      </c>
      <c r="N114" s="57" t="n">
        <f aca="false">IF(Warfarin!$B$2=1,EXP(LN(or_apx_stroke)*D114)*(1-EXP(-r_stroke*F114*dt))/(1-(1-EXP(-r_stroke*F114*dt))+EXP(LN(or_apx_stroke)*D114)*(1-EXP(-r_stroke*F114*dt))),(1-EXP(-r_stroke*F114*dt)))</f>
        <v>0.0119781579166481</v>
      </c>
      <c r="O114" s="57" t="n">
        <f aca="false">IF(Warfarin!$B$2=1,EXP(LN(or_apx_ich)*D114)*(1-EXP(-r_ich*dt))/(1-(1-EXP(-r_ich*dt))+EXP(LN(or_apx_ich)*D114)*(1-EXP(-r_ich*dt))),(1-EXP(-r_ich*dt)))</f>
        <v>0.0020060281549299</v>
      </c>
      <c r="P114" s="57" t="n">
        <f aca="false">IF(Warfarin!$B$2=1,EXP(LN(or_apx_mb)*D114)*(1-EXP(-r_mb*dt))/(1-(1-EXP(-r_mb*dt))+EXP(LN(or_apx_mb)*D114)*(1-EXP(-r_mb*dt))),(1-EXP(-r_mb*dt)))</f>
        <v>0.00835410477572107</v>
      </c>
      <c r="Q114" s="57" t="n">
        <f aca="false">IF(Warfarin!$B$2=1,EXP(LN(or_apx_mi)*D114)*(1-EXP(-r_mi*dt))/(1-(1-EXP(-r_mi*dt))+EXP(LN(or_apx_mi)*D114)*(1-EXP(-r_mi*dt))),(1-EXP(-r_mi*dt)))</f>
        <v>0.00150338686144691</v>
      </c>
      <c r="R114" s="57" t="n">
        <f aca="false">(1-EXP(-r_tia*dt))</f>
        <v>0.0020060281549299</v>
      </c>
      <c r="S114" s="57" t="n">
        <f aca="false">(1-EXP(-r_minor*dt))</f>
        <v>0.0437937690785545</v>
      </c>
      <c r="T114" s="57" t="n">
        <f aca="false">M114*N114</f>
        <v>5.01439085091127E-006</v>
      </c>
      <c r="U114" s="57" t="n">
        <f aca="false">M114*O114</f>
        <v>8.3977931304196E-007</v>
      </c>
      <c r="V114" s="57" t="n">
        <f aca="false">M114*P114</f>
        <v>3.49726116874006E-006</v>
      </c>
      <c r="W114" s="57" t="n">
        <f aca="false">M114*Q114</f>
        <v>6.29359654120265E-007</v>
      </c>
      <c r="X114" s="57" t="n">
        <f aca="false">M114*R114</f>
        <v>8.3977931304196E-007</v>
      </c>
      <c r="Y114" s="57" t="n">
        <f aca="false">M114*S114</f>
        <v>1.83332926917927E-005</v>
      </c>
      <c r="Z114" s="57" t="n">
        <f aca="false">T114*f_stroke_fatal</f>
        <v>1.18841063166597E-006</v>
      </c>
      <c r="AA114" s="57" t="n">
        <f aca="false">T114*(1-f_stroke_fatal)*f_stroke_major</f>
        <v>1.27405141300868E-006</v>
      </c>
      <c r="AB114" s="57" t="n">
        <f aca="false">T114*(1-f_stroke_fatal)*(1-f_stroke_major)</f>
        <v>2.55192880623661E-006</v>
      </c>
      <c r="AC114" s="57" t="n">
        <f aca="false">U114*(1-f_bleed_fatal)</f>
        <v>7.69237850746435E-007</v>
      </c>
      <c r="AD114" s="57" t="n">
        <f aca="false">V114*(1-f_bleed_fatal)</f>
        <v>3.2034912305659E-006</v>
      </c>
      <c r="AE114" s="57" t="n">
        <f aca="false">W114*f_mi_fatal</f>
        <v>7.61525181485521E-008</v>
      </c>
      <c r="AF114" s="57" t="n">
        <f aca="false">W114-AE114</f>
        <v>5.53207135971713E-007</v>
      </c>
      <c r="AG114" s="57" t="n">
        <f aca="false">M114-T114-U114-V114-AE114</f>
        <v>0.000409200295811848</v>
      </c>
      <c r="AH114" s="19" t="n">
        <f aca="false">Z114*c_stroke_fatal+AA114*c_stroke_major+AB114*c_stroke_minor+U114*c_ich+V114*c_major_bleed+AE114*c_mi_fatal+AF114*c_mi_nonfatal+X114*c_tia+Y114*c_minor_bleed</f>
        <v>0.24228865499763</v>
      </c>
      <c r="AI114" s="57" t="n">
        <f aca="false">dt*(AF114*dec_mi+AD114*dec_major_bleed+Y114*dec_minor_bleed+X114*dec_tia)</f>
        <v>1.72175539861288E-007</v>
      </c>
      <c r="AJ114" s="57" t="n">
        <f aca="false">G114*L114+Z114+U114-AC114+V114-AD114+AE114</f>
        <v>9.59774252109686E-005</v>
      </c>
      <c r="AK114" s="57" t="n">
        <f aca="false">1-EXP(LN(1-E114)*hr_death_prior_stroke*dt)</f>
        <v>0.373413988751993</v>
      </c>
      <c r="AL114" s="57" t="n">
        <f aca="false">H114*(1-AK114)</f>
        <v>3.12410714815061E-005</v>
      </c>
      <c r="AM114" s="57" t="n">
        <f aca="false">(1-EXP(-r_stroke*F114*rr_stroke_prior*rr_asa_stroke*dt))</f>
        <v>0.0420386915984448</v>
      </c>
      <c r="AN114" s="57" t="n">
        <f aca="false">(1-EXP(-r_ich*rr_asa_ich*dt))</f>
        <v>0.00102357767802375</v>
      </c>
      <c r="AO114" s="57" t="n">
        <f aca="false">(1-EXP(-r_mb*rr_asa_mb*dt))</f>
        <v>0.00951809672747972</v>
      </c>
      <c r="AP114" s="57" t="n">
        <f aca="false">(1-EXP(-r_mi*rr_asa_mi*dt))</f>
        <v>0.00213413516393479</v>
      </c>
      <c r="AQ114" s="57" t="n">
        <f aca="false">(1-EXP(-r_tia*rr_asa_tia*dt))</f>
        <v>0.00312764565589152</v>
      </c>
      <c r="AR114" s="57" t="n">
        <f aca="false">(1-EXP(-r_minor*rr_asa_minor*dt))</f>
        <v>0.0278181950466747</v>
      </c>
      <c r="AS114" s="57" t="n">
        <f aca="false">AL114*AM114</f>
        <v>1.313333769216E-006</v>
      </c>
      <c r="AT114" s="57" t="n">
        <f aca="false">AL114*AN114</f>
        <v>3.19776634060139E-008</v>
      </c>
      <c r="AU114" s="57" t="n">
        <f aca="false">AL114*AO114</f>
        <v>2.97355540231083E-007</v>
      </c>
      <c r="AV114" s="57" t="n">
        <f aca="false">AL114*AP114</f>
        <v>6.66726692076826E-008</v>
      </c>
      <c r="AW114" s="57" t="n">
        <f aca="false">AL114*AQ114</f>
        <v>9.7711001504529E-008</v>
      </c>
      <c r="AX114" s="57" t="n">
        <f aca="false">AL114*AR114</f>
        <v>8.69070219939644E-007</v>
      </c>
      <c r="AY114" s="57" t="n">
        <f aca="false">AS114*f_stroke_fatal_recur</f>
        <v>4.88678362187582E-007</v>
      </c>
      <c r="AZ114" s="57" t="n">
        <f aca="false">AS114*(1-f_stroke_fatal_recur)*f_stroke_major</f>
        <v>2.74610250540464E-007</v>
      </c>
      <c r="BA114" s="57" t="n">
        <f aca="false">AS114*(1-f_stroke_fatal_recur)*(1-f_stroke_major)</f>
        <v>5.50045156487956E-007</v>
      </c>
      <c r="BB114" s="57" t="n">
        <f aca="false">AT114*(1-f_bleed_fatal)</f>
        <v>2.92915396799087E-008</v>
      </c>
      <c r="BC114" s="57" t="n">
        <f aca="false">AU114*(1-f_bleed_fatal)</f>
        <v>2.72377674851672E-007</v>
      </c>
      <c r="BD114" s="57" t="n">
        <f aca="false">AV114*f_mi_fatal</f>
        <v>8.06739297412959E-009</v>
      </c>
      <c r="BE114" s="57" t="n">
        <f aca="false">AV114-BD114</f>
        <v>5.8605276233553E-008</v>
      </c>
      <c r="BF114" s="57" t="n">
        <f aca="false">AL114-AS114-AT114-AU114-BD114</f>
        <v>2.95903371156789E-005</v>
      </c>
      <c r="BG114" s="19" t="n">
        <f aca="false">AY114*c_stroke_fatal+AZ114*c_stroke_major+BA114*c_stroke_minor+AT114*c_ich+AU114*c_major_bleed+BD114*c_mi_fatal+BE114*c_mi_nonfatal+AW114*c_tia+AX114*c_minor_bleed</f>
        <v>0.049489903659241</v>
      </c>
      <c r="BH114" s="57" t="n">
        <f aca="false">dt*(BE114*dec_mi+BC114*dec_major_bleed+AX114*dec_minor_bleed+AW114*dec_tia)</f>
        <v>1.34366379074325E-008</v>
      </c>
      <c r="BI114" s="57" t="n">
        <f aca="false">H114*AK114+AY114+AT114-BB114+AU114-BC114+BD114</f>
        <v>1.91425290533143E-005</v>
      </c>
      <c r="BJ114" s="57" t="n">
        <f aca="false">1-EXP(LN(1-E114)*hr_death_prior_stroke*dt)</f>
        <v>0.373413988751993</v>
      </c>
      <c r="BK114" s="57" t="n">
        <f aca="false">I114*(1-BJ114)</f>
        <v>1.51528821718456E-005</v>
      </c>
      <c r="BL114" s="57" t="n">
        <f aca="false">(1-EXP(-r_stroke*F114*rr_stroke_prior*rr_asa_stroke*dt))</f>
        <v>0.0420386915984448</v>
      </c>
      <c r="BM114" s="57" t="n">
        <f aca="false">(1-EXP(-r_ich*rr_asa_ich*dt))</f>
        <v>0.00102357767802375</v>
      </c>
      <c r="BN114" s="57" t="n">
        <f aca="false">(1-EXP(-r_mb*rr_asa_mb*dt))</f>
        <v>0.00951809672747972</v>
      </c>
      <c r="BO114" s="57" t="n">
        <f aca="false">(1-EXP(-r_mi*rr_asa_mi*dt))</f>
        <v>0.00213413516393479</v>
      </c>
      <c r="BP114" s="57" t="n">
        <f aca="false">(1-EXP(-r_tia*rr_asa_tia*dt))</f>
        <v>0.00312764565589152</v>
      </c>
      <c r="BQ114" s="57" t="n">
        <f aca="false">(1-EXP(-r_minor*rr_asa_minor*dt))</f>
        <v>0.0278181950466747</v>
      </c>
      <c r="BR114" s="57" t="n">
        <f aca="false">BK114*BL114</f>
        <v>6.37007340449791E-007</v>
      </c>
      <c r="BS114" s="57" t="n">
        <f aca="false">BK114*BM114</f>
        <v>1.55101519488252E-008</v>
      </c>
      <c r="BT114" s="57" t="n">
        <f aca="false">BK114*BN114</f>
        <v>1.4422659821173E-007</v>
      </c>
      <c r="BU114" s="57" t="n">
        <f aca="false">BK114*BO114</f>
        <v>3.23382986778964E-008</v>
      </c>
      <c r="BV114" s="57" t="n">
        <f aca="false">BK114*BP114</f>
        <v>4.73928460990091E-008</v>
      </c>
      <c r="BW114" s="57" t="n">
        <f aca="false">BK114*BQ114</f>
        <v>4.21525831775682E-007</v>
      </c>
      <c r="BX114" s="57" t="n">
        <f aca="false">BR114*f_stroke_fatal_recur</f>
        <v>2.37024061307963E-007</v>
      </c>
      <c r="BY114" s="57" t="n">
        <f aca="false">BR114*(1-f_stroke_fatal_recur)*f_stroke_major</f>
        <v>1.33194431954229E-007</v>
      </c>
      <c r="BZ114" s="57" t="n">
        <f aca="false">BR114*(1-f_stroke_fatal_recur)*(1-f_stroke_major)</f>
        <v>2.66788847187599E-007</v>
      </c>
      <c r="CA114" s="57" t="n">
        <f aca="false">BS114*(1-f_bleed_fatal)</f>
        <v>1.42072991851239E-008</v>
      </c>
      <c r="CB114" s="57" t="n">
        <f aca="false">BT114*(1-f_bleed_fatal)</f>
        <v>1.32111563961945E-007</v>
      </c>
      <c r="CC114" s="57" t="n">
        <f aca="false">BU114*f_mi_fatal</f>
        <v>3.91293414002546E-009</v>
      </c>
      <c r="CD114" s="57" t="n">
        <f aca="false">BU114-CC114</f>
        <v>2.84253645378709E-008</v>
      </c>
      <c r="CE114" s="57" t="n">
        <f aca="false">BK114-BR114-BS114-BT114-CC114</f>
        <v>1.43522251470953E-005</v>
      </c>
      <c r="CF114" s="19" t="n">
        <f aca="false">BX114*c_stroke_fatal+BY114*c_stroke_major+BZ114*c_stroke_minor+BS114*c_ich+BT114*c_major_bleed+CC114*c_mi_fatal+CD114*c_mi_nonfatal+BV114*c_tia+BW114*c_minor_bleed</f>
        <v>0.0240041280046493</v>
      </c>
      <c r="CG114" s="57" t="n">
        <f aca="false">dt*(CD114*dec_mi+CB114*dec_major_bleed+BW114*dec_minor_bleed+BV114*dec_tia)</f>
        <v>6.51718335325364E-009</v>
      </c>
      <c r="CH114" s="57" t="n">
        <f aca="false">I114*BJ114+BX114+BS114-CA114+BT114-CB114+CC114</f>
        <v>9.28471635128501E-006</v>
      </c>
      <c r="CI114" s="57" t="n">
        <f aca="false">1-EXP(LN(1-E114)*dt)</f>
        <v>0.183923753770145</v>
      </c>
      <c r="CJ114" s="57" t="n">
        <f aca="false">J114*(1-CI114)</f>
        <v>0.000422467943476815</v>
      </c>
      <c r="CK114" s="57" t="n">
        <f aca="false">(1-EXP(-r_stroke*F114*rr_asa_stroke*dt))</f>
        <v>0.0193324522668811</v>
      </c>
      <c r="CL114" s="57" t="n">
        <f aca="false">(1-EXP(-r_ich*rr_asa_ich*dt))</f>
        <v>0.00102357767802375</v>
      </c>
      <c r="CM114" s="57" t="n">
        <f aca="false">(1-EXP(-r_mb*rr_asa_mb*dt))</f>
        <v>0.00951809672747972</v>
      </c>
      <c r="CN114" s="57" t="n">
        <f aca="false">(1-EXP(-r_mi*rr_asa_mi*dt))</f>
        <v>0.00213413516393479</v>
      </c>
      <c r="CO114" s="57" t="n">
        <f aca="false">(1-EXP(-r_tia*rr_asa_tia*dt))</f>
        <v>0.00312764565589152</v>
      </c>
      <c r="CP114" s="57" t="n">
        <f aca="false">(1-EXP(-r_minor*rr_asa_minor*dt))</f>
        <v>0.0278181950466747</v>
      </c>
      <c r="CQ114" s="57" t="n">
        <f aca="false">CJ114*CK114</f>
        <v>8.16734135155294E-006</v>
      </c>
      <c r="CR114" s="57" t="n">
        <f aca="false">CJ114*CL114</f>
        <v>4.32428756623466E-007</v>
      </c>
      <c r="CS114" s="57" t="n">
        <f aca="false">CJ114*CM114</f>
        <v>4.02109075027176E-006</v>
      </c>
      <c r="CT114" s="57" t="n">
        <f aca="false">CJ114*CN114</f>
        <v>9.01603693809087E-007</v>
      </c>
      <c r="CU114" s="57" t="n">
        <f aca="false">CJ114*CO114</f>
        <v>1.32133002816868E-006</v>
      </c>
      <c r="CV114" s="57" t="n">
        <f aca="false">CJ114*CP114</f>
        <v>1.17522956526056E-005</v>
      </c>
      <c r="CW114" s="57" t="n">
        <f aca="false">CQ114*f_stroke_fatal</f>
        <v>1.93565990031805E-006</v>
      </c>
      <c r="CX114" s="57" t="n">
        <f aca="false">CQ114*(1-f_stroke_fatal)*f_stroke_major</f>
        <v>2.07514992326122E-006</v>
      </c>
      <c r="CY114" s="57" t="n">
        <f aca="false">CQ114*(1-f_stroke_fatal)*(1-f_stroke_major)</f>
        <v>4.15653152797367E-006</v>
      </c>
      <c r="CZ114" s="57" t="n">
        <f aca="false">CR114*(1-f_bleed_fatal)</f>
        <v>3.96104741067094E-007</v>
      </c>
      <c r="DA114" s="57" t="n">
        <f aca="false">CS114*(1-f_bleed_fatal)</f>
        <v>3.68331912724893E-006</v>
      </c>
      <c r="DB114" s="57" t="n">
        <f aca="false">CT114*f_mi_fatal</f>
        <v>1.090940469509E-007</v>
      </c>
      <c r="DC114" s="57" t="n">
        <f aca="false">CT114-DB114</f>
        <v>7.92509646858187E-007</v>
      </c>
      <c r="DD114" s="57" t="n">
        <f aca="false">CJ114-CQ114-CR114-CS114-DB114</f>
        <v>0.000409737988571416</v>
      </c>
      <c r="DE114" s="19" t="n">
        <f aca="false">CW114*c_stroke_fatal+CX114*c_stroke_major+CY114*c_stroke_minor+CR114*c_ich+CS114*c_major_bleed+DB114*c_mi_fatal+DC114*c_mi_nonfatal+CU114*c_tia+CV114*c_minor_bleed</f>
        <v>0.358652709579664</v>
      </c>
      <c r="DF114" s="57" t="n">
        <f aca="false">dt*(DC114*dec_mi+DA114*dec_major_bleed+CV114*dec_minor_bleed+CU114*dec_tia)</f>
        <v>1.81701475487356E-007</v>
      </c>
      <c r="DG114" s="57" t="n">
        <f aca="false">J114*CI114+CW114+CR114-CZ114+CS114-DA114+DB114</f>
        <v>9.76328573097343E-005</v>
      </c>
      <c r="DH114" s="57" t="n">
        <f aca="false">AG114</f>
        <v>0.000409200295811848</v>
      </c>
      <c r="DI114" s="57" t="n">
        <f aca="false">AB114+AC114+BF114+BA114+BB114+BC114+CY114+CZ114</f>
        <v>3.83158544127222E-005</v>
      </c>
      <c r="DJ114" s="57" t="n">
        <f aca="false">AA114+AZ114+BY114+CX114+CE114+BZ114+CA114+CB114</f>
        <v>1.85223388761945E-005</v>
      </c>
      <c r="DK114" s="57" t="n">
        <f aca="false">AD114+DD114+DA114</f>
        <v>0.000416624798929231</v>
      </c>
      <c r="DL114" s="57" t="n">
        <f aca="false">K114+AJ114+BI114+CH114+DG114</f>
        <v>0.999117336711971</v>
      </c>
      <c r="DM114" s="58" t="n">
        <f aca="false">SUM(DH114:DL114)</f>
        <v>1</v>
      </c>
      <c r="DN114" s="19" t="n">
        <f aca="false">dt*(G114*Warfarin!$H$2+(H114+I114+J114)*c_aspirin)</f>
        <v>0.0550503137166438</v>
      </c>
      <c r="DO114" s="19" t="n">
        <f aca="false">dt*(H114*c_lt_minor_stroke+I114*c_lt_major_stroke)</f>
        <v>0.292669875765509</v>
      </c>
      <c r="DP114" s="19" t="n">
        <f aca="false">AH114+BG114+CF114+DE114</f>
        <v>0.674435396241184</v>
      </c>
      <c r="DQ114" s="19" t="n">
        <f aca="false">DN114+DO114+DP114</f>
        <v>1.02215558572334</v>
      </c>
      <c r="DR114" s="57" t="n">
        <f aca="false">dt*(G114*(u_af-dec_per_year_over_70*MAX(B114-ref_age,0))+H114*(u_minor_stroke-dec_per_year_over_70*MAX(B114-ref_age,0))+I114*(u_major_stroke-dec_per_year_over_70*MAX(B114-ref_age,0))+J114*(u_af-dec_per_year_over_70*MAX(B114-ref_age,0)))-AI114-BH114-CG114-DF114</f>
        <v>0.000217531474556734</v>
      </c>
      <c r="DS114" s="57" t="n">
        <f aca="false">dt*(G114+H114+I114+J114)</f>
        <v>0.000276175203988824</v>
      </c>
      <c r="DT114" s="19" t="n">
        <f aca="false">DQ114*C114</f>
        <v>0.683807508958628</v>
      </c>
      <c r="DU114" s="19" t="n">
        <f aca="false">DN114*C114</f>
        <v>0.0368278747538519</v>
      </c>
      <c r="DV114" s="19" t="n">
        <f aca="false">DP114*C114</f>
        <v>0.451187661348882</v>
      </c>
      <c r="DW114" s="19" t="n">
        <f aca="false">DO114*C114</f>
        <v>0.195791972855894</v>
      </c>
      <c r="DX114" s="57" t="n">
        <f aca="false">DR114*C114</f>
        <v>0.000145525454064288</v>
      </c>
      <c r="DY114" s="57" t="n">
        <f aca="false">DS114*C114</f>
        <v>0.000184757272682805</v>
      </c>
      <c r="DZ114" s="57" t="n">
        <f aca="false">T114+AS114+BR114+CQ114</f>
        <v>1.513207331213E-005</v>
      </c>
      <c r="EA114" s="57" t="n">
        <f aca="false">U114+AT114+BS114+CR114</f>
        <v>1.31969588502026E-006</v>
      </c>
      <c r="EB114" s="57" t="n">
        <f aca="false">V114+AU114+BT114+CS114</f>
        <v>7.95993405745463E-006</v>
      </c>
      <c r="EC114" s="57" t="n">
        <f aca="false">G114*dt*C114</f>
        <v>8.57934789657499E-005</v>
      </c>
    </row>
    <row r="115" customFormat="false" ht="15" hidden="false" customHeight="false" outlineLevel="0" collapsed="false">
      <c r="A115" s="8" t="n">
        <v>109</v>
      </c>
      <c r="B115" s="54" t="n">
        <f aca="false">start_age+A115*dt</f>
        <v>97.25</v>
      </c>
      <c r="C115" s="16" t="n">
        <f aca="false">(1+disc_rate)^-(A115*dt)</f>
        <v>0.666500299197696</v>
      </c>
      <c r="D115" s="55" t="n">
        <f aca="false">IF(A115*dt&gt;=wane_start,(1-wane_decay)^(A115*dt-wane_start),1)</f>
        <v>1</v>
      </c>
      <c r="E115" s="25" t="n">
        <f aca="false">MIN(p_nonvasc_death*MIN(EXP(gomp_int+gomp_slope*INT(B115)),1)/qx_ref,0.999)</f>
        <v>0.55647005398946</v>
      </c>
      <c r="F115" s="55" t="n">
        <f aca="false">rr_stroke_per_decade^((B115-ref_age)/10)</f>
        <v>3.0188996768856</v>
      </c>
      <c r="G115" s="57" t="n">
        <f aca="false">DH114</f>
        <v>0.000409200295811848</v>
      </c>
      <c r="H115" s="57" t="n">
        <f aca="false">DI114</f>
        <v>3.83158544127222E-005</v>
      </c>
      <c r="I115" s="57" t="n">
        <f aca="false">DJ114</f>
        <v>1.85223388761945E-005</v>
      </c>
      <c r="J115" s="57" t="n">
        <f aca="false">DK114</f>
        <v>0.000416624798929231</v>
      </c>
      <c r="K115" s="57" t="n">
        <f aca="false">DL114</f>
        <v>0.999117336711971</v>
      </c>
      <c r="L115" s="57" t="n">
        <f aca="false">1-EXP(LN(1-E115)*dt)</f>
        <v>0.183923753770145</v>
      </c>
      <c r="M115" s="57" t="n">
        <f aca="false">G115*(1-L115)</f>
        <v>0.000333938641362279</v>
      </c>
      <c r="N115" s="57" t="n">
        <f aca="false">IF(Warfarin!$B$2=1,EXP(LN(or_apx_stroke)*D115)*(1-EXP(-r_stroke*F115*dt))/(1-(1-EXP(-r_stroke*F115*dt))+EXP(LN(or_apx_stroke)*D115)*(1-EXP(-r_stroke*F115*dt))),(1-EXP(-r_stroke*F115*dt)))</f>
        <v>0.0120994522511987</v>
      </c>
      <c r="O115" s="57" t="n">
        <f aca="false">IF(Warfarin!$B$2=1,EXP(LN(or_apx_ich)*D115)*(1-EXP(-r_ich*dt))/(1-(1-EXP(-r_ich*dt))+EXP(LN(or_apx_ich)*D115)*(1-EXP(-r_ich*dt))),(1-EXP(-r_ich*dt)))</f>
        <v>0.0020060281549299</v>
      </c>
      <c r="P115" s="57" t="n">
        <f aca="false">IF(Warfarin!$B$2=1,EXP(LN(or_apx_mb)*D115)*(1-EXP(-r_mb*dt))/(1-(1-EXP(-r_mb*dt))+EXP(LN(or_apx_mb)*D115)*(1-EXP(-r_mb*dt))),(1-EXP(-r_mb*dt)))</f>
        <v>0.00835410477572107</v>
      </c>
      <c r="Q115" s="57" t="n">
        <f aca="false">IF(Warfarin!$B$2=1,EXP(LN(or_apx_mi)*D115)*(1-EXP(-r_mi*dt))/(1-(1-EXP(-r_mi*dt))+EXP(LN(or_apx_mi)*D115)*(1-EXP(-r_mi*dt))),(1-EXP(-r_mi*dt)))</f>
        <v>0.00150338686144691</v>
      </c>
      <c r="R115" s="57" t="n">
        <f aca="false">(1-EXP(-r_tia*dt))</f>
        <v>0.0020060281549299</v>
      </c>
      <c r="S115" s="57" t="n">
        <f aca="false">(1-EXP(-r_minor*dt))</f>
        <v>0.0437937690785545</v>
      </c>
      <c r="T115" s="57" t="n">
        <f aca="false">M115*N115</f>
        <v>4.04047464599306E-006</v>
      </c>
      <c r="U115" s="57" t="n">
        <f aca="false">M115*O115</f>
        <v>6.69890316591768E-007</v>
      </c>
      <c r="V115" s="57" t="n">
        <f aca="false">M115*P115</f>
        <v>2.78975839860242E-006</v>
      </c>
      <c r="W115" s="57" t="n">
        <f aca="false">M115*Q115</f>
        <v>5.02038965953481E-007</v>
      </c>
      <c r="X115" s="57" t="n">
        <f aca="false">M115*R115</f>
        <v>6.69890316591768E-007</v>
      </c>
      <c r="Y115" s="57" t="n">
        <f aca="false">M115*S115</f>
        <v>1.46244317462259E-005</v>
      </c>
      <c r="Z115" s="57" t="n">
        <f aca="false">T115*f_stroke_fatal</f>
        <v>9.57592491100354E-007</v>
      </c>
      <c r="AA115" s="57" t="n">
        <f aca="false">T115*(1-f_stroke_fatal)*f_stroke_major</f>
        <v>1.02659975757927E-006</v>
      </c>
      <c r="AB115" s="57" t="n">
        <f aca="false">T115*(1-f_stroke_fatal)*(1-f_stroke_major)</f>
        <v>2.05628239731343E-006</v>
      </c>
      <c r="AC115" s="57" t="n">
        <f aca="false">U115*(1-f_bleed_fatal)</f>
        <v>6.1361952999806E-007</v>
      </c>
      <c r="AD115" s="57" t="n">
        <f aca="false">V115*(1-f_bleed_fatal)</f>
        <v>2.55541869311982E-006</v>
      </c>
      <c r="AE115" s="57" t="n">
        <f aca="false">W115*f_mi_fatal</f>
        <v>6.07467148803713E-008</v>
      </c>
      <c r="AF115" s="57" t="n">
        <f aca="false">W115-AE115</f>
        <v>4.4129225107311E-007</v>
      </c>
      <c r="AG115" s="57" t="n">
        <f aca="false">M115-T115-U115-V115-AE115</f>
        <v>0.000326377771286211</v>
      </c>
      <c r="AH115" s="19" t="n">
        <f aca="false">Z115*c_stroke_fatal+AA115*c_stroke_major+AB115*c_stroke_minor+U115*c_ich+V115*c_major_bleed+AE115*c_mi_fatal+AF115*c_mi_nonfatal+X115*c_tia+Y115*c_minor_bleed</f>
        <v>0.194769745326989</v>
      </c>
      <c r="AI115" s="57" t="n">
        <f aca="false">dt*(AF115*dec_mi+AD115*dec_major_bleed+Y115*dec_minor_bleed+X115*dec_tia)</f>
        <v>1.37344091615263E-007</v>
      </c>
      <c r="AJ115" s="57" t="n">
        <f aca="false">G115*L115+Z115+U115-AC115+V115-AD115+AE115</f>
        <v>7.6570604147626E-005</v>
      </c>
      <c r="AK115" s="57" t="n">
        <f aca="false">1-EXP(LN(1-E115)*hr_death_prior_stroke*dt)</f>
        <v>0.373413988751993</v>
      </c>
      <c r="AL115" s="57" t="n">
        <f aca="false">H115*(1-AK115)</f>
        <v>2.4008178384027E-005</v>
      </c>
      <c r="AM115" s="57" t="n">
        <f aca="false">(1-EXP(-r_stroke*F115*rr_stroke_prior*rr_asa_stroke*dt))</f>
        <v>0.0424577661435053</v>
      </c>
      <c r="AN115" s="57" t="n">
        <f aca="false">(1-EXP(-r_ich*rr_asa_ich*dt))</f>
        <v>0.00102357767802375</v>
      </c>
      <c r="AO115" s="57" t="n">
        <f aca="false">(1-EXP(-r_mb*rr_asa_mb*dt))</f>
        <v>0.00951809672747972</v>
      </c>
      <c r="AP115" s="57" t="n">
        <f aca="false">(1-EXP(-r_mi*rr_asa_mi*dt))</f>
        <v>0.00213413516393479</v>
      </c>
      <c r="AQ115" s="57" t="n">
        <f aca="false">(1-EXP(-r_tia*rr_asa_tia*dt))</f>
        <v>0.00312764565589152</v>
      </c>
      <c r="AR115" s="57" t="n">
        <f aca="false">(1-EXP(-r_minor*rr_asa_minor*dt))</f>
        <v>0.0278181950466747</v>
      </c>
      <c r="AS115" s="57" t="n">
        <f aca="false">AL115*AM115</f>
        <v>1.01933362336058E-006</v>
      </c>
      <c r="AT115" s="57" t="n">
        <f aca="false">AL115*AN115</f>
        <v>2.45742354839022E-008</v>
      </c>
      <c r="AU115" s="57" t="n">
        <f aca="false">AL115*AO115</f>
        <v>2.28512164109757E-007</v>
      </c>
      <c r="AV115" s="57" t="n">
        <f aca="false">AL115*AP115</f>
        <v>5.12366977113712E-008</v>
      </c>
      <c r="AW115" s="57" t="n">
        <f aca="false">AL115*AQ115</f>
        <v>7.50890748286707E-008</v>
      </c>
      <c r="AX115" s="57" t="n">
        <f aca="false">AL115*AR115</f>
        <v>6.67864189002222E-007</v>
      </c>
      <c r="AY115" s="57" t="n">
        <f aca="false">AS115*f_stroke_fatal_recur</f>
        <v>3.79283847916237E-007</v>
      </c>
      <c r="AZ115" s="57" t="n">
        <f aca="false">AS115*(1-f_stroke_fatal_recur)*f_stroke_major</f>
        <v>2.13136575222965E-007</v>
      </c>
      <c r="BA115" s="57" t="n">
        <f aca="false">AS115*(1-f_stroke_fatal_recur)*(1-f_stroke_major)</f>
        <v>4.26913200221374E-007</v>
      </c>
      <c r="BB115" s="57" t="n">
        <f aca="false">AT115*(1-f_bleed_fatal)</f>
        <v>2.25099997032545E-008</v>
      </c>
      <c r="BC115" s="57" t="n">
        <f aca="false">AU115*(1-f_bleed_fatal)</f>
        <v>2.09317142324537E-007</v>
      </c>
      <c r="BD115" s="57" t="n">
        <f aca="false">AV115*f_mi_fatal</f>
        <v>6.19964042307591E-009</v>
      </c>
      <c r="BE115" s="57" t="n">
        <f aca="false">AV115-BD115</f>
        <v>4.50370572882953E-008</v>
      </c>
      <c r="BF115" s="57" t="n">
        <f aca="false">AL115-AS115-AT115-AU115-BD115</f>
        <v>2.27295587206497E-005</v>
      </c>
      <c r="BG115" s="19" t="n">
        <f aca="false">AY115*c_stroke_fatal+AZ115*c_stroke_major+BA115*c_stroke_minor+AT115*c_ich+AU115*c_major_bleed+BD115*c_mi_fatal+BE115*c_mi_nonfatal+AW115*c_tia+AX115*c_minor_bleed</f>
        <v>0.0383789694491823</v>
      </c>
      <c r="BH115" s="57" t="n">
        <f aca="false">dt*(BE115*dec_mi+BC115*dec_major_bleed+AX115*dec_minor_bleed+AW115*dec_tia)</f>
        <v>1.03258046048191E-008</v>
      </c>
      <c r="BI115" s="57" t="n">
        <f aca="false">H115*AK115+AY115+AT115-BB115+AU115-BC115+BD115</f>
        <v>1.47144187746004E-005</v>
      </c>
      <c r="BJ115" s="57" t="n">
        <f aca="false">1-EXP(LN(1-E115)*hr_death_prior_stroke*dt)</f>
        <v>0.373413988751993</v>
      </c>
      <c r="BK115" s="57" t="n">
        <f aca="false">I115*(1-BJ115)</f>
        <v>1.16058384354186E-005</v>
      </c>
      <c r="BL115" s="57" t="n">
        <f aca="false">(1-EXP(-r_stroke*F115*rr_stroke_prior*rr_asa_stroke*dt))</f>
        <v>0.0424577661435053</v>
      </c>
      <c r="BM115" s="57" t="n">
        <f aca="false">(1-EXP(-r_ich*rr_asa_ich*dt))</f>
        <v>0.00102357767802375</v>
      </c>
      <c r="BN115" s="57" t="n">
        <f aca="false">(1-EXP(-r_mb*rr_asa_mb*dt))</f>
        <v>0.00951809672747972</v>
      </c>
      <c r="BO115" s="57" t="n">
        <f aca="false">(1-EXP(-r_mi*rr_asa_mi*dt))</f>
        <v>0.00213413516393479</v>
      </c>
      <c r="BP115" s="57" t="n">
        <f aca="false">(1-EXP(-r_tia*rr_asa_tia*dt))</f>
        <v>0.00312764565589152</v>
      </c>
      <c r="BQ115" s="57" t="n">
        <f aca="false">(1-EXP(-r_minor*rr_asa_minor*dt))</f>
        <v>0.0278181950466747</v>
      </c>
      <c r="BR115" s="57" t="n">
        <f aca="false">BK115*BL115</f>
        <v>4.9275797419031E-007</v>
      </c>
      <c r="BS115" s="57" t="n">
        <f aca="false">BK115*BM115</f>
        <v>1.18794771572446E-008</v>
      </c>
      <c r="BT115" s="57" t="n">
        <f aca="false">BK115*BN115</f>
        <v>1.10465492831816E-007</v>
      </c>
      <c r="BU115" s="57" t="n">
        <f aca="false">BK115*BO115</f>
        <v>2.47684279119729E-008</v>
      </c>
      <c r="BV115" s="57" t="n">
        <f aca="false">BK115*BP115</f>
        <v>3.62989501655159E-008</v>
      </c>
      <c r="BW115" s="57" t="n">
        <f aca="false">BK115*BQ115</f>
        <v>3.2285347727667E-007</v>
      </c>
      <c r="BX115" s="57" t="n">
        <f aca="false">BR115*f_stroke_fatal_recur</f>
        <v>1.83350314616472E-007</v>
      </c>
      <c r="BY115" s="57" t="n">
        <f aca="false">BR115*(1-f_stroke_fatal_recur)*f_stroke_major</f>
        <v>1.03032750638088E-007</v>
      </c>
      <c r="BZ115" s="57" t="n">
        <f aca="false">BR115*(1-f_stroke_fatal_recur)*(1-f_stroke_major)</f>
        <v>2.06374908935749E-007</v>
      </c>
      <c r="CA115" s="57" t="n">
        <f aca="false">BS115*(1-f_bleed_fatal)</f>
        <v>1.0881601076036E-008</v>
      </c>
      <c r="CB115" s="57" t="n">
        <f aca="false">BT115*(1-f_bleed_fatal)</f>
        <v>1.01186391433944E-007</v>
      </c>
      <c r="CC115" s="57" t="n">
        <f aca="false">BU115*f_mi_fatal</f>
        <v>2.99697977734872E-009</v>
      </c>
      <c r="CD115" s="57" t="n">
        <f aca="false">BU115-CC115</f>
        <v>2.17714481346241E-008</v>
      </c>
      <c r="CE115" s="57" t="n">
        <f aca="false">BK115-BR115-BS115-BT115-CC115</f>
        <v>1.09877385114619E-005</v>
      </c>
      <c r="CF115" s="19" t="n">
        <f aca="false">BX115*c_stroke_fatal+BY115*c_stroke_major+BZ115*c_stroke_minor+BS115*c_ich+BT115*c_major_bleed+CC115*c_mi_fatal+CD115*c_mi_nonfatal+BV115*c_tia+BW115*c_minor_bleed</f>
        <v>0.0185528494340671</v>
      </c>
      <c r="CG115" s="57" t="n">
        <f aca="false">dt*(CD115*dec_mi+CB115*dec_major_bleed+BW115*dec_minor_bleed+BV115*dec_tia)</f>
        <v>4.99161652509893E-009</v>
      </c>
      <c r="CH115" s="57" t="n">
        <f aca="false">I115*BJ115+BX115+BS115-CA115+BT115-CB115+CC115</f>
        <v>7.1131247126488E-006</v>
      </c>
      <c r="CI115" s="57" t="n">
        <f aca="false">1-EXP(LN(1-E115)*dt)</f>
        <v>0.183923753770145</v>
      </c>
      <c r="CJ115" s="57" t="n">
        <f aca="false">J115*(1-CI115)</f>
        <v>0.000339997601996435</v>
      </c>
      <c r="CK115" s="57" t="n">
        <f aca="false">(1-EXP(-r_stroke*F115*rr_asa_stroke*dt))</f>
        <v>0.0195274790514018</v>
      </c>
      <c r="CL115" s="57" t="n">
        <f aca="false">(1-EXP(-r_ich*rr_asa_ich*dt))</f>
        <v>0.00102357767802375</v>
      </c>
      <c r="CM115" s="57" t="n">
        <f aca="false">(1-EXP(-r_mb*rr_asa_mb*dt))</f>
        <v>0.00951809672747972</v>
      </c>
      <c r="CN115" s="57" t="n">
        <f aca="false">(1-EXP(-r_mi*rr_asa_mi*dt))</f>
        <v>0.00213413516393479</v>
      </c>
      <c r="CO115" s="57" t="n">
        <f aca="false">(1-EXP(-r_tia*rr_asa_tia*dt))</f>
        <v>0.00312764565589152</v>
      </c>
      <c r="CP115" s="57" t="n">
        <f aca="false">(1-EXP(-r_minor*rr_asa_minor*dt))</f>
        <v>0.0278181950466747</v>
      </c>
      <c r="CQ115" s="57" t="n">
        <f aca="false">CJ115*CK115</f>
        <v>6.63929605051224E-006</v>
      </c>
      <c r="CR115" s="57" t="n">
        <f aca="false">CJ115*CL115</f>
        <v>3.48013955985152E-007</v>
      </c>
      <c r="CS115" s="57" t="n">
        <f aca="false">CJ115*CM115</f>
        <v>3.23613006291322E-006</v>
      </c>
      <c r="CT115" s="57" t="n">
        <f aca="false">CJ115*CN115</f>
        <v>7.25600838074097E-007</v>
      </c>
      <c r="CU115" s="57" t="n">
        <f aca="false">CJ115*CO115</f>
        <v>1.06339202289768E-006</v>
      </c>
      <c r="CV115" s="57" t="n">
        <f aca="false">CJ115*CP115</f>
        <v>9.4581196077385E-006</v>
      </c>
      <c r="CW115" s="57" t="n">
        <f aca="false">CQ115*f_stroke_fatal</f>
        <v>1.5735131639714E-006</v>
      </c>
      <c r="CX115" s="57" t="n">
        <f aca="false">CQ115*(1-f_stroke_fatal)*f_stroke_major</f>
        <v>1.6869057012181E-006</v>
      </c>
      <c r="CY115" s="57" t="n">
        <f aca="false">CQ115*(1-f_stroke_fatal)*(1-f_stroke_major)</f>
        <v>3.37887718532274E-006</v>
      </c>
      <c r="CZ115" s="57" t="n">
        <f aca="false">CR115*(1-f_bleed_fatal)</f>
        <v>3.187807836824E-007</v>
      </c>
      <c r="DA115" s="57" t="n">
        <f aca="false">CS115*(1-f_bleed_fatal)</f>
        <v>2.96429513762851E-006</v>
      </c>
      <c r="DB115" s="57" t="n">
        <f aca="false">CT115*f_mi_fatal</f>
        <v>8.77977014069657E-008</v>
      </c>
      <c r="DC115" s="57" t="n">
        <f aca="false">CT115-DB115</f>
        <v>6.37803136667131E-007</v>
      </c>
      <c r="DD115" s="57" t="n">
        <f aca="false">CJ115-CQ115-CR115-CS115-DB115</f>
        <v>0.000329686364225617</v>
      </c>
      <c r="DE115" s="19" t="n">
        <f aca="false">CW115*c_stroke_fatal+CX115*c_stroke_major+CY115*c_stroke_minor+CR115*c_ich+CS115*c_major_bleed+DB115*c_mi_fatal+DC115*c_mi_nonfatal+CU115*c_tia+CV115*c_minor_bleed</f>
        <v>0.291089743555112</v>
      </c>
      <c r="DF115" s="57" t="n">
        <f aca="false">dt*(DC115*dec_mi+DA115*dec_major_bleed+CV115*dec_minor_bleed+CU115*dec_tia)</f>
        <v>1.46231369501069E-007</v>
      </c>
      <c r="DG115" s="57" t="n">
        <f aca="false">J115*CI115+CW115+CR115-CZ115+CS115-DA115+DB115</f>
        <v>7.8589575895762E-005</v>
      </c>
      <c r="DH115" s="57" t="n">
        <f aca="false">AG115</f>
        <v>0.000326377771286211</v>
      </c>
      <c r="DI115" s="57" t="n">
        <f aca="false">AB115+AC115+BF115+BA115+BB115+BC115+CY115+CZ115</f>
        <v>2.97558589592155E-005</v>
      </c>
      <c r="DJ115" s="57" t="n">
        <f aca="false">AA115+AZ115+BY115+CX115+CE115+BZ115+CA115+CB115</f>
        <v>1.43358561975661E-005</v>
      </c>
      <c r="DK115" s="57" t="n">
        <f aca="false">AD115+DD115+DA115</f>
        <v>0.000335206078056365</v>
      </c>
      <c r="DL115" s="57" t="n">
        <f aca="false">K115+AJ115+BI115+CH115+DG115</f>
        <v>0.999294324435502</v>
      </c>
      <c r="DM115" s="58" t="n">
        <f aca="false">SUM(DH115:DL115)</f>
        <v>1</v>
      </c>
      <c r="DN115" s="19" t="n">
        <f aca="false">dt*(G115*Warfarin!$H$2+(H115+I115+J115)*c_aspirin)</f>
        <v>0.0439276367693681</v>
      </c>
      <c r="DO115" s="19" t="n">
        <f aca="false">dt*(H115*c_lt_minor_stroke+I115*c_lt_major_stroke)</f>
        <v>0.224506341523912</v>
      </c>
      <c r="DP115" s="19" t="n">
        <f aca="false">AH115+BG115+CF115+DE115</f>
        <v>0.54279130776535</v>
      </c>
      <c r="DQ115" s="19" t="n">
        <f aca="false">DN115+DO115+DP115</f>
        <v>0.81122528605863</v>
      </c>
      <c r="DR115" s="57" t="n">
        <f aca="false">dt*(G115*(u_af-dec_per_year_over_70*MAX(B115-ref_age,0))+H115*(u_minor_stroke-dec_per_year_over_70*MAX(B115-ref_age,0))+I115*(u_major_stroke-dec_per_year_over_70*MAX(B115-ref_age,0))+J115*(u_af-dec_per_year_over_70*MAX(B115-ref_age,0)))-AI115-BH115-CG115-DF115</f>
        <v>0.000173911232324349</v>
      </c>
      <c r="DS115" s="57" t="n">
        <f aca="false">dt*(G115+H115+I115+J115)</f>
        <v>0.000220665822007499</v>
      </c>
      <c r="DT115" s="19" t="n">
        <f aca="false">DQ115*C115</f>
        <v>0.540681895874814</v>
      </c>
      <c r="DU115" s="19" t="n">
        <f aca="false">DN115*C115</f>
        <v>0.0292777830498315</v>
      </c>
      <c r="DV115" s="19" t="n">
        <f aca="false">DP115*C115</f>
        <v>0.361770569027515</v>
      </c>
      <c r="DW115" s="19" t="n">
        <f aca="false">DO115*C115</f>
        <v>0.149633543797467</v>
      </c>
      <c r="DX115" s="57" t="n">
        <f aca="false">DR115*C115</f>
        <v>0.000115911888378019</v>
      </c>
      <c r="DY115" s="57" t="n">
        <f aca="false">DS115*C115</f>
        <v>0.000147073836390704</v>
      </c>
      <c r="DZ115" s="57" t="n">
        <f aca="false">T115+AS115+BR115+CQ115</f>
        <v>1.21918622940562E-005</v>
      </c>
      <c r="EA115" s="57" t="n">
        <f aca="false">U115+AT115+BS115+CR115</f>
        <v>1.05435798521807E-006</v>
      </c>
      <c r="EB115" s="57" t="n">
        <f aca="false">V115+AU115+BT115+CS115</f>
        <v>6.36486611845721E-006</v>
      </c>
      <c r="EC115" s="57" t="n">
        <f aca="false">G115*dt*C115</f>
        <v>6.81830298975956E-005</v>
      </c>
    </row>
    <row r="116" customFormat="false" ht="15" hidden="false" customHeight="false" outlineLevel="0" collapsed="false">
      <c r="A116" s="8" t="n">
        <v>110</v>
      </c>
      <c r="B116" s="54" t="n">
        <f aca="false">start_age+A116*dt</f>
        <v>97.5</v>
      </c>
      <c r="C116" s="16" t="n">
        <f aca="false">(1+disc_rate)^-(A116*dt)</f>
        <v>0.664024094293041</v>
      </c>
      <c r="D116" s="55" t="n">
        <f aca="false">IF(A116*dt&gt;=wane_start,(1-wane_decay)^(A116*dt-wane_start),1)</f>
        <v>1</v>
      </c>
      <c r="E116" s="25" t="n">
        <f aca="false">MIN(p_nonvasc_death*MIN(EXP(gomp_int+gomp_slope*INT(B116)),1)/qx_ref,0.999)</f>
        <v>0.55647005398946</v>
      </c>
      <c r="F116" s="55" t="n">
        <f aca="false">rr_stroke_per_decade^((B116-ref_age)/10)</f>
        <v>3.04965676218323</v>
      </c>
      <c r="G116" s="57" t="n">
        <f aca="false">DH115</f>
        <v>0.000326377771286211</v>
      </c>
      <c r="H116" s="57" t="n">
        <f aca="false">DI115</f>
        <v>2.97558589592155E-005</v>
      </c>
      <c r="I116" s="57" t="n">
        <f aca="false">DJ115</f>
        <v>1.43358561975661E-005</v>
      </c>
      <c r="J116" s="57" t="n">
        <f aca="false">DK115</f>
        <v>0.000335206078056365</v>
      </c>
      <c r="K116" s="57" t="n">
        <f aca="false">DL115</f>
        <v>0.999294324435502</v>
      </c>
      <c r="L116" s="57" t="n">
        <f aca="false">1-EXP(LN(1-E116)*dt)</f>
        <v>0.183923753770145</v>
      </c>
      <c r="M116" s="57" t="n">
        <f aca="false">G116*(1-L116)</f>
        <v>0.000266349146444117</v>
      </c>
      <c r="N116" s="57" t="n">
        <f aca="false">IF(Warfarin!$B$2=1,EXP(LN(or_apx_stroke)*D116)*(1-EXP(-r_stroke*F116*dt))/(1-(1-EXP(-r_stroke*F116*dt))+EXP(LN(or_apx_stroke)*D116)*(1-EXP(-r_stroke*F116*dt))),(1-EXP(-r_stroke*F116*dt)))</f>
        <v>0.0122219672349324</v>
      </c>
      <c r="O116" s="57" t="n">
        <f aca="false">IF(Warfarin!$B$2=1,EXP(LN(or_apx_ich)*D116)*(1-EXP(-r_ich*dt))/(1-(1-EXP(-r_ich*dt))+EXP(LN(or_apx_ich)*D116)*(1-EXP(-r_ich*dt))),(1-EXP(-r_ich*dt)))</f>
        <v>0.0020060281549299</v>
      </c>
      <c r="P116" s="57" t="n">
        <f aca="false">IF(Warfarin!$B$2=1,EXP(LN(or_apx_mb)*D116)*(1-EXP(-r_mb*dt))/(1-(1-EXP(-r_mb*dt))+EXP(LN(or_apx_mb)*D116)*(1-EXP(-r_mb*dt))),(1-EXP(-r_mb*dt)))</f>
        <v>0.00835410477572107</v>
      </c>
      <c r="Q116" s="57" t="n">
        <f aca="false">IF(Warfarin!$B$2=1,EXP(LN(or_apx_mi)*D116)*(1-EXP(-r_mi*dt))/(1-(1-EXP(-r_mi*dt))+EXP(LN(or_apx_mi)*D116)*(1-EXP(-r_mi*dt))),(1-EXP(-r_mi*dt)))</f>
        <v>0.00150338686144691</v>
      </c>
      <c r="R116" s="57" t="n">
        <f aca="false">(1-EXP(-r_tia*dt))</f>
        <v>0.0020060281549299</v>
      </c>
      <c r="S116" s="57" t="n">
        <f aca="false">(1-EXP(-r_minor*dt))</f>
        <v>0.0437937690785545</v>
      </c>
      <c r="T116" s="57" t="n">
        <f aca="false">M116*N116</f>
        <v>3.25531054089221E-006</v>
      </c>
      <c r="U116" s="57" t="n">
        <f aca="false">M116*O116</f>
        <v>5.34303886808445E-007</v>
      </c>
      <c r="V116" s="57" t="n">
        <f aca="false">M116*P116</f>
        <v>2.22510867631803E-006</v>
      </c>
      <c r="W116" s="57" t="n">
        <f aca="false">M116*Q116</f>
        <v>4.00425807321685E-007</v>
      </c>
      <c r="X116" s="57" t="n">
        <f aca="false">M116*R116</f>
        <v>5.34303886808445E-007</v>
      </c>
      <c r="Y116" s="57" t="n">
        <f aca="false">M116*S116</f>
        <v>1.16644330136438E-005</v>
      </c>
      <c r="Z116" s="57" t="n">
        <f aca="false">T116*f_stroke_fatal</f>
        <v>7.71508598191455E-007</v>
      </c>
      <c r="AA116" s="57" t="n">
        <f aca="false">T116*(1-f_stroke_fatal)*f_stroke_major</f>
        <v>8.27106046919353E-007</v>
      </c>
      <c r="AB116" s="57" t="n">
        <f aca="false">T116*(1-f_stroke_fatal)*(1-f_stroke_major)</f>
        <v>1.65669589578141E-006</v>
      </c>
      <c r="AC116" s="57" t="n">
        <f aca="false">U116*(1-f_bleed_fatal)</f>
        <v>4.89422360316536E-007</v>
      </c>
      <c r="AD116" s="57" t="n">
        <f aca="false">V116*(1-f_bleed_fatal)</f>
        <v>2.03819954750732E-006</v>
      </c>
      <c r="AE116" s="57" t="n">
        <f aca="false">W116*f_mi_fatal</f>
        <v>4.84515226859238E-008</v>
      </c>
      <c r="AF116" s="57" t="n">
        <f aca="false">W116-AE116</f>
        <v>3.51974284635761E-007</v>
      </c>
      <c r="AG116" s="57" t="n">
        <f aca="false">M116-T116-U116-V116-AE116</f>
        <v>0.000260285971817413</v>
      </c>
      <c r="AH116" s="19" t="n">
        <f aca="false">Z116*c_stroke_fatal+AA116*c_stroke_major+AB116*c_stroke_minor+U116*c_ich+V116*c_major_bleed+AE116*c_mi_fatal+AF116*c_mi_nonfatal+X116*c_tia+Y116*c_minor_bleed</f>
        <v>0.15655383205856</v>
      </c>
      <c r="AI116" s="57" t="n">
        <f aca="false">dt*(AF116*dec_mi+AD116*dec_major_bleed+Y116*dec_minor_bleed+X116*dec_tia)</f>
        <v>1.09545518367195E-007</v>
      </c>
      <c r="AJ116" s="57" t="n">
        <f aca="false">G116*L116+Z116+U116-AC116+V116-AD116+AE116</f>
        <v>6.10803756182739E-005</v>
      </c>
      <c r="AK116" s="57" t="n">
        <f aca="false">1-EXP(LN(1-E116)*hr_death_prior_stroke*dt)</f>
        <v>0.373413988751993</v>
      </c>
      <c r="AL116" s="57" t="n">
        <f aca="false">H116*(1-AK116)</f>
        <v>1.86446049765131E-005</v>
      </c>
      <c r="AM116" s="57" t="n">
        <f aca="false">(1-EXP(-r_stroke*F116*rr_stroke_prior*rr_asa_stroke*dt))</f>
        <v>0.0428809241529629</v>
      </c>
      <c r="AN116" s="57" t="n">
        <f aca="false">(1-EXP(-r_ich*rr_asa_ich*dt))</f>
        <v>0.00102357767802375</v>
      </c>
      <c r="AO116" s="57" t="n">
        <f aca="false">(1-EXP(-r_mb*rr_asa_mb*dt))</f>
        <v>0.00951809672747972</v>
      </c>
      <c r="AP116" s="57" t="n">
        <f aca="false">(1-EXP(-r_mi*rr_asa_mi*dt))</f>
        <v>0.00213413516393479</v>
      </c>
      <c r="AQ116" s="57" t="n">
        <f aca="false">(1-EXP(-r_tia*rr_asa_tia*dt))</f>
        <v>0.00312764565589152</v>
      </c>
      <c r="AR116" s="57" t="n">
        <f aca="false">(1-EXP(-r_minor*rr_asa_minor*dt))</f>
        <v>0.0278181950466747</v>
      </c>
      <c r="AS116" s="57" t="n">
        <f aca="false">AL116*AM116</f>
        <v>7.99497891859812E-007</v>
      </c>
      <c r="AT116" s="57" t="n">
        <f aca="false">AL116*AN116</f>
        <v>1.90842014695293E-008</v>
      </c>
      <c r="AU116" s="57" t="n">
        <f aca="false">AL116*AO116</f>
        <v>1.77461153612102E-007</v>
      </c>
      <c r="AV116" s="57" t="n">
        <f aca="false">AL116*AP116</f>
        <v>3.97901070980502E-008</v>
      </c>
      <c r="AW116" s="57" t="n">
        <f aca="false">AL116*AQ116</f>
        <v>5.83137177606046E-008</v>
      </c>
      <c r="AX116" s="57" t="n">
        <f aca="false">AL116*AR116</f>
        <v>5.18659257804844E-007</v>
      </c>
      <c r="AY116" s="57" t="n">
        <f aca="false">AS116*f_stroke_fatal_recur</f>
        <v>2.97485170582118E-007</v>
      </c>
      <c r="AZ116" s="57" t="n">
        <f aca="false">AS116*(1-f_stroke_fatal_recur)*f_stroke_major</f>
        <v>1.67170236185472E-007</v>
      </c>
      <c r="BA116" s="57" t="n">
        <f aca="false">AS116*(1-f_stroke_fatal_recur)*(1-f_stroke_major)</f>
        <v>3.34842485092222E-007</v>
      </c>
      <c r="BB116" s="57" t="n">
        <f aca="false">AT116*(1-f_bleed_fatal)</f>
        <v>1.74811285460888E-008</v>
      </c>
      <c r="BC116" s="57" t="n">
        <f aca="false">AU116*(1-f_bleed_fatal)</f>
        <v>1.62554416708685E-007</v>
      </c>
      <c r="BD116" s="57" t="n">
        <f aca="false">AV116*f_mi_fatal</f>
        <v>4.81460295886408E-009</v>
      </c>
      <c r="BE116" s="57" t="n">
        <f aca="false">AV116-BD116</f>
        <v>3.49755041391862E-008</v>
      </c>
      <c r="BF116" s="57" t="n">
        <f aca="false">AL116-AS116-AT116-AU116-BD116</f>
        <v>1.76437471266128E-005</v>
      </c>
      <c r="BG116" s="19" t="n">
        <f aca="false">AY116*c_stroke_fatal+AZ116*c_stroke_major+BA116*c_stroke_minor+AT116*c_ich+AU116*c_major_bleed+BD116*c_mi_fatal+BE116*c_mi_nonfatal+AW116*c_tia+AX116*c_minor_bleed</f>
        <v>0.0300769033174382</v>
      </c>
      <c r="BH116" s="57" t="n">
        <f aca="false">dt*(BE116*dec_mi+BC116*dec_major_bleed+AX116*dec_minor_bleed+AW116*dec_tia)</f>
        <v>8.01895690885063E-009</v>
      </c>
      <c r="BI116" s="57" t="n">
        <f aca="false">H116*AK116+AY116+AT116-BB116+AU116-BC116+BD116</f>
        <v>1.14300635660702E-005</v>
      </c>
      <c r="BJ116" s="57" t="n">
        <f aca="false">1-EXP(LN(1-E116)*hr_death_prior_stroke*dt)</f>
        <v>0.373413988751993</v>
      </c>
      <c r="BK116" s="57" t="n">
        <f aca="false">I116*(1-BJ116)</f>
        <v>8.98264695265795E-006</v>
      </c>
      <c r="BL116" s="57" t="n">
        <f aca="false">(1-EXP(-r_stroke*F116*rr_stroke_prior*rr_asa_stroke*dt))</f>
        <v>0.0428809241529629</v>
      </c>
      <c r="BM116" s="57" t="n">
        <f aca="false">(1-EXP(-r_ich*rr_asa_ich*dt))</f>
        <v>0.00102357767802375</v>
      </c>
      <c r="BN116" s="57" t="n">
        <f aca="false">(1-EXP(-r_mb*rr_asa_mb*dt))</f>
        <v>0.00951809672747972</v>
      </c>
      <c r="BO116" s="57" t="n">
        <f aca="false">(1-EXP(-r_mi*rr_asa_mi*dt))</f>
        <v>0.00213413516393479</v>
      </c>
      <c r="BP116" s="57" t="n">
        <f aca="false">(1-EXP(-r_tia*rr_asa_tia*dt))</f>
        <v>0.00312764565589152</v>
      </c>
      <c r="BQ116" s="57" t="n">
        <f aca="false">(1-EXP(-r_minor*rr_asa_minor*dt))</f>
        <v>0.0278181950466747</v>
      </c>
      <c r="BR116" s="57" t="n">
        <f aca="false">BK116*BL116</f>
        <v>3.85184202669768E-007</v>
      </c>
      <c r="BS116" s="57" t="n">
        <f aca="false">BK116*BM116</f>
        <v>9.1944369103087E-009</v>
      </c>
      <c r="BT116" s="57" t="n">
        <f aca="false">BK116*BN116</f>
        <v>8.54977025641993E-008</v>
      </c>
      <c r="BU116" s="57" t="n">
        <f aca="false">BK116*BO116</f>
        <v>1.9170182726879E-008</v>
      </c>
      <c r="BV116" s="57" t="n">
        <f aca="false">BK116*BP116</f>
        <v>2.80945367198878E-008</v>
      </c>
      <c r="BW116" s="57" t="n">
        <f aca="false">BK116*BQ116</f>
        <v>2.49881024964457E-007</v>
      </c>
      <c r="BX116" s="57" t="n">
        <f aca="false">BR116*f_stroke_fatal_recur</f>
        <v>1.43323189971394E-007</v>
      </c>
      <c r="BY116" s="57" t="n">
        <f aca="false">BR116*(1-f_stroke_fatal_recur)*f_stroke_major</f>
        <v>8.05397172285586E-008</v>
      </c>
      <c r="BZ116" s="57" t="n">
        <f aca="false">BR116*(1-f_stroke_fatal_recur)*(1-f_stroke_major)</f>
        <v>1.61321295469816E-007</v>
      </c>
      <c r="CA116" s="57" t="n">
        <f aca="false">BS116*(1-f_bleed_fatal)</f>
        <v>8.42210420984277E-009</v>
      </c>
      <c r="CB116" s="57" t="n">
        <f aca="false">BT116*(1-f_bleed_fatal)</f>
        <v>7.83158955488066E-008</v>
      </c>
      <c r="CC116" s="57" t="n">
        <f aca="false">BU116*f_mi_fatal</f>
        <v>2.31959210995236E-009</v>
      </c>
      <c r="CD116" s="57" t="n">
        <f aca="false">BU116-CC116</f>
        <v>1.68505906169267E-008</v>
      </c>
      <c r="CE116" s="57" t="n">
        <f aca="false">BK116-BR116-BS116-BT116-CC116</f>
        <v>8.50045101840372E-006</v>
      </c>
      <c r="CF116" s="19" t="n">
        <f aca="false">BX116*c_stroke_fatal+BY116*c_stroke_major+BZ116*c_stroke_minor+BS116*c_ich+BT116*c_major_bleed+CC116*c_mi_fatal+CD116*c_mi_nonfatal+BV116*c_tia+BW116*c_minor_bleed</f>
        <v>0.0144905297950861</v>
      </c>
      <c r="CG116" s="57" t="n">
        <f aca="false">dt*(CD116*dec_mi+CB116*dec_major_bleed+BW116*dec_minor_bleed+BV116*dec_tia)</f>
        <v>3.86339420607311E-009</v>
      </c>
      <c r="CH116" s="57" t="n">
        <f aca="false">I116*BJ116+BX116+BS116-CA116+BT116-CB116+CC116</f>
        <v>5.50680616670532E-006</v>
      </c>
      <c r="CI116" s="57" t="n">
        <f aca="false">1-EXP(LN(1-E116)*dt)</f>
        <v>0.183923753770145</v>
      </c>
      <c r="CJ116" s="57" t="n">
        <f aca="false">J116*(1-CI116)</f>
        <v>0.00027355371789367</v>
      </c>
      <c r="CK116" s="57" t="n">
        <f aca="false">(1-EXP(-r_stroke*F116*rr_asa_stroke*dt))</f>
        <v>0.0197244534234166</v>
      </c>
      <c r="CL116" s="57" t="n">
        <f aca="false">(1-EXP(-r_ich*rr_asa_ich*dt))</f>
        <v>0.00102357767802375</v>
      </c>
      <c r="CM116" s="57" t="n">
        <f aca="false">(1-EXP(-r_mb*rr_asa_mb*dt))</f>
        <v>0.00951809672747972</v>
      </c>
      <c r="CN116" s="57" t="n">
        <f aca="false">(1-EXP(-r_mi*rr_asa_mi*dt))</f>
        <v>0.00213413516393479</v>
      </c>
      <c r="CO116" s="57" t="n">
        <f aca="false">(1-EXP(-r_tia*rr_asa_tia*dt))</f>
        <v>0.00312764565589152</v>
      </c>
      <c r="CP116" s="57" t="n">
        <f aca="false">(1-EXP(-r_minor*rr_asa_minor*dt))</f>
        <v>0.0278181950466747</v>
      </c>
      <c r="CQ116" s="57" t="n">
        <f aca="false">CJ116*CK116</f>
        <v>5.39569756739613E-006</v>
      </c>
      <c r="CR116" s="57" t="n">
        <f aca="false">CJ116*CL116</f>
        <v>2.80003479376366E-007</v>
      </c>
      <c r="CS116" s="57" t="n">
        <f aca="false">CJ116*CM116</f>
        <v>2.60371074707365E-006</v>
      </c>
      <c r="CT116" s="57" t="n">
        <f aca="false">CJ116*CN116</f>
        <v>5.8380060858198E-007</v>
      </c>
      <c r="CU116" s="57" t="n">
        <f aca="false">CJ116*CO116</f>
        <v>8.55579097423112E-007</v>
      </c>
      <c r="CV116" s="57" t="n">
        <f aca="false">CJ116*CP116</f>
        <v>7.60977068010915E-006</v>
      </c>
      <c r="CW116" s="57" t="n">
        <f aca="false">CQ116*f_stroke_fatal</f>
        <v>1.27878032347288E-006</v>
      </c>
      <c r="CX116" s="57" t="n">
        <f aca="false">CQ116*(1-f_stroke_fatal)*f_stroke_major</f>
        <v>1.37093344222644E-006</v>
      </c>
      <c r="CY116" s="57" t="n">
        <f aca="false">CQ116*(1-f_stroke_fatal)*(1-f_stroke_major)</f>
        <v>2.74598380169681E-006</v>
      </c>
      <c r="CZ116" s="57" t="n">
        <f aca="false">CR116*(1-f_bleed_fatal)</f>
        <v>2.56483187108751E-007</v>
      </c>
      <c r="DA116" s="57" t="n">
        <f aca="false">CS116*(1-f_bleed_fatal)</f>
        <v>2.38499904431947E-006</v>
      </c>
      <c r="DB116" s="57" t="n">
        <f aca="false">CT116*f_mi_fatal</f>
        <v>7.06398736384196E-008</v>
      </c>
      <c r="DC116" s="57" t="n">
        <f aca="false">CT116-DB116</f>
        <v>5.1316073494356E-007</v>
      </c>
      <c r="DD116" s="57" t="n">
        <f aca="false">CJ116-CQ116-CR116-CS116-DB116</f>
        <v>0.000265203666226186</v>
      </c>
      <c r="DE116" s="19" t="n">
        <f aca="false">CW116*c_stroke_fatal+CX116*c_stroke_major+CY116*c_stroke_minor+CR116*c_ich+CS116*c_major_bleed+DB116*c_mi_fatal+DC116*c_mi_nonfatal+CU116*c_tia+CV116*c_minor_bleed</f>
        <v>0.236194508349215</v>
      </c>
      <c r="DF116" s="57" t="n">
        <f aca="false">dt*(DC116*dec_mi+DA116*dec_major_bleed+CV116*dec_minor_bleed+CU116*dec_tia)</f>
        <v>1.17654167455334E-007</v>
      </c>
      <c r="DG116" s="57" t="n">
        <f aca="false">J116*CI116+CW116+CR116-CZ116+CS116-DA116+DB116</f>
        <v>6.32440123548282E-005</v>
      </c>
      <c r="DH116" s="57" t="n">
        <f aca="false">AG116</f>
        <v>0.000260285971817413</v>
      </c>
      <c r="DI116" s="57" t="n">
        <f aca="false">AB116+AC116+BF116+BA116+BB116+BC116+CY116+CZ116</f>
        <v>2.33072104018633E-005</v>
      </c>
      <c r="DJ116" s="57" t="n">
        <f aca="false">AA116+AZ116+BY116+CX116+CE116+BZ116+CA116+CB116</f>
        <v>1.1194259756192E-005</v>
      </c>
      <c r="DK116" s="57" t="n">
        <f aca="false">AD116+DD116+DA116</f>
        <v>0.000269626864818013</v>
      </c>
      <c r="DL116" s="57" t="n">
        <f aca="false">K116+AJ116+BI116+CH116+DG116</f>
        <v>0.999435585693208</v>
      </c>
      <c r="DM116" s="58" t="n">
        <f aca="false">SUM(DH116:DL116)</f>
        <v>1</v>
      </c>
      <c r="DN116" s="19" t="n">
        <f aca="false">dt*(G116*Warfarin!$H$2+(H116+I116+J116)*c_aspirin)</f>
        <v>0.0350528839541748</v>
      </c>
      <c r="DO116" s="19" t="n">
        <f aca="false">dt*(H116*c_lt_minor_stroke+I116*c_lt_major_stroke)</f>
        <v>0.174033753180285</v>
      </c>
      <c r="DP116" s="19" t="n">
        <f aca="false">AH116+BG116+CF116+DE116</f>
        <v>0.437315773520299</v>
      </c>
      <c r="DQ116" s="19" t="n">
        <f aca="false">DN116+DO116+DP116</f>
        <v>0.646402410654758</v>
      </c>
      <c r="DR116" s="57" t="n">
        <f aca="false">dt*(G116*(u_af-dec_per_year_over_70*MAX(B116-ref_age,0))+H116*(u_minor_stroke-dec_per_year_over_70*MAX(B116-ref_age,0))+I116*(u_major_stroke-dec_per_year_over_70*MAX(B116-ref_age,0))+J116*(u_af-dec_per_year_over_70*MAX(B116-ref_age,0)))-AI116-BH116-CG116-DF116</f>
        <v>0.000139095956795894</v>
      </c>
      <c r="DS116" s="57" t="n">
        <f aca="false">dt*(G116+H116+I116+J116)</f>
        <v>0.00017641889112484</v>
      </c>
      <c r="DT116" s="19" t="n">
        <f aca="false">DQ116*C116</f>
        <v>0.429226775283864</v>
      </c>
      <c r="DU116" s="19" t="n">
        <f aca="false">DN116*C116</f>
        <v>0.02327595952003</v>
      </c>
      <c r="DV116" s="19" t="n">
        <f aca="false">DP116*C116</f>
        <v>0.290388210431877</v>
      </c>
      <c r="DW116" s="19" t="n">
        <f aca="false">DO116*C116</f>
        <v>0.115562605331957</v>
      </c>
      <c r="DX116" s="57" t="n">
        <f aca="false">DR116*C116</f>
        <v>9.23630667312176E-005</v>
      </c>
      <c r="DY116" s="57" t="n">
        <f aca="false">DS116*C116</f>
        <v>0.000117146394395354</v>
      </c>
      <c r="DZ116" s="57" t="n">
        <f aca="false">T116+AS116+BR116+CQ116</f>
        <v>9.83569020281793E-006</v>
      </c>
      <c r="EA116" s="57" t="n">
        <f aca="false">U116+AT116+BS116+CR116</f>
        <v>8.42586004564649E-007</v>
      </c>
      <c r="EB116" s="57" t="n">
        <f aca="false">V116+AU116+BT116+CS116</f>
        <v>5.09177827956799E-006</v>
      </c>
      <c r="EC116" s="57" t="n">
        <f aca="false">G116*dt*C116</f>
        <v>5.41806759939269E-005</v>
      </c>
    </row>
    <row r="117" customFormat="false" ht="15" hidden="false" customHeight="false" outlineLevel="0" collapsed="false">
      <c r="A117" s="8" t="n">
        <v>111</v>
      </c>
      <c r="B117" s="54" t="n">
        <f aca="false">start_age+A117*dt</f>
        <v>97.75</v>
      </c>
      <c r="C117" s="16" t="n">
        <f aca="false">(1+disc_rate)^-(A117*dt)</f>
        <v>0.661557089070272</v>
      </c>
      <c r="D117" s="55" t="n">
        <f aca="false">IF(A117*dt&gt;=wane_start,(1-wane_decay)^(A117*dt-wane_start),1)</f>
        <v>1</v>
      </c>
      <c r="E117" s="25" t="n">
        <f aca="false">MIN(p_nonvasc_death*MIN(EXP(gomp_int+gomp_slope*INT(B117)),1)/qx_ref,0.999)</f>
        <v>0.55647005398946</v>
      </c>
      <c r="F117" s="55" t="n">
        <f aca="false">rr_stroke_per_decade^((B117-ref_age)/10)</f>
        <v>3.0807272061205</v>
      </c>
      <c r="G117" s="57" t="n">
        <f aca="false">DH116</f>
        <v>0.000260285971817413</v>
      </c>
      <c r="H117" s="57" t="n">
        <f aca="false">DI116</f>
        <v>2.33072104018633E-005</v>
      </c>
      <c r="I117" s="57" t="n">
        <f aca="false">DJ116</f>
        <v>1.1194259756192E-005</v>
      </c>
      <c r="J117" s="57" t="n">
        <f aca="false">DK116</f>
        <v>0.000269626864818013</v>
      </c>
      <c r="K117" s="57" t="n">
        <f aca="false">DL116</f>
        <v>0.999435585693208</v>
      </c>
      <c r="L117" s="57" t="n">
        <f aca="false">1-EXP(LN(1-E117)*dt)</f>
        <v>0.183923753770145</v>
      </c>
      <c r="M117" s="57" t="n">
        <f aca="false">G117*(1-L117)</f>
        <v>0.000212413198827044</v>
      </c>
      <c r="N117" s="57" t="n">
        <f aca="false">IF(Warfarin!$B$2=1,EXP(LN(or_apx_stroke)*D117)*(1-EXP(-r_stroke*F117*dt))/(1-(1-EXP(-r_stroke*F117*dt))+EXP(LN(or_apx_stroke)*D117)*(1-EXP(-r_stroke*F117*dt))),(1-EXP(-r_stroke*F117*dt)))</f>
        <v>0.0123457149963135</v>
      </c>
      <c r="O117" s="57" t="n">
        <f aca="false">IF(Warfarin!$B$2=1,EXP(LN(or_apx_ich)*D117)*(1-EXP(-r_ich*dt))/(1-(1-EXP(-r_ich*dt))+EXP(LN(or_apx_ich)*D117)*(1-EXP(-r_ich*dt))),(1-EXP(-r_ich*dt)))</f>
        <v>0.0020060281549299</v>
      </c>
      <c r="P117" s="57" t="n">
        <f aca="false">IF(Warfarin!$B$2=1,EXP(LN(or_apx_mb)*D117)*(1-EXP(-r_mb*dt))/(1-(1-EXP(-r_mb*dt))+EXP(LN(or_apx_mb)*D117)*(1-EXP(-r_mb*dt))),(1-EXP(-r_mb*dt)))</f>
        <v>0.00835410477572107</v>
      </c>
      <c r="Q117" s="57" t="n">
        <f aca="false">IF(Warfarin!$B$2=1,EXP(LN(or_apx_mi)*D117)*(1-EXP(-r_mi*dt))/(1-(1-EXP(-r_mi*dt))+EXP(LN(or_apx_mi)*D117)*(1-EXP(-r_mi*dt))),(1-EXP(-r_mi*dt)))</f>
        <v>0.00150338686144691</v>
      </c>
      <c r="R117" s="57" t="n">
        <f aca="false">(1-EXP(-r_tia*dt))</f>
        <v>0.0020060281549299</v>
      </c>
      <c r="S117" s="57" t="n">
        <f aca="false">(1-EXP(-r_minor*dt))</f>
        <v>0.0437937690785545</v>
      </c>
      <c r="T117" s="57" t="n">
        <f aca="false">M117*N117</f>
        <v>2.62239281417396E-006</v>
      </c>
      <c r="U117" s="57" t="n">
        <f aca="false">M117*O117</f>
        <v>4.26106857325772E-007</v>
      </c>
      <c r="V117" s="57" t="n">
        <f aca="false">M117*P117</f>
        <v>1.7745221187472E-006</v>
      </c>
      <c r="W117" s="57" t="n">
        <f aca="false">M117*Q117</f>
        <v>3.19339212314488E-007</v>
      </c>
      <c r="X117" s="57" t="n">
        <f aca="false">M117*R117</f>
        <v>4.26106857325772E-007</v>
      </c>
      <c r="Y117" s="57" t="n">
        <f aca="false">M117*S117</f>
        <v>9.30237457866864E-006</v>
      </c>
      <c r="Z117" s="57" t="n">
        <f aca="false">T117*f_stroke_fatal</f>
        <v>6.2150709695923E-007</v>
      </c>
      <c r="AA117" s="57" t="n">
        <f aca="false">T117*(1-f_stroke_fatal)*f_stroke_major</f>
        <v>6.66294943832507E-007</v>
      </c>
      <c r="AB117" s="57" t="n">
        <f aca="false">T117*(1-f_stroke_fatal)*(1-f_stroke_major)</f>
        <v>1.33459077338223E-006</v>
      </c>
      <c r="AC117" s="57" t="n">
        <f aca="false">U117*(1-f_bleed_fatal)</f>
        <v>3.90313881310407E-007</v>
      </c>
      <c r="AD117" s="57" t="n">
        <f aca="false">V117*(1-f_bleed_fatal)</f>
        <v>1.62546226077243E-006</v>
      </c>
      <c r="AE117" s="57" t="n">
        <f aca="false">W117*f_mi_fatal</f>
        <v>3.8640044690053E-008</v>
      </c>
      <c r="AF117" s="57" t="n">
        <f aca="false">W117-AE117</f>
        <v>2.80699167624435E-007</v>
      </c>
      <c r="AG117" s="57" t="n">
        <f aca="false">M117-T117-U117-V117-AE117</f>
        <v>0.000207551536992107</v>
      </c>
      <c r="AH117" s="19" t="n">
        <f aca="false">Z117*c_stroke_fatal+AA117*c_stroke_major+AB117*c_stroke_minor+U117*c_ich+V117*c_major_bleed+AE117*c_mi_fatal+AF117*c_mi_nonfatal+X117*c_tia+Y117*c_minor_bleed</f>
        <v>0.125822729572053</v>
      </c>
      <c r="AI117" s="57" t="n">
        <f aca="false">dt*(AF117*dec_mi+AD117*dec_major_bleed+Y117*dec_minor_bleed+X117*dec_tia)</f>
        <v>8.73624499428412E-008</v>
      </c>
      <c r="AJ117" s="57" t="n">
        <f aca="false">G117*L117+Z117+U117-AC117+V117-AD117+AE117</f>
        <v>4.87177729660082E-005</v>
      </c>
      <c r="AK117" s="57" t="n">
        <f aca="false">1-EXP(LN(1-E117)*hr_death_prior_stroke*dt)</f>
        <v>0.373413988751993</v>
      </c>
      <c r="AL117" s="57" t="n">
        <f aca="false">H117*(1-AK117)</f>
        <v>1.46039719990216E-005</v>
      </c>
      <c r="AM117" s="57" t="n">
        <f aca="false">(1-EXP(-r_stroke*F117*rr_stroke_prior*rr_asa_stroke*dt))</f>
        <v>0.0433082035016198</v>
      </c>
      <c r="AN117" s="57" t="n">
        <f aca="false">(1-EXP(-r_ich*rr_asa_ich*dt))</f>
        <v>0.00102357767802375</v>
      </c>
      <c r="AO117" s="57" t="n">
        <f aca="false">(1-EXP(-r_mb*rr_asa_mb*dt))</f>
        <v>0.00951809672747972</v>
      </c>
      <c r="AP117" s="57" t="n">
        <f aca="false">(1-EXP(-r_mi*rr_asa_mi*dt))</f>
        <v>0.00213413516393479</v>
      </c>
      <c r="AQ117" s="57" t="n">
        <f aca="false">(1-EXP(-r_tia*rr_asa_tia*dt))</f>
        <v>0.00312764565589152</v>
      </c>
      <c r="AR117" s="57" t="n">
        <f aca="false">(1-EXP(-r_minor*rr_asa_minor*dt))</f>
        <v>0.0278181950466747</v>
      </c>
      <c r="AS117" s="57" t="n">
        <f aca="false">AL117*AM117</f>
        <v>6.32471791265585E-007</v>
      </c>
      <c r="AT117" s="57" t="n">
        <f aca="false">AL117*AN117</f>
        <v>1.49482997486823E-008</v>
      </c>
      <c r="AU117" s="57" t="n">
        <f aca="false">AL117*AO117</f>
        <v>1.39002018092093E-007</v>
      </c>
      <c r="AV117" s="57" t="n">
        <f aca="false">AL117*AP117</f>
        <v>3.11668501762311E-008</v>
      </c>
      <c r="AW117" s="57" t="n">
        <f aca="false">AL117*AQ117</f>
        <v>4.56760495815013E-008</v>
      </c>
      <c r="AX117" s="57" t="n">
        <f aca="false">AL117*AR117</f>
        <v>4.06256141524959E-007</v>
      </c>
      <c r="AY117" s="57" t="n">
        <f aca="false">AS117*f_stroke_fatal_recur</f>
        <v>2.35336428812011E-007</v>
      </c>
      <c r="AZ117" s="57" t="n">
        <f aca="false">AS117*(1-f_stroke_fatal_recur)*f_stroke_major</f>
        <v>1.3224607569704E-007</v>
      </c>
      <c r="BA117" s="57" t="n">
        <f aca="false">AS117*(1-f_stroke_fatal_recur)*(1-f_stroke_major)</f>
        <v>2.64889286756533E-007</v>
      </c>
      <c r="BB117" s="57" t="n">
        <f aca="false">AT117*(1-f_bleed_fatal)</f>
        <v>1.3692642569793E-008</v>
      </c>
      <c r="BC117" s="57" t="n">
        <f aca="false">AU117*(1-f_bleed_fatal)</f>
        <v>1.27325848572357E-007</v>
      </c>
      <c r="BD117" s="57" t="n">
        <f aca="false">AV117*f_mi_fatal</f>
        <v>3.77118887132396E-009</v>
      </c>
      <c r="BE117" s="57" t="n">
        <f aca="false">AV117-BD117</f>
        <v>2.73956613049071E-008</v>
      </c>
      <c r="BF117" s="57" t="n">
        <f aca="false">AL117-AS117-AT117-AU117-BD117</f>
        <v>1.38137787010439E-005</v>
      </c>
      <c r="BG117" s="19" t="n">
        <f aca="false">AY117*c_stroke_fatal+AZ117*c_stroke_major+BA117*c_stroke_minor+AT117*c_ich+AU117*c_major_bleed+BD117*c_mi_fatal+BE117*c_mi_nonfatal+AW117*c_tia+AX117*c_minor_bleed</f>
        <v>0.0237738294442823</v>
      </c>
      <c r="BH117" s="57" t="n">
        <f aca="false">dt*(BE117*dec_mi+BC117*dec_major_bleed+AX117*dec_minor_bleed+AW117*dec_tia)</f>
        <v>6.28109966962233E-009</v>
      </c>
      <c r="BI117" s="57" t="n">
        <f aca="false">H117*AK117+AY117+AT117-BB117+AU117-BC117+BD117</f>
        <v>8.95527784722366E-006</v>
      </c>
      <c r="BJ117" s="57" t="n">
        <f aca="false">1-EXP(LN(1-E117)*hr_death_prior_stroke*dt)</f>
        <v>0.373413988751993</v>
      </c>
      <c r="BK117" s="57" t="n">
        <f aca="false">I117*(1-BJ117)</f>
        <v>7.01416656950645E-006</v>
      </c>
      <c r="BL117" s="57" t="n">
        <f aca="false">(1-EXP(-r_stroke*F117*rr_stroke_prior*rr_asa_stroke*dt))</f>
        <v>0.0433082035016198</v>
      </c>
      <c r="BM117" s="57" t="n">
        <f aca="false">(1-EXP(-r_ich*rr_asa_ich*dt))</f>
        <v>0.00102357767802375</v>
      </c>
      <c r="BN117" s="57" t="n">
        <f aca="false">(1-EXP(-r_mb*rr_asa_mb*dt))</f>
        <v>0.00951809672747972</v>
      </c>
      <c r="BO117" s="57" t="n">
        <f aca="false">(1-EXP(-r_mi*rr_asa_mi*dt))</f>
        <v>0.00213413516393479</v>
      </c>
      <c r="BP117" s="57" t="n">
        <f aca="false">(1-EXP(-r_tia*rr_asa_tia*dt))</f>
        <v>0.00312764565589152</v>
      </c>
      <c r="BQ117" s="57" t="n">
        <f aca="false">(1-EXP(-r_minor*rr_asa_minor*dt))</f>
        <v>0.0278181950466747</v>
      </c>
      <c r="BR117" s="57" t="n">
        <f aca="false">BK117*BL117</f>
        <v>3.03770953186444E-007</v>
      </c>
      <c r="BS117" s="57" t="n">
        <f aca="false">BK117*BM117</f>
        <v>7.17954433048719E-009</v>
      </c>
      <c r="BT117" s="57" t="n">
        <f aca="false">BK117*BN117</f>
        <v>6.67615158712169E-008</v>
      </c>
      <c r="BU117" s="57" t="n">
        <f aca="false">BK117*BO117</f>
        <v>1.49691795216796E-008</v>
      </c>
      <c r="BV117" s="57" t="n">
        <f aca="false">BK117*BP117</f>
        <v>2.19378276008164E-008</v>
      </c>
      <c r="BW117" s="57" t="n">
        <f aca="false">BK117*BQ117</f>
        <v>1.95121453720396E-007</v>
      </c>
      <c r="BX117" s="57" t="n">
        <f aca="false">BR117*f_stroke_fatal_recur</f>
        <v>1.13030133971144E-007</v>
      </c>
      <c r="BY117" s="57" t="n">
        <f aca="false">BR117*(1-f_stroke_fatal_recur)*f_stroke_major</f>
        <v>6.35166927986948E-008</v>
      </c>
      <c r="BZ117" s="57" t="n">
        <f aca="false">BR117*(1-f_stroke_fatal_recur)*(1-f_stroke_major)</f>
        <v>1.27224126416605E-007</v>
      </c>
      <c r="CA117" s="57" t="n">
        <f aca="false">BS117*(1-f_bleed_fatal)</f>
        <v>6.57646260672627E-009</v>
      </c>
      <c r="CB117" s="57" t="n">
        <f aca="false">BT117*(1-f_bleed_fatal)</f>
        <v>6.11535485380347E-008</v>
      </c>
      <c r="CC117" s="57" t="n">
        <f aca="false">BU117*f_mi_fatal</f>
        <v>1.81127072212323E-009</v>
      </c>
      <c r="CD117" s="57" t="n">
        <f aca="false">BU117-CC117</f>
        <v>1.31579087995563E-008</v>
      </c>
      <c r="CE117" s="57" t="n">
        <f aca="false">BK117-BR117-BS117-BT117-CC117</f>
        <v>6.63464328539618E-006</v>
      </c>
      <c r="CF117" s="19" t="n">
        <f aca="false">BX117*c_stroke_fatal+BY117*c_stroke_major+BZ117*c_stroke_minor+BS117*c_ich+BT117*c_major_bleed+CC117*c_mi_fatal+CD117*c_mi_nonfatal+BV117*c_tia+BW117*c_minor_bleed</f>
        <v>0.0114183730103293</v>
      </c>
      <c r="CG117" s="57" t="n">
        <f aca="false">dt*(CD117*dec_mi+CB117*dec_major_bleed+BW117*dec_minor_bleed+BV117*dec_tia)</f>
        <v>3.01676005167324E-009</v>
      </c>
      <c r="CH117" s="57" t="n">
        <f aca="false">I117*BJ117+BX117+BS117-CA117+BT117-CB117+CC117</f>
        <v>4.30114564043578E-006</v>
      </c>
      <c r="CI117" s="57" t="n">
        <f aca="false">1-EXP(LN(1-E117)*dt)</f>
        <v>0.183923753770145</v>
      </c>
      <c r="CJ117" s="57" t="n">
        <f aca="false">J117*(1-CI117)</f>
        <v>0.000220036079723408</v>
      </c>
      <c r="CK117" s="57" t="n">
        <f aca="false">(1-EXP(-r_stroke*F117*rr_asa_stroke*dt))</f>
        <v>0.0199233944268579</v>
      </c>
      <c r="CL117" s="57" t="n">
        <f aca="false">(1-EXP(-r_ich*rr_asa_ich*dt))</f>
        <v>0.00102357767802375</v>
      </c>
      <c r="CM117" s="57" t="n">
        <f aca="false">(1-EXP(-r_mb*rr_asa_mb*dt))</f>
        <v>0.00951809672747972</v>
      </c>
      <c r="CN117" s="57" t="n">
        <f aca="false">(1-EXP(-r_mi*rr_asa_mi*dt))</f>
        <v>0.00213413516393479</v>
      </c>
      <c r="CO117" s="57" t="n">
        <f aca="false">(1-EXP(-r_tia*rr_asa_tia*dt))</f>
        <v>0.00312764565589152</v>
      </c>
      <c r="CP117" s="57" t="n">
        <f aca="false">(1-EXP(-r_minor*rr_asa_minor*dt))</f>
        <v>0.0278181950466747</v>
      </c>
      <c r="CQ117" s="57" t="n">
        <f aca="false">CJ117*CK117</f>
        <v>4.383865604469E-006</v>
      </c>
      <c r="CR117" s="57" t="n">
        <f aca="false">CJ117*CL117</f>
        <v>2.25224019564734E-007</v>
      </c>
      <c r="CS117" s="57" t="n">
        <f aca="false">CJ117*CM117</f>
        <v>2.09432469034284E-006</v>
      </c>
      <c r="CT117" s="57" t="n">
        <f aca="false">CJ117*CN117</f>
        <v>4.69586735072084E-007</v>
      </c>
      <c r="CU117" s="57" t="n">
        <f aca="false">CJ117*CO117</f>
        <v>6.88194888886318E-007</v>
      </c>
      <c r="CV117" s="57" t="n">
        <f aca="false">CJ117*CP117</f>
        <v>6.12100658305143E-006</v>
      </c>
      <c r="CW117" s="57" t="n">
        <f aca="false">CQ117*f_stroke_fatal</f>
        <v>1.03897614825915E-006</v>
      </c>
      <c r="CX117" s="57" t="n">
        <f aca="false">CQ117*(1-f_stroke_fatal)*f_stroke_major</f>
        <v>1.11384818891788E-006</v>
      </c>
      <c r="CY117" s="57" t="n">
        <f aca="false">CQ117*(1-f_stroke_fatal)*(1-f_stroke_major)</f>
        <v>2.23104126729197E-006</v>
      </c>
      <c r="CZ117" s="57" t="n">
        <f aca="false">CR117*(1-f_bleed_fatal)</f>
        <v>2.06305201921296E-007</v>
      </c>
      <c r="DA117" s="57" t="n">
        <f aca="false">CS117*(1-f_bleed_fatal)</f>
        <v>1.91840141635404E-006</v>
      </c>
      <c r="DB117" s="57" t="n">
        <f aca="false">CT117*f_mi_fatal</f>
        <v>5.68199949437222E-008</v>
      </c>
      <c r="DC117" s="57" t="n">
        <f aca="false">CT117-DB117</f>
        <v>4.12766740128362E-007</v>
      </c>
      <c r="DD117" s="57" t="n">
        <f aca="false">CJ117-CQ117-CR117-CS117-DB117</f>
        <v>0.000213275845414088</v>
      </c>
      <c r="DE117" s="19" t="n">
        <f aca="false">CW117*c_stroke_fatal+CX117*c_stroke_major+CY117*c_stroke_minor+CR117*c_ich+CS117*c_major_bleed+DB117*c_mi_fatal+DC117*c_mi_nonfatal+CU117*c_tia+CV117*c_minor_bleed</f>
        <v>0.191603122703026</v>
      </c>
      <c r="DF117" s="57" t="n">
        <f aca="false">dt*(DC117*dec_mi+DA117*dec_major_bleed+CV117*dec_minor_bleed+CU117*dec_tia)</f>
        <v>9.46364829888941E-008</v>
      </c>
      <c r="DG117" s="57" t="n">
        <f aca="false">J117*CI117+CW117+CR117-CZ117+CS117-DA117+DB117</f>
        <v>5.08814233294395E-005</v>
      </c>
      <c r="DH117" s="57" t="n">
        <f aca="false">AG117</f>
        <v>0.000207551536992107</v>
      </c>
      <c r="DI117" s="57" t="n">
        <f aca="false">AB117+AC117+BF117+BA117+BB117+BC117+CY117+CZ117</f>
        <v>1.83819376028485E-005</v>
      </c>
      <c r="DJ117" s="57" t="n">
        <f aca="false">AA117+AZ117+BY117+CX117+CE117+BZ117+CA117+CB117</f>
        <v>8.80550332420366E-006</v>
      </c>
      <c r="DK117" s="57" t="n">
        <f aca="false">AD117+DD117+DA117</f>
        <v>0.000216819709091214</v>
      </c>
      <c r="DL117" s="57" t="n">
        <f aca="false">K117+AJ117+BI117+CH117+DG117</f>
        <v>0.999548441312991</v>
      </c>
      <c r="DM117" s="58" t="n">
        <f aca="false">SUM(DH117:DL117)</f>
        <v>1</v>
      </c>
      <c r="DN117" s="19" t="n">
        <f aca="false">dt*(G117*Warfarin!$H$2+(H117+I117+J117)*c_aspirin)</f>
        <v>0.027970636307159</v>
      </c>
      <c r="DO117" s="19" t="n">
        <f aca="false">dt*(H117*c_lt_minor_stroke+I117*c_lt_major_stroke)</f>
        <v>0.136090532370414</v>
      </c>
      <c r="DP117" s="19" t="n">
        <f aca="false">AH117+BG117+CF117+DE117</f>
        <v>0.35261805472969</v>
      </c>
      <c r="DQ117" s="19" t="n">
        <f aca="false">DN117+DO117+DP117</f>
        <v>0.516679223407263</v>
      </c>
      <c r="DR117" s="57" t="n">
        <f aca="false">dt*(G117*(u_af-dec_per_year_over_70*MAX(B117-ref_age,0))+H117*(u_minor_stroke-dec_per_year_over_70*MAX(B117-ref_age,0))+I117*(u_major_stroke-dec_per_year_over_70*MAX(B117-ref_age,0))+J117*(u_af-dec_per_year_over_70*MAX(B117-ref_age,0)))-AI117-BH117-CG117-DF117</f>
        <v>0.000111281426241617</v>
      </c>
      <c r="DS117" s="57" t="n">
        <f aca="false">dt*(G117+H117+I117+J117)</f>
        <v>0.00014110357669837</v>
      </c>
      <c r="DT117" s="19" t="n">
        <f aca="false">DQ117*C117</f>
        <v>0.341812803020398</v>
      </c>
      <c r="DU117" s="19" t="n">
        <f aca="false">DN117*C117</f>
        <v>0.0185041727348074</v>
      </c>
      <c r="DV117" s="19" t="n">
        <f aca="false">DP117*C117</f>
        <v>0.233276973840595</v>
      </c>
      <c r="DW117" s="19" t="n">
        <f aca="false">DO117*C117</f>
        <v>0.0900316564449948</v>
      </c>
      <c r="DX117" s="57" t="n">
        <f aca="false">DR117*C117</f>
        <v>7.36190164119924E-005</v>
      </c>
      <c r="DY117" s="57" t="n">
        <f aca="false">DS117*C117</f>
        <v>9.33480714579776E-005</v>
      </c>
      <c r="DZ117" s="57" t="n">
        <f aca="false">T117+AS117+BR117+CQ117</f>
        <v>7.942501163095E-006</v>
      </c>
      <c r="EA117" s="57" t="n">
        <f aca="false">U117+AT117+BS117+CR117</f>
        <v>6.73458720969675E-007</v>
      </c>
      <c r="EB117" s="57" t="n">
        <f aca="false">V117+AU117+BT117+CS117</f>
        <v>4.07461034305334E-006</v>
      </c>
      <c r="EC117" s="57" t="n">
        <f aca="false">G117*dt*C117</f>
        <v>4.30485074603386E-005</v>
      </c>
    </row>
    <row r="118" customFormat="false" ht="15" hidden="false" customHeight="false" outlineLevel="0" collapsed="false">
      <c r="A118" s="8" t="n">
        <v>112</v>
      </c>
      <c r="B118" s="54" t="n">
        <f aca="false">start_age+A118*dt</f>
        <v>98</v>
      </c>
      <c r="C118" s="16" t="n">
        <f aca="false">(1+disc_rate)^-(A118*dt)</f>
        <v>0.659099249350414</v>
      </c>
      <c r="D118" s="55" t="n">
        <f aca="false">IF(A118*dt&gt;=wane_start,(1-wane_decay)^(A118*dt-wane_start),1)</f>
        <v>1</v>
      </c>
      <c r="E118" s="25" t="n">
        <f aca="false">MIN(p_nonvasc_death*MIN(EXP(gomp_int+gomp_slope*INT(B118)),1)/qx_ref,0.999)</f>
        <v>0.617850739193043</v>
      </c>
      <c r="F118" s="55" t="n">
        <f aca="false">rr_stroke_per_decade^((B118-ref_age)/10)</f>
        <v>3.11211420125083</v>
      </c>
      <c r="G118" s="57" t="n">
        <f aca="false">DH117</f>
        <v>0.000207551536992107</v>
      </c>
      <c r="H118" s="57" t="n">
        <f aca="false">DI117</f>
        <v>1.83819376028485E-005</v>
      </c>
      <c r="I118" s="57" t="n">
        <f aca="false">DJ117</f>
        <v>8.80550332420366E-006</v>
      </c>
      <c r="J118" s="57" t="n">
        <f aca="false">DK117</f>
        <v>0.000216819709091214</v>
      </c>
      <c r="K118" s="57" t="n">
        <f aca="false">DL117</f>
        <v>0.999548441312991</v>
      </c>
      <c r="L118" s="57" t="n">
        <f aca="false">1-EXP(LN(1-E118)*dt)</f>
        <v>0.213754349469101</v>
      </c>
      <c r="M118" s="57" t="n">
        <f aca="false">G118*(1-L118)</f>
        <v>0.000163186493221047</v>
      </c>
      <c r="N118" s="57" t="n">
        <f aca="false">IF(Warfarin!$B$2=1,EXP(LN(or_apx_stroke)*D118)*(1-EXP(-r_stroke*F118*dt))/(1-(1-EXP(-r_stroke*F118*dt))+EXP(LN(or_apx_stroke)*D118)*(1-EXP(-r_stroke*F118*dt))),(1-EXP(-r_stroke*F118*dt)))</f>
        <v>0.0124707077811296</v>
      </c>
      <c r="O118" s="57" t="n">
        <f aca="false">IF(Warfarin!$B$2=1,EXP(LN(or_apx_ich)*D118)*(1-EXP(-r_ich*dt))/(1-(1-EXP(-r_ich*dt))+EXP(LN(or_apx_ich)*D118)*(1-EXP(-r_ich*dt))),(1-EXP(-r_ich*dt)))</f>
        <v>0.0020060281549299</v>
      </c>
      <c r="P118" s="57" t="n">
        <f aca="false">IF(Warfarin!$B$2=1,EXP(LN(or_apx_mb)*D118)*(1-EXP(-r_mb*dt))/(1-(1-EXP(-r_mb*dt))+EXP(LN(or_apx_mb)*D118)*(1-EXP(-r_mb*dt))),(1-EXP(-r_mb*dt)))</f>
        <v>0.00835410477572107</v>
      </c>
      <c r="Q118" s="57" t="n">
        <f aca="false">IF(Warfarin!$B$2=1,EXP(LN(or_apx_mi)*D118)*(1-EXP(-r_mi*dt))/(1-(1-EXP(-r_mi*dt))+EXP(LN(or_apx_mi)*D118)*(1-EXP(-r_mi*dt))),(1-EXP(-r_mi*dt)))</f>
        <v>0.00150338686144691</v>
      </c>
      <c r="R118" s="57" t="n">
        <f aca="false">(1-EXP(-r_tia*dt))</f>
        <v>0.0020060281549299</v>
      </c>
      <c r="S118" s="57" t="n">
        <f aca="false">(1-EXP(-r_minor*dt))</f>
        <v>0.0437937690785545</v>
      </c>
      <c r="T118" s="57" t="n">
        <f aca="false">M118*N118</f>
        <v>2.03505107078696E-006</v>
      </c>
      <c r="U118" s="57" t="n">
        <f aca="false">M118*O118</f>
        <v>3.27356699905697E-007</v>
      </c>
      <c r="V118" s="57" t="n">
        <f aca="false">M118*P118</f>
        <v>1.36327706235112E-006</v>
      </c>
      <c r="W118" s="57" t="n">
        <f aca="false">M118*Q118</f>
        <v>2.45332429874117E-007</v>
      </c>
      <c r="X118" s="57" t="n">
        <f aca="false">M118*R118</f>
        <v>3.27356699905697E-007</v>
      </c>
      <c r="Y118" s="57" t="n">
        <f aca="false">M118*S118</f>
        <v>7.14655160086163E-006</v>
      </c>
      <c r="Z118" s="57" t="n">
        <f aca="false">T118*f_stroke_fatal</f>
        <v>4.8230710377651E-007</v>
      </c>
      <c r="AA118" s="57" t="n">
        <f aca="false">T118*(1-f_stroke_fatal)*f_stroke_major</f>
        <v>5.1706374101448E-007</v>
      </c>
      <c r="AB118" s="57" t="n">
        <f aca="false">T118*(1-f_stroke_fatal)*(1-f_stroke_major)</f>
        <v>1.03568022599597E-006</v>
      </c>
      <c r="AC118" s="57" t="n">
        <f aca="false">U118*(1-f_bleed_fatal)</f>
        <v>2.99858737113618E-007</v>
      </c>
      <c r="AD118" s="57" t="n">
        <f aca="false">V118*(1-f_bleed_fatal)</f>
        <v>1.24876178911363E-006</v>
      </c>
      <c r="AE118" s="57" t="n">
        <f aca="false">W118*f_mi_fatal</f>
        <v>2.96852240147682E-008</v>
      </c>
      <c r="AF118" s="57" t="n">
        <f aca="false">W118-AE118</f>
        <v>2.15647205859349E-007</v>
      </c>
      <c r="AG118" s="57" t="n">
        <f aca="false">M118-T118-U118-V118-AE118</f>
        <v>0.000159431123163989</v>
      </c>
      <c r="AH118" s="19" t="n">
        <f aca="false">Z118*c_stroke_fatal+AA118*c_stroke_major+AB118*c_stroke_minor+U118*c_ich+V118*c_major_bleed+AE118*c_mi_fatal+AF118*c_mi_nonfatal+X118*c_tia+Y118*c_minor_bleed</f>
        <v>0.0974169693055704</v>
      </c>
      <c r="AI118" s="57" t="n">
        <f aca="false">dt*(AF118*dec_mi+AD118*dec_major_bleed+Y118*dec_minor_bleed+X118*dec_tia)</f>
        <v>6.71162240580901E-008</v>
      </c>
      <c r="AJ118" s="57" t="n">
        <f aca="false">G118*L118+Z118+U118-AC118+V118-AD118+AE118</f>
        <v>4.50190493348807E-005</v>
      </c>
      <c r="AK118" s="57" t="n">
        <f aca="false">1-EXP(LN(1-E118)*hr_death_prior_stroke*dt)</f>
        <v>0.424846206313917</v>
      </c>
      <c r="AL118" s="57" t="n">
        <f aca="false">H118*(1-AK118)</f>
        <v>1.05724411475792E-005</v>
      </c>
      <c r="AM118" s="57" t="n">
        <f aca="false">(1-EXP(-r_stroke*F118*rr_stroke_prior*rr_asa_stroke*dt))</f>
        <v>0.0437396423763523</v>
      </c>
      <c r="AN118" s="57" t="n">
        <f aca="false">(1-EXP(-r_ich*rr_asa_ich*dt))</f>
        <v>0.00102357767802375</v>
      </c>
      <c r="AO118" s="57" t="n">
        <f aca="false">(1-EXP(-r_mb*rr_asa_mb*dt))</f>
        <v>0.00951809672747972</v>
      </c>
      <c r="AP118" s="57" t="n">
        <f aca="false">(1-EXP(-r_mi*rr_asa_mi*dt))</f>
        <v>0.00213413516393479</v>
      </c>
      <c r="AQ118" s="57" t="n">
        <f aca="false">(1-EXP(-r_tia*rr_asa_tia*dt))</f>
        <v>0.00312764565589152</v>
      </c>
      <c r="AR118" s="57" t="n">
        <f aca="false">(1-EXP(-r_minor*rr_asa_minor*dt))</f>
        <v>0.0278181950466747</v>
      </c>
      <c r="AS118" s="57" t="n">
        <f aca="false">AL118*AM118</f>
        <v>4.62434794840145E-007</v>
      </c>
      <c r="AT118" s="57" t="n">
        <f aca="false">AL118*AN118</f>
        <v>1.08217147608818E-008</v>
      </c>
      <c r="AU118" s="57" t="n">
        <f aca="false">AL118*AO118</f>
        <v>1.00629517488245E-007</v>
      </c>
      <c r="AV118" s="57" t="n">
        <f aca="false">AL118*AP118</f>
        <v>2.25630184216798E-008</v>
      </c>
      <c r="AW118" s="57" t="n">
        <f aca="false">AL118*AQ118</f>
        <v>3.30668496273948E-008</v>
      </c>
      <c r="AX118" s="57" t="n">
        <f aca="false">AL118*AR118</f>
        <v>2.94106229962847E-007</v>
      </c>
      <c r="AY118" s="57" t="n">
        <f aca="false">AS118*f_stroke_fatal_recur</f>
        <v>1.7206736281207E-007</v>
      </c>
      <c r="AZ118" s="57" t="n">
        <f aca="false">AS118*(1-f_stroke_fatal_recur)*f_stroke_major</f>
        <v>9.66923548653491E-008</v>
      </c>
      <c r="BA118" s="57" t="n">
        <f aca="false">AS118*(1-f_stroke_fatal_recur)*(1-f_stroke_major)</f>
        <v>1.93675077162726E-007</v>
      </c>
      <c r="BB118" s="57" t="n">
        <f aca="false">AT118*(1-f_bleed_fatal)</f>
        <v>9.91269072096773E-009</v>
      </c>
      <c r="BC118" s="57" t="n">
        <f aca="false">AU118*(1-f_bleed_fatal)</f>
        <v>9.21766380192327E-008</v>
      </c>
      <c r="BD118" s="57" t="n">
        <f aca="false">AV118*f_mi_fatal</f>
        <v>2.73012522902326E-009</v>
      </c>
      <c r="BE118" s="57" t="n">
        <f aca="false">AV118-BD118</f>
        <v>1.98328931926566E-008</v>
      </c>
      <c r="BF118" s="57" t="n">
        <f aca="false">AL118-AS118-AT118-AU118-BD118</f>
        <v>9.99582499526088E-006</v>
      </c>
      <c r="BG118" s="19" t="n">
        <f aca="false">AY118*c_stroke_fatal+AZ118*c_stroke_major+BA118*c_stroke_minor+AT118*c_ich+AU118*c_major_bleed+BD118*c_mi_fatal+BE118*c_mi_nonfatal+AW118*c_tia+AX118*c_minor_bleed</f>
        <v>0.017368167193646</v>
      </c>
      <c r="BH118" s="57" t="n">
        <f aca="false">dt*(BE118*dec_mi+BC118*dec_major_bleed+AX118*dec_minor_bleed+AW118*dec_tia)</f>
        <v>4.54715721199754E-009</v>
      </c>
      <c r="BI118" s="57" t="n">
        <f aca="false">H118*AK118+AY118+AT118-BB118+AU118-BC118+BD118</f>
        <v>7.99365584681934E-006</v>
      </c>
      <c r="BJ118" s="57" t="n">
        <f aca="false">1-EXP(LN(1-E118)*hr_death_prior_stroke*dt)</f>
        <v>0.424846206313917</v>
      </c>
      <c r="BK118" s="57" t="n">
        <f aca="false">I118*(1-BJ118)</f>
        <v>5.06451864223115E-006</v>
      </c>
      <c r="BL118" s="57" t="n">
        <f aca="false">(1-EXP(-r_stroke*F118*rr_stroke_prior*rr_asa_stroke*dt))</f>
        <v>0.0437396423763523</v>
      </c>
      <c r="BM118" s="57" t="n">
        <f aca="false">(1-EXP(-r_ich*rr_asa_ich*dt))</f>
        <v>0.00102357767802375</v>
      </c>
      <c r="BN118" s="57" t="n">
        <f aca="false">(1-EXP(-r_mb*rr_asa_mb*dt))</f>
        <v>0.00951809672747972</v>
      </c>
      <c r="BO118" s="57" t="n">
        <f aca="false">(1-EXP(-r_mi*rr_asa_mi*dt))</f>
        <v>0.00213413516393479</v>
      </c>
      <c r="BP118" s="57" t="n">
        <f aca="false">(1-EXP(-r_tia*rr_asa_tia*dt))</f>
        <v>0.00312764565589152</v>
      </c>
      <c r="BQ118" s="57" t="n">
        <f aca="false">(1-EXP(-r_minor*rr_asa_minor*dt))</f>
        <v>0.0278181950466747</v>
      </c>
      <c r="BR118" s="57" t="n">
        <f aca="false">BK118*BL118</f>
        <v>2.2152023421956E-007</v>
      </c>
      <c r="BS118" s="57" t="n">
        <f aca="false">BK118*BM118</f>
        <v>5.18392823212294E-009</v>
      </c>
      <c r="BT118" s="57" t="n">
        <f aca="false">BK118*BN118</f>
        <v>4.82045783148804E-008</v>
      </c>
      <c r="BU118" s="57" t="n">
        <f aca="false">BK118*BO118</f>
        <v>1.08083673227888E-008</v>
      </c>
      <c r="BV118" s="57" t="n">
        <f aca="false">BK118*BP118</f>
        <v>1.58400197305559E-008</v>
      </c>
      <c r="BW118" s="57" t="n">
        <f aca="false">BK118*BQ118</f>
        <v>1.40885767407106E-007</v>
      </c>
      <c r="BX118" s="57" t="n">
        <f aca="false">BR118*f_stroke_fatal_recur</f>
        <v>8.2425463950756E-008</v>
      </c>
      <c r="BY118" s="57" t="n">
        <f aca="false">BR118*(1-f_stroke_fatal_recur)*f_stroke_major</f>
        <v>4.63185584995117E-008</v>
      </c>
      <c r="BZ118" s="57" t="n">
        <f aca="false">BR118*(1-f_stroke_fatal_recur)*(1-f_stroke_major)</f>
        <v>9.27762117692922E-008</v>
      </c>
      <c r="CA118" s="57" t="n">
        <f aca="false">BS118*(1-f_bleed_fatal)</f>
        <v>4.74847826062461E-009</v>
      </c>
      <c r="CB118" s="57" t="n">
        <f aca="false">BT118*(1-f_bleed_fatal)</f>
        <v>4.41553937364304E-008</v>
      </c>
      <c r="CC118" s="57" t="n">
        <f aca="false">BU118*f_mi_fatal</f>
        <v>1.30781244605744E-009</v>
      </c>
      <c r="CD118" s="57" t="n">
        <f aca="false">BU118-CC118</f>
        <v>9.50055487673134E-009</v>
      </c>
      <c r="CE118" s="57" t="n">
        <f aca="false">BK118-BR118-BS118-BT118-CC118</f>
        <v>4.78830208901853E-006</v>
      </c>
      <c r="CF118" s="19" t="n">
        <f aca="false">BX118*c_stroke_fatal+BY118*c_stroke_major+BZ118*c_stroke_minor+BS118*c_ich+BT118*c_major_bleed+CC118*c_mi_fatal+CD118*c_mi_nonfatal+BV118*c_tia+BW118*c_minor_bleed</f>
        <v>0.0083198766780318</v>
      </c>
      <c r="CG118" s="57" t="n">
        <f aca="false">dt*(CD118*dec_mi+CB118*dec_major_bleed+BW118*dec_minor_bleed+BV118*dec_tia)</f>
        <v>2.17822564797066E-009</v>
      </c>
      <c r="CH118" s="57" t="n">
        <f aca="false">I118*BJ118+BX118+BS118-CA118+BT118-CB118+CC118</f>
        <v>3.82920259291927E-006</v>
      </c>
      <c r="CI118" s="57" t="n">
        <f aca="false">1-EXP(LN(1-E118)*dt)</f>
        <v>0.213754349469101</v>
      </c>
      <c r="CJ118" s="57" t="n">
        <f aca="false">J118*(1-CI118)</f>
        <v>0.000170473553222342</v>
      </c>
      <c r="CK118" s="57" t="n">
        <f aca="false">(1-EXP(-r_stroke*F118*rr_asa_stroke*dt))</f>
        <v>0.0201243212835766</v>
      </c>
      <c r="CL118" s="57" t="n">
        <f aca="false">(1-EXP(-r_ich*rr_asa_ich*dt))</f>
        <v>0.00102357767802375</v>
      </c>
      <c r="CM118" s="57" t="n">
        <f aca="false">(1-EXP(-r_mb*rr_asa_mb*dt))</f>
        <v>0.00951809672747972</v>
      </c>
      <c r="CN118" s="57" t="n">
        <f aca="false">(1-EXP(-r_mi*rr_asa_mi*dt))</f>
        <v>0.00213413516393479</v>
      </c>
      <c r="CO118" s="57" t="n">
        <f aca="false">(1-EXP(-r_tia*rr_asa_tia*dt))</f>
        <v>0.00312764565589152</v>
      </c>
      <c r="CP118" s="57" t="n">
        <f aca="false">(1-EXP(-r_minor*rr_asa_minor*dt))</f>
        <v>0.0278181950466747</v>
      </c>
      <c r="CQ118" s="57" t="n">
        <f aca="false">CJ118*CK118</f>
        <v>3.4306645553993E-006</v>
      </c>
      <c r="CR118" s="57" t="n">
        <f aca="false">CJ118*CL118</f>
        <v>1.74492923771782E-007</v>
      </c>
      <c r="CS118" s="57" t="n">
        <f aca="false">CJ118*CM118</f>
        <v>1.62258376904741E-006</v>
      </c>
      <c r="CT118" s="57" t="n">
        <f aca="false">CJ118*CN118</f>
        <v>3.6381360445271E-007</v>
      </c>
      <c r="CU118" s="57" t="n">
        <f aca="false">CJ118*CO118</f>
        <v>5.3318086818025E-007</v>
      </c>
      <c r="CV118" s="57" t="n">
        <f aca="false">CJ118*CP118</f>
        <v>4.74226655383879E-006</v>
      </c>
      <c r="CW118" s="57" t="n">
        <f aca="false">CQ118*f_stroke_fatal</f>
        <v>8.13067499629634E-007</v>
      </c>
      <c r="CX118" s="57" t="n">
        <f aca="false">CQ118*(1-f_stroke_fatal)*f_stroke_major</f>
        <v>8.71659819571299E-007</v>
      </c>
      <c r="CY118" s="57" t="n">
        <f aca="false">CQ118*(1-f_stroke_fatal)*(1-f_stroke_major)</f>
        <v>1.74593723619837E-006</v>
      </c>
      <c r="CZ118" s="57" t="n">
        <f aca="false">CR118*(1-f_bleed_fatal)</f>
        <v>1.59835518174953E-007</v>
      </c>
      <c r="DA118" s="57" t="n">
        <f aca="false">CS118*(1-f_bleed_fatal)</f>
        <v>1.48628673244743E-006</v>
      </c>
      <c r="DB118" s="57" t="n">
        <f aca="false">CT118*f_mi_fatal</f>
        <v>4.40214461387779E-008</v>
      </c>
      <c r="DC118" s="57" t="n">
        <f aca="false">CT118-DB118</f>
        <v>3.19792158313932E-007</v>
      </c>
      <c r="DD118" s="57" t="n">
        <f aca="false">CJ118-CQ118-CR118-CS118-DB118</f>
        <v>0.000165201790527985</v>
      </c>
      <c r="DE118" s="19" t="n">
        <f aca="false">CW118*c_stroke_fatal+CX118*c_stroke_major+CY118*c_stroke_minor+CR118*c_ich+CS118*c_major_bleed+DB118*c_mi_fatal+DC118*c_mi_nonfatal+CU118*c_tia+CV118*c_minor_bleed</f>
        <v>0.149710598856565</v>
      </c>
      <c r="DF118" s="57" t="n">
        <f aca="false">dt*(DC118*dec_mi+DA118*dec_major_bleed+CV118*dec_minor_bleed+CU118*dec_tia)</f>
        <v>7.33198734492188E-008</v>
      </c>
      <c r="DG118" s="57" t="n">
        <f aca="false">J118*CI118+CW118+CR118-CZ118+CS118-DA118+DB118</f>
        <v>4.73541992568374E-005</v>
      </c>
      <c r="DH118" s="57" t="n">
        <f aca="false">AG118</f>
        <v>0.000159431123163989</v>
      </c>
      <c r="DI118" s="57" t="n">
        <f aca="false">AB118+AC118+BF118+BA118+BB118+BC118+CY118+CZ118</f>
        <v>1.35329011186467E-005</v>
      </c>
      <c r="DJ118" s="57" t="n">
        <f aca="false">AA118+AZ118+BY118+CX118+CE118+BZ118+CA118+CB118</f>
        <v>6.46171664673552E-006</v>
      </c>
      <c r="DK118" s="57" t="n">
        <f aca="false">AD118+DD118+DA118</f>
        <v>0.000167936839049546</v>
      </c>
      <c r="DL118" s="57" t="n">
        <f aca="false">K118+AJ118+BI118+CH118+DG118</f>
        <v>0.999652637420022</v>
      </c>
      <c r="DM118" s="58" t="n">
        <f aca="false">SUM(DH118:DL118)</f>
        <v>1</v>
      </c>
      <c r="DN118" s="19" t="n">
        <f aca="false">dt*(G118*Warfarin!$H$2+(H118+I118+J118)*c_aspirin)</f>
        <v>0.022318330962444</v>
      </c>
      <c r="DO118" s="19" t="n">
        <f aca="false">dt*(H118*c_lt_minor_stroke+I118*c_lt_major_stroke)</f>
        <v>0.107180530495118</v>
      </c>
      <c r="DP118" s="19" t="n">
        <f aca="false">AH118+BG118+CF118+DE118</f>
        <v>0.272815612033813</v>
      </c>
      <c r="DQ118" s="19" t="n">
        <f aca="false">DN118+DO118+DP118</f>
        <v>0.402314473491375</v>
      </c>
      <c r="DR118" s="57" t="n">
        <f aca="false">dt*(G118*(u_af-dec_per_year_over_70*MAX(B118-ref_age,0))+H118*(u_minor_stroke-dec_per_year_over_70*MAX(B118-ref_age,0))+I118*(u_major_stroke-dec_per_year_over_70*MAX(B118-ref_age,0))+J118*(u_af-dec_per_year_over_70*MAX(B118-ref_age,0)))-AI118-BH118-CG118-DF118</f>
        <v>8.90501426188158E-005</v>
      </c>
      <c r="DS118" s="57" t="n">
        <f aca="false">dt*(G118+H118+I118+J118)</f>
        <v>0.000112889671752593</v>
      </c>
      <c r="DT118" s="19" t="n">
        <f aca="false">DQ118*C118</f>
        <v>0.265165167480972</v>
      </c>
      <c r="DU118" s="19" t="n">
        <f aca="false">DN118*C118</f>
        <v>0.0147099951841009</v>
      </c>
      <c r="DV118" s="19" t="n">
        <f aca="false">DP118*C118</f>
        <v>0.17981256510256</v>
      </c>
      <c r="DW118" s="19" t="n">
        <f aca="false">DO118*C118</f>
        <v>0.0706426071943114</v>
      </c>
      <c r="DX118" s="57" t="n">
        <f aca="false">DR118*C118</f>
        <v>5.86928821546088E-005</v>
      </c>
      <c r="DY118" s="57" t="n">
        <f aca="false">DS118*C118</f>
        <v>7.44054979115489E-005</v>
      </c>
      <c r="DZ118" s="57" t="n">
        <f aca="false">T118+AS118+BR118+CQ118</f>
        <v>6.14967065524596E-006</v>
      </c>
      <c r="EA118" s="57" t="n">
        <f aca="false">U118+AT118+BS118+CR118</f>
        <v>5.17855266670484E-007</v>
      </c>
      <c r="EB118" s="57" t="n">
        <f aca="false">V118+AU118+BT118+CS118</f>
        <v>3.13469492720166E-006</v>
      </c>
      <c r="EC118" s="57" t="n">
        <f aca="false">G118*dt*C118</f>
        <v>3.41992655582556E-005</v>
      </c>
    </row>
    <row r="119" customFormat="false" ht="15" hidden="false" customHeight="false" outlineLevel="0" collapsed="false">
      <c r="A119" s="8" t="n">
        <v>113</v>
      </c>
      <c r="B119" s="54" t="n">
        <f aca="false">start_age+A119*dt</f>
        <v>98.25</v>
      </c>
      <c r="C119" s="16" t="n">
        <f aca="false">(1+disc_rate)^-(A119*dt)</f>
        <v>0.656650541081474</v>
      </c>
      <c r="D119" s="55" t="n">
        <f aca="false">IF(A119*dt&gt;=wane_start,(1-wane_decay)^(A119*dt-wane_start),1)</f>
        <v>1</v>
      </c>
      <c r="E119" s="25" t="n">
        <f aca="false">MIN(p_nonvasc_death*MIN(EXP(gomp_int+gomp_slope*INT(B119)),1)/qx_ref,0.999)</f>
        <v>0.617850739193043</v>
      </c>
      <c r="F119" s="55" t="n">
        <f aca="false">rr_stroke_per_decade^((B119-ref_age)/10)</f>
        <v>3.1438209726539</v>
      </c>
      <c r="G119" s="57" t="n">
        <f aca="false">DH118</f>
        <v>0.000159431123163989</v>
      </c>
      <c r="H119" s="57" t="n">
        <f aca="false">DI118</f>
        <v>1.35329011186467E-005</v>
      </c>
      <c r="I119" s="57" t="n">
        <f aca="false">DJ118</f>
        <v>6.46171664673552E-006</v>
      </c>
      <c r="J119" s="57" t="n">
        <f aca="false">DK118</f>
        <v>0.000167936839049546</v>
      </c>
      <c r="K119" s="57" t="n">
        <f aca="false">DL118</f>
        <v>0.999652637420022</v>
      </c>
      <c r="L119" s="57" t="n">
        <f aca="false">1-EXP(LN(1-E119)*dt)</f>
        <v>0.213754349469101</v>
      </c>
      <c r="M119" s="57" t="n">
        <f aca="false">G119*(1-L119)</f>
        <v>0.000125352027146942</v>
      </c>
      <c r="N119" s="57" t="n">
        <f aca="false">IF(Warfarin!$B$2=1,EXP(LN(or_apx_stroke)*D119)*(1-EXP(-r_stroke*F119*dt))/(1-(1-EXP(-r_stroke*F119*dt))+EXP(LN(or_apx_stroke)*D119)*(1-EXP(-r_stroke*F119*dt))),(1-EXP(-r_stroke*F119*dt)))</f>
        <v>0.0125969579535612</v>
      </c>
      <c r="O119" s="57" t="n">
        <f aca="false">IF(Warfarin!$B$2=1,EXP(LN(or_apx_ich)*D119)*(1-EXP(-r_ich*dt))/(1-(1-EXP(-r_ich*dt))+EXP(LN(or_apx_ich)*D119)*(1-EXP(-r_ich*dt))),(1-EXP(-r_ich*dt)))</f>
        <v>0.0020060281549299</v>
      </c>
      <c r="P119" s="57" t="n">
        <f aca="false">IF(Warfarin!$B$2=1,EXP(LN(or_apx_mb)*D119)*(1-EXP(-r_mb*dt))/(1-(1-EXP(-r_mb*dt))+EXP(LN(or_apx_mb)*D119)*(1-EXP(-r_mb*dt))),(1-EXP(-r_mb*dt)))</f>
        <v>0.00835410477572107</v>
      </c>
      <c r="Q119" s="57" t="n">
        <f aca="false">IF(Warfarin!$B$2=1,EXP(LN(or_apx_mi)*D119)*(1-EXP(-r_mi*dt))/(1-(1-EXP(-r_mi*dt))+EXP(LN(or_apx_mi)*D119)*(1-EXP(-r_mi*dt))),(1-EXP(-r_mi*dt)))</f>
        <v>0.00150338686144691</v>
      </c>
      <c r="R119" s="57" t="n">
        <f aca="false">(1-EXP(-r_tia*dt))</f>
        <v>0.0020060281549299</v>
      </c>
      <c r="S119" s="57" t="n">
        <f aca="false">(1-EXP(-r_minor*dt))</f>
        <v>0.0437937690785545</v>
      </c>
      <c r="T119" s="57" t="n">
        <f aca="false">M119*N119</f>
        <v>1.57905421536369E-006</v>
      </c>
      <c r="U119" s="57" t="n">
        <f aca="false">M119*O119</f>
        <v>2.51459695734302E-007</v>
      </c>
      <c r="V119" s="57" t="n">
        <f aca="false">M119*P119</f>
        <v>1.04720396863459E-006</v>
      </c>
      <c r="W119" s="57" t="n">
        <f aca="false">M119*Q119</f>
        <v>1.88452590668449E-007</v>
      </c>
      <c r="X119" s="57" t="n">
        <f aca="false">M119*R119</f>
        <v>2.51459695734302E-007</v>
      </c>
      <c r="Y119" s="57" t="n">
        <f aca="false">M119*S119</f>
        <v>5.48963773040187E-006</v>
      </c>
      <c r="Z119" s="57" t="n">
        <f aca="false">T119*f_stroke_fatal</f>
        <v>3.74235849041195E-007</v>
      </c>
      <c r="AA119" s="57" t="n">
        <f aca="false">T119*(1-f_stroke_fatal)*f_stroke_major</f>
        <v>4.01204515985391E-007</v>
      </c>
      <c r="AB119" s="57" t="n">
        <f aca="false">T119*(1-f_stroke_fatal)*(1-f_stroke_major)</f>
        <v>8.03613850337105E-007</v>
      </c>
      <c r="AC119" s="57" t="n">
        <f aca="false">U119*(1-f_bleed_fatal)</f>
        <v>2.30337081292621E-007</v>
      </c>
      <c r="AD119" s="57" t="n">
        <f aca="false">V119*(1-f_bleed_fatal)</f>
        <v>9.59238835269281E-007</v>
      </c>
      <c r="AE119" s="57" t="n">
        <f aca="false">W119*f_mi_fatal</f>
        <v>2.28027634708823E-008</v>
      </c>
      <c r="AF119" s="57" t="n">
        <f aca="false">W119-AE119</f>
        <v>1.65649827197567E-007</v>
      </c>
      <c r="AG119" s="57" t="n">
        <f aca="false">M119-T119-U119-V119-AE119</f>
        <v>0.000122451506503739</v>
      </c>
      <c r="AH119" s="19" t="n">
        <f aca="false">Z119*c_stroke_fatal+AA119*c_stroke_major+AB119*c_stroke_minor+U119*c_ich+V119*c_major_bleed+AE119*c_mi_fatal+AF119*c_mi_nonfatal+X119*c_tia+Y119*c_minor_bleed</f>
        <v>0.0754157600989571</v>
      </c>
      <c r="AI119" s="57" t="n">
        <f aca="false">dt*(AF119*dec_mi+AD119*dec_major_bleed+Y119*dec_minor_bleed+X119*dec_tia)</f>
        <v>5.15554601000818E-008</v>
      </c>
      <c r="AJ119" s="57" t="n">
        <f aca="false">G119*L119+Z119+U119-AC119+V119-AD119+AE119</f>
        <v>3.45852223773655E-005</v>
      </c>
      <c r="AK119" s="57" t="n">
        <f aca="false">1-EXP(LN(1-E119)*hr_death_prior_stroke*dt)</f>
        <v>0.424846206313917</v>
      </c>
      <c r="AL119" s="57" t="n">
        <f aca="false">H119*(1-AK119)</f>
        <v>7.7834994179683E-006</v>
      </c>
      <c r="AM119" s="57" t="n">
        <f aca="false">(1-EXP(-r_stroke*F119*rr_stroke_prior*rr_asa_stroke*dt))</f>
        <v>0.0441752792778551</v>
      </c>
      <c r="AN119" s="57" t="n">
        <f aca="false">(1-EXP(-r_ich*rr_asa_ich*dt))</f>
        <v>0.00102357767802375</v>
      </c>
      <c r="AO119" s="57" t="n">
        <f aca="false">(1-EXP(-r_mb*rr_asa_mb*dt))</f>
        <v>0.00951809672747972</v>
      </c>
      <c r="AP119" s="57" t="n">
        <f aca="false">(1-EXP(-r_mi*rr_asa_mi*dt))</f>
        <v>0.00213413516393479</v>
      </c>
      <c r="AQ119" s="57" t="n">
        <f aca="false">(1-EXP(-r_tia*rr_asa_tia*dt))</f>
        <v>0.00312764565589152</v>
      </c>
      <c r="AR119" s="57" t="n">
        <f aca="false">(1-EXP(-r_minor*rr_asa_minor*dt))</f>
        <v>0.0278181950466747</v>
      </c>
      <c r="AS119" s="57" t="n">
        <f aca="false">AL119*AM119</f>
        <v>3.43838260547772E-007</v>
      </c>
      <c r="AT119" s="57" t="n">
        <f aca="false">AL119*AN119</f>
        <v>7.96701626114317E-009</v>
      </c>
      <c r="AU119" s="57" t="n">
        <f aca="false">AL119*AO119</f>
        <v>7.40841003385043E-008</v>
      </c>
      <c r="AV119" s="57" t="n">
        <f aca="false">AL119*AP119</f>
        <v>1.66110398063521E-008</v>
      </c>
      <c r="AW119" s="57" t="n">
        <f aca="false">AL119*AQ119</f>
        <v>2.43440281422427E-008</v>
      </c>
      <c r="AX119" s="57" t="n">
        <f aca="false">AL119*AR119</f>
        <v>2.16522904954721E-007</v>
      </c>
      <c r="AY119" s="57" t="n">
        <f aca="false">AS119*f_stroke_fatal_recur</f>
        <v>1.27938778367221E-007</v>
      </c>
      <c r="AZ119" s="57" t="n">
        <f aca="false">AS119*(1-f_stroke_fatal_recur)*f_stroke_major</f>
        <v>7.18945275661237E-008</v>
      </c>
      <c r="BA119" s="57" t="n">
        <f aca="false">AS119*(1-f_stroke_fatal_recur)*(1-f_stroke_major)</f>
        <v>1.44004954614428E-007</v>
      </c>
      <c r="BB119" s="57" t="n">
        <f aca="false">AT119*(1-f_bleed_fatal)</f>
        <v>7.29778689520714E-009</v>
      </c>
      <c r="BC119" s="57" t="n">
        <f aca="false">AU119*(1-f_bleed_fatal)</f>
        <v>6.786103591007E-008</v>
      </c>
      <c r="BD119" s="57" t="n">
        <f aca="false">AV119*f_mi_fatal</f>
        <v>2.00993581656861E-009</v>
      </c>
      <c r="BE119" s="57" t="n">
        <f aca="false">AV119-BD119</f>
        <v>1.46011039897835E-008</v>
      </c>
      <c r="BF119" s="57" t="n">
        <f aca="false">AL119-AS119-AT119-AU119-BD119</f>
        <v>7.35560010500431E-006</v>
      </c>
      <c r="BG119" s="19" t="n">
        <f aca="false">AY119*c_stroke_fatal+AZ119*c_stroke_major+BA119*c_stroke_minor+AT119*c_ich+AU119*c_major_bleed+BD119*c_mi_fatal+BE119*c_mi_nonfatal+AW119*c_tia+AX119*c_minor_bleed</f>
        <v>0.012903469038483</v>
      </c>
      <c r="BH119" s="57" t="n">
        <f aca="false">dt*(BE119*dec_mi+BC119*dec_major_bleed+AX119*dec_minor_bleed+AW119*dec_tia)</f>
        <v>3.34764649137794E-009</v>
      </c>
      <c r="BI119" s="57" t="n">
        <f aca="false">H119*AK119+AY119+AT119-BB119+AU119-BC119+BD119</f>
        <v>5.88624270865658E-006</v>
      </c>
      <c r="BJ119" s="57" t="n">
        <f aca="false">1-EXP(LN(1-E119)*hr_death_prior_stroke*dt)</f>
        <v>0.424846206313917</v>
      </c>
      <c r="BK119" s="57" t="n">
        <f aca="false">I119*(1-BJ119)</f>
        <v>3.71648084309445E-006</v>
      </c>
      <c r="BL119" s="57" t="n">
        <f aca="false">(1-EXP(-r_stroke*F119*rr_stroke_prior*rr_asa_stroke*dt))</f>
        <v>0.0441752792778551</v>
      </c>
      <c r="BM119" s="57" t="n">
        <f aca="false">(1-EXP(-r_ich*rr_asa_ich*dt))</f>
        <v>0.00102357767802375</v>
      </c>
      <c r="BN119" s="57" t="n">
        <f aca="false">(1-EXP(-r_mb*rr_asa_mb*dt))</f>
        <v>0.00951809672747972</v>
      </c>
      <c r="BO119" s="57" t="n">
        <f aca="false">(1-EXP(-r_mi*rr_asa_mi*dt))</f>
        <v>0.00213413516393479</v>
      </c>
      <c r="BP119" s="57" t="n">
        <f aca="false">(1-EXP(-r_tia*rr_asa_tia*dt))</f>
        <v>0.00312764565589152</v>
      </c>
      <c r="BQ119" s="57" t="n">
        <f aca="false">(1-EXP(-r_minor*rr_asa_minor*dt))</f>
        <v>0.0278181950466747</v>
      </c>
      <c r="BR119" s="57" t="n">
        <f aca="false">BK119*BL119</f>
        <v>1.64176579174496E-007</v>
      </c>
      <c r="BS119" s="57" t="n">
        <f aca="false">BK119*BM119</f>
        <v>3.80410683179435E-009</v>
      </c>
      <c r="BT119" s="57" t="n">
        <f aca="false">BK119*BN119</f>
        <v>3.53738241503983E-008</v>
      </c>
      <c r="BU119" s="57" t="n">
        <f aca="false">BK119*BO119</f>
        <v>7.93147245333788E-009</v>
      </c>
      <c r="BV119" s="57" t="n">
        <f aca="false">BK119*BP119</f>
        <v>1.16238351641084E-008</v>
      </c>
      <c r="BW119" s="57" t="n">
        <f aca="false">BK119*BQ119</f>
        <v>1.03385788980431E-007</v>
      </c>
      <c r="BX119" s="57" t="n">
        <f aca="false">BR119*f_stroke_fatal_recur</f>
        <v>6.10884633450381E-008</v>
      </c>
      <c r="BY119" s="57" t="n">
        <f aca="false">BR119*(1-f_stroke_fatal_recur)*f_stroke_major</f>
        <v>3.43283425712094E-008</v>
      </c>
      <c r="BZ119" s="57" t="n">
        <f aca="false">BR119*(1-f_stroke_fatal_recur)*(1-f_stroke_major)</f>
        <v>6.87597732582483E-008</v>
      </c>
      <c r="CA119" s="57" t="n">
        <f aca="false">BS119*(1-f_bleed_fatal)</f>
        <v>3.48456185792362E-009</v>
      </c>
      <c r="CB119" s="57" t="n">
        <f aca="false">BT119*(1-f_bleed_fatal)</f>
        <v>3.24024229217649E-008</v>
      </c>
      <c r="CC119" s="57" t="n">
        <f aca="false">BU119*f_mi_fatal</f>
        <v>9.59708166853884E-010</v>
      </c>
      <c r="CD119" s="57" t="n">
        <f aca="false">BU119-CC119</f>
        <v>6.971764286484E-009</v>
      </c>
      <c r="CE119" s="57" t="n">
        <f aca="false">BK119-BR119-BS119-BT119-CC119</f>
        <v>3.5121666247709E-006</v>
      </c>
      <c r="CF119" s="19" t="n">
        <f aca="false">BX119*c_stroke_fatal+BY119*c_stroke_major+BZ119*c_stroke_minor+BS119*c_ich+BT119*c_major_bleed+CC119*c_mi_fatal+CD119*c_mi_nonfatal+BV119*c_tia+BW119*c_minor_bleed</f>
        <v>0.00616117416033702</v>
      </c>
      <c r="CG119" s="57" t="n">
        <f aca="false">dt*(CD119*dec_mi+CB119*dec_major_bleed+BW119*dec_minor_bleed+BV119*dec_tia)</f>
        <v>1.59844093081541E-009</v>
      </c>
      <c r="CH119" s="57" t="n">
        <f aca="false">I119*BJ119+BX119+BS119-CA119+BT119-CB119+CC119</f>
        <v>2.81057492135547E-006</v>
      </c>
      <c r="CI119" s="57" t="n">
        <f aca="false">1-EXP(LN(1-E119)*dt)</f>
        <v>0.213754349469101</v>
      </c>
      <c r="CJ119" s="57" t="n">
        <f aca="false">J119*(1-CI119)</f>
        <v>0.000132039609266613</v>
      </c>
      <c r="CK119" s="57" t="n">
        <f aca="false">(1-EXP(-r_stroke*F119*rr_asa_stroke*dt))</f>
        <v>0.0203272533948329</v>
      </c>
      <c r="CL119" s="57" t="n">
        <f aca="false">(1-EXP(-r_ich*rr_asa_ich*dt))</f>
        <v>0.00102357767802375</v>
      </c>
      <c r="CM119" s="57" t="n">
        <f aca="false">(1-EXP(-r_mb*rr_asa_mb*dt))</f>
        <v>0.00951809672747972</v>
      </c>
      <c r="CN119" s="57" t="n">
        <f aca="false">(1-EXP(-r_mi*rr_asa_mi*dt))</f>
        <v>0.00213413516393479</v>
      </c>
      <c r="CO119" s="57" t="n">
        <f aca="false">(1-EXP(-r_tia*rr_asa_tia*dt))</f>
        <v>0.00312764565589152</v>
      </c>
      <c r="CP119" s="57" t="n">
        <f aca="false">(1-EXP(-r_minor*rr_asa_minor*dt))</f>
        <v>0.0278181950466747</v>
      </c>
      <c r="CQ119" s="57" t="n">
        <f aca="false">CJ119*CK119</f>
        <v>2.68400259571717E-006</v>
      </c>
      <c r="CR119" s="57" t="n">
        <f aca="false">CJ119*CL119</f>
        <v>1.35152796660283E-007</v>
      </c>
      <c r="CS119" s="57" t="n">
        <f aca="false">CJ119*CM119</f>
        <v>1.25676577285825E-006</v>
      </c>
      <c r="CT119" s="57" t="n">
        <f aca="false">CJ119*CN119</f>
        <v>2.81790373168089E-007</v>
      </c>
      <c r="CU119" s="57" t="n">
        <f aca="false">CJ119*CO119</f>
        <v>4.12973110328336E-007</v>
      </c>
      <c r="CV119" s="57" t="n">
        <f aca="false">CJ119*CP119</f>
        <v>3.67310360446536E-006</v>
      </c>
      <c r="CW119" s="57" t="n">
        <f aca="false">CQ119*f_stroke_fatal</f>
        <v>6.36108615184969E-007</v>
      </c>
      <c r="CX119" s="57" t="n">
        <f aca="false">CQ119*(1-f_stroke_fatal)*f_stroke_major</f>
        <v>6.81948695517223E-007</v>
      </c>
      <c r="CY119" s="57" t="n">
        <f aca="false">CQ119*(1-f_stroke_fatal)*(1-f_stroke_major)</f>
        <v>1.36594528501498E-006</v>
      </c>
      <c r="CZ119" s="57" t="n">
        <f aca="false">CR119*(1-f_bleed_fatal)</f>
        <v>1.23799961740819E-007</v>
      </c>
      <c r="DA119" s="57" t="n">
        <f aca="false">CS119*(1-f_bleed_fatal)</f>
        <v>1.15119744793816E-006</v>
      </c>
      <c r="DB119" s="57" t="n">
        <f aca="false">CT119*f_mi_fatal</f>
        <v>3.40966351533388E-008</v>
      </c>
      <c r="DC119" s="57" t="n">
        <f aca="false">CT119-DB119</f>
        <v>2.47693738014751E-007</v>
      </c>
      <c r="DD119" s="57" t="n">
        <f aca="false">CJ119-CQ119-CR119-CS119-DB119</f>
        <v>0.000127929591466224</v>
      </c>
      <c r="DE119" s="19" t="n">
        <f aca="false">CW119*c_stroke_fatal+CX119*c_stroke_major+CY119*c_stroke_minor+CR119*c_ich+CS119*c_major_bleed+DB119*c_mi_fatal+DC119*c_mi_nonfatal+CU119*c_tia+CV119*c_minor_bleed</f>
        <v>0.116947760553356</v>
      </c>
      <c r="DF119" s="57" t="n">
        <f aca="false">dt*(DC119*dec_mi+DA119*dec_major_bleed+CV119*dec_minor_bleed+CU119*dec_tia)</f>
        <v>5.67896149210057E-008</v>
      </c>
      <c r="DG119" s="57" t="n">
        <f aca="false">J119*CI119+CW119+CR119-CZ119+CS119-DA119+DB119</f>
        <v>3.66843561931106E-005</v>
      </c>
      <c r="DH119" s="57" t="n">
        <f aca="false">AG119</f>
        <v>0.000122451506503739</v>
      </c>
      <c r="DI119" s="57" t="n">
        <f aca="false">AB119+AC119+BF119+BA119+BB119+BC119+CY119+CZ119</f>
        <v>1.00984600608095E-005</v>
      </c>
      <c r="DJ119" s="57" t="n">
        <f aca="false">AA119+AZ119+BY119+CX119+CE119+BZ119+CA119+CB119</f>
        <v>4.80618946444879E-006</v>
      </c>
      <c r="DK119" s="57" t="n">
        <f aca="false">AD119+DD119+DA119</f>
        <v>0.000130040027749432</v>
      </c>
      <c r="DL119" s="57" t="n">
        <f aca="false">K119+AJ119+BI119+CH119+DG119</f>
        <v>0.999732603816223</v>
      </c>
      <c r="DM119" s="58" t="n">
        <f aca="false">SUM(DH119:DL119)</f>
        <v>1</v>
      </c>
      <c r="DN119" s="19" t="n">
        <f aca="false">dt*(G119*Warfarin!$H$2+(H119+I119+J119)*c_aspirin)</f>
        <v>0.0171487195923113</v>
      </c>
      <c r="DO119" s="19" t="n">
        <f aca="false">dt*(H119*c_lt_minor_stroke+I119*c_lt_major_stroke)</f>
        <v>0.0787702122922875</v>
      </c>
      <c r="DP119" s="19" t="n">
        <f aca="false">AH119+BG119+CF119+DE119</f>
        <v>0.211428163851133</v>
      </c>
      <c r="DQ119" s="19" t="n">
        <f aca="false">DN119+DO119+DP119</f>
        <v>0.307347095735732</v>
      </c>
      <c r="DR119" s="57" t="n">
        <f aca="false">dt*(G119*(u_af-dec_per_year_over_70*MAX(B119-ref_age,0))+H119*(u_minor_stroke-dec_per_year_over_70*MAX(B119-ref_age,0))+I119*(u_major_stroke-dec_per_year_over_70*MAX(B119-ref_age,0))+J119*(u_af-dec_per_year_over_70*MAX(B119-ref_age,0)))-AI119-BH119-CG119-DF119</f>
        <v>6.85419899006004E-005</v>
      </c>
      <c r="DS119" s="57" t="n">
        <f aca="false">dt*(G119+H119+I119+J119)</f>
        <v>8.68406449947292E-005</v>
      </c>
      <c r="DT119" s="19" t="n">
        <f aca="false">DQ119*C119</f>
        <v>0.201819636714688</v>
      </c>
      <c r="DU119" s="19" t="n">
        <f aca="false">DN119*C119</f>
        <v>0.0112607159991457</v>
      </c>
      <c r="DV119" s="19" t="n">
        <f aca="false">DP119*C119</f>
        <v>0.138834418192709</v>
      </c>
      <c r="DW119" s="19" t="n">
        <f aca="false">DO119*C119</f>
        <v>0.0517245025228332</v>
      </c>
      <c r="DX119" s="57" t="n">
        <f aca="false">DR119*C119</f>
        <v>4.50081347550302E-005</v>
      </c>
      <c r="DY119" s="57" t="n">
        <f aca="false">DS119*C119</f>
        <v>5.70239565236531E-005</v>
      </c>
      <c r="DZ119" s="57" t="n">
        <f aca="false">T119+AS119+BR119+CQ119</f>
        <v>4.77107165080313E-006</v>
      </c>
      <c r="EA119" s="57" t="n">
        <f aca="false">U119+AT119+BS119+CR119</f>
        <v>3.98383615487522E-007</v>
      </c>
      <c r="EB119" s="57" t="n">
        <f aca="false">V119+AU119+BT119+CS119</f>
        <v>2.41342766598174E-006</v>
      </c>
      <c r="EC119" s="57" t="n">
        <f aca="false">G119*dt*C119</f>
        <v>2.61726333227151E-005</v>
      </c>
    </row>
    <row r="120" customFormat="false" ht="15" hidden="false" customHeight="false" outlineLevel="0" collapsed="false">
      <c r="A120" s="8" t="n">
        <v>114</v>
      </c>
      <c r="B120" s="54" t="n">
        <f aca="false">start_age+A120*dt</f>
        <v>98.5</v>
      </c>
      <c r="C120" s="16" t="n">
        <f aca="false">(1+disc_rate)^-(A120*dt)</f>
        <v>0.654210930337972</v>
      </c>
      <c r="D120" s="55" t="n">
        <f aca="false">IF(A120*dt&gt;=wane_start,(1-wane_decay)^(A120*dt-wane_start),1)</f>
        <v>1</v>
      </c>
      <c r="E120" s="25" t="n">
        <f aca="false">MIN(p_nonvasc_death*MIN(EXP(gomp_int+gomp_slope*INT(B120)),1)/qx_ref,0.999)</f>
        <v>0.617850739193043</v>
      </c>
      <c r="F120" s="55" t="n">
        <f aca="false">rr_stroke_per_decade^((B120-ref_age)/10)</f>
        <v>3.17585077826709</v>
      </c>
      <c r="G120" s="57" t="n">
        <f aca="false">DH119</f>
        <v>0.000122451506503739</v>
      </c>
      <c r="H120" s="57" t="n">
        <f aca="false">DI119</f>
        <v>1.00984600608095E-005</v>
      </c>
      <c r="I120" s="57" t="n">
        <f aca="false">DJ119</f>
        <v>4.80618946444879E-006</v>
      </c>
      <c r="J120" s="57" t="n">
        <f aca="false">DK119</f>
        <v>0.000130040027749432</v>
      </c>
      <c r="K120" s="57" t="n">
        <f aca="false">DL119</f>
        <v>0.999732603816223</v>
      </c>
      <c r="L120" s="57" t="n">
        <f aca="false">1-EXP(LN(1-E120)*dt)</f>
        <v>0.213754349469101</v>
      </c>
      <c r="M120" s="57" t="n">
        <f aca="false">G120*(1-L120)</f>
        <v>9.62769643895206E-005</v>
      </c>
      <c r="N120" s="57" t="n">
        <f aca="false">IF(Warfarin!$B$2=1,EXP(LN(or_apx_stroke)*D120)*(1-EXP(-r_stroke*F120*dt))/(1-(1-EXP(-r_stroke*F120*dt))+EXP(LN(or_apx_stroke)*D120)*(1-EXP(-r_stroke*F120*dt))),(1-EXP(-r_stroke*F120*dt)))</f>
        <v>0.0127244779972591</v>
      </c>
      <c r="O120" s="57" t="n">
        <f aca="false">IF(Warfarin!$B$2=1,EXP(LN(or_apx_ich)*D120)*(1-EXP(-r_ich*dt))/(1-(1-EXP(-r_ich*dt))+EXP(LN(or_apx_ich)*D120)*(1-EXP(-r_ich*dt))),(1-EXP(-r_ich*dt)))</f>
        <v>0.0020060281549299</v>
      </c>
      <c r="P120" s="57" t="n">
        <f aca="false">IF(Warfarin!$B$2=1,EXP(LN(or_apx_mb)*D120)*(1-EXP(-r_mb*dt))/(1-(1-EXP(-r_mb*dt))+EXP(LN(or_apx_mb)*D120)*(1-EXP(-r_mb*dt))),(1-EXP(-r_mb*dt)))</f>
        <v>0.00835410477572107</v>
      </c>
      <c r="Q120" s="57" t="n">
        <f aca="false">IF(Warfarin!$B$2=1,EXP(LN(or_apx_mi)*D120)*(1-EXP(-r_mi*dt))/(1-(1-EXP(-r_mi*dt))+EXP(LN(or_apx_mi)*D120)*(1-EXP(-r_mi*dt))),(1-EXP(-r_mi*dt)))</f>
        <v>0.00150338686144691</v>
      </c>
      <c r="R120" s="57" t="n">
        <f aca="false">(1-EXP(-r_tia*dt))</f>
        <v>0.0020060281549299</v>
      </c>
      <c r="S120" s="57" t="n">
        <f aca="false">(1-EXP(-r_minor*dt))</f>
        <v>0.0437937690785545</v>
      </c>
      <c r="T120" s="57" t="n">
        <f aca="false">M120*N120</f>
        <v>1.22507411501735E-006</v>
      </c>
      <c r="U120" s="57" t="n">
        <f aca="false">M120*O120</f>
        <v>1.93134301236561E-007</v>
      </c>
      <c r="V120" s="57" t="n">
        <f aca="false">M120*P120</f>
        <v>8.04307847998422E-007</v>
      </c>
      <c r="W120" s="57" t="n">
        <f aca="false">M120*Q120</f>
        <v>1.44741523323197E-007</v>
      </c>
      <c r="X120" s="57" t="n">
        <f aca="false">M120*R120</f>
        <v>1.93134301236561E-007</v>
      </c>
      <c r="Y120" s="57" t="n">
        <f aca="false">M120*S120</f>
        <v>4.21633114605888E-006</v>
      </c>
      <c r="Z120" s="57" t="n">
        <f aca="false">T120*f_stroke_fatal</f>
        <v>2.90342565259112E-007</v>
      </c>
      <c r="AA120" s="57" t="n">
        <f aca="false">T120*(1-f_stroke_fatal)*f_stroke_major</f>
        <v>3.11265606069493E-007</v>
      </c>
      <c r="AB120" s="57" t="n">
        <f aca="false">T120*(1-f_stroke_fatal)*(1-f_stroke_major)</f>
        <v>6.23465943688745E-007</v>
      </c>
      <c r="AC120" s="57" t="n">
        <f aca="false">U120*(1-f_bleed_fatal)</f>
        <v>1.7691101993269E-007</v>
      </c>
      <c r="AD120" s="57" t="n">
        <f aca="false">V120*(1-f_bleed_fatal)</f>
        <v>7.36745988766554E-007</v>
      </c>
      <c r="AE120" s="57" t="n">
        <f aca="false">W120*f_mi_fatal</f>
        <v>1.75137243221069E-008</v>
      </c>
      <c r="AF120" s="57" t="n">
        <f aca="false">W120-AE120</f>
        <v>1.2722779900109E-007</v>
      </c>
      <c r="AG120" s="57" t="n">
        <f aca="false">M120-T120-U120-V120-AE120</f>
        <v>9.40369344009462E-005</v>
      </c>
      <c r="AH120" s="19" t="n">
        <f aca="false">Z120*c_stroke_fatal+AA120*c_stroke_major+AB120*c_stroke_minor+U120*c_ich+V120*c_major_bleed+AE120*c_mi_fatal+AF120*c_mi_nonfatal+X120*c_tia+Y120*c_minor_bleed</f>
        <v>0.0583768940934921</v>
      </c>
      <c r="AI120" s="57" t="n">
        <f aca="false">dt*(AF120*dec_mi+AD120*dec_major_bleed+Y120*dec_minor_bleed+X120*dec_tia)</f>
        <v>3.95973109419476E-008</v>
      </c>
      <c r="AJ120" s="57" t="n">
        <f aca="false">G120*L120+Z120+U120-AC120+V120-AD120+AE120</f>
        <v>2.6566183544335E-005</v>
      </c>
      <c r="AK120" s="57" t="n">
        <f aca="false">1-EXP(LN(1-E120)*hr_death_prior_stroke*dt)</f>
        <v>0.424846206313917</v>
      </c>
      <c r="AL120" s="57" t="n">
        <f aca="false">H120*(1-AK120)</f>
        <v>5.808167614362E-006</v>
      </c>
      <c r="AM120" s="57" t="n">
        <f aca="false">(1-EXP(-r_stroke*F120*rr_stroke_prior*rr_asa_stroke*dt))</f>
        <v>0.044615153022378</v>
      </c>
      <c r="AN120" s="57" t="n">
        <f aca="false">(1-EXP(-r_ich*rr_asa_ich*dt))</f>
        <v>0.00102357767802375</v>
      </c>
      <c r="AO120" s="57" t="n">
        <f aca="false">(1-EXP(-r_mb*rr_asa_mb*dt))</f>
        <v>0.00951809672747972</v>
      </c>
      <c r="AP120" s="57" t="n">
        <f aca="false">(1-EXP(-r_mi*rr_asa_mi*dt))</f>
        <v>0.00213413516393479</v>
      </c>
      <c r="AQ120" s="57" t="n">
        <f aca="false">(1-EXP(-r_tia*rr_asa_tia*dt))</f>
        <v>0.00312764565589152</v>
      </c>
      <c r="AR120" s="57" t="n">
        <f aca="false">(1-EXP(-r_minor*rr_asa_minor*dt))</f>
        <v>0.0278181950466747</v>
      </c>
      <c r="AS120" s="57" t="n">
        <f aca="false">AL120*AM120</f>
        <v>2.5913228689438E-007</v>
      </c>
      <c r="AT120" s="57" t="n">
        <f aca="false">AL120*AN120</f>
        <v>5.94511072028137E-009</v>
      </c>
      <c r="AU120" s="57" t="n">
        <f aca="false">AL120*AO120</f>
        <v>5.52827011629126E-008</v>
      </c>
      <c r="AV120" s="57" t="n">
        <f aca="false">AL120*AP120</f>
        <v>1.23954147438372E-008</v>
      </c>
      <c r="AW120" s="57" t="n">
        <f aca="false">AL120*AQ120</f>
        <v>1.81658902077491E-008</v>
      </c>
      <c r="AX120" s="57" t="n">
        <f aca="false">AL120*AR120</f>
        <v>1.61572739560101E-007</v>
      </c>
      <c r="AY120" s="57" t="n">
        <f aca="false">AS120*f_stroke_fatal_recur</f>
        <v>9.642053263053E-008</v>
      </c>
      <c r="AZ120" s="57" t="n">
        <f aca="false">AS120*(1-f_stroke_fatal_recur)*f_stroke_major</f>
        <v>5.41830141698622E-008</v>
      </c>
      <c r="BA120" s="57" t="n">
        <f aca="false">AS120*(1-f_stroke_fatal_recur)*(1-f_stroke_major)</f>
        <v>1.08528740093988E-007</v>
      </c>
      <c r="BB120" s="57" t="n">
        <f aca="false">AT120*(1-f_bleed_fatal)</f>
        <v>5.44572141977774E-009</v>
      </c>
      <c r="BC120" s="57" t="n">
        <f aca="false">AU120*(1-f_bleed_fatal)</f>
        <v>5.06389542652279E-008</v>
      </c>
      <c r="BD120" s="57" t="n">
        <f aca="false">AV120*f_mi_fatal</f>
        <v>1.4998451840043E-009</v>
      </c>
      <c r="BE120" s="57" t="n">
        <f aca="false">AV120-BD120</f>
        <v>1.08955695598329E-008</v>
      </c>
      <c r="BF120" s="57" t="n">
        <f aca="false">AL120-AS120-AT120-AU120-BD120</f>
        <v>5.48630767040042E-006</v>
      </c>
      <c r="BG120" s="19" t="n">
        <f aca="false">AY120*c_stroke_fatal+AZ120*c_stroke_major+BA120*c_stroke_minor+AT120*c_ich+AU120*c_major_bleed+BD120*c_mi_fatal+BE120*c_mi_nonfatal+AW120*c_tia+AX120*c_minor_bleed</f>
        <v>0.00971685831135689</v>
      </c>
      <c r="BH120" s="57" t="n">
        <f aca="false">dt*(BE120*dec_mi+BC120*dec_major_bleed+AX120*dec_minor_bleed+AW120*dec_tia)</f>
        <v>2.49806557326489E-009</v>
      </c>
      <c r="BI120" s="57" t="n">
        <f aca="false">H120*AK120+AY120+AT120-BB120+AU120-BC120+BD120</f>
        <v>4.39335596046026E-006</v>
      </c>
      <c r="BJ120" s="57" t="n">
        <f aca="false">1-EXP(LN(1-E120)*hr_death_prior_stroke*dt)</f>
        <v>0.424846206313917</v>
      </c>
      <c r="BK120" s="57" t="n">
        <f aca="false">I120*(1-BJ120)</f>
        <v>2.7642981036518E-006</v>
      </c>
      <c r="BL120" s="57" t="n">
        <f aca="false">(1-EXP(-r_stroke*F120*rr_stroke_prior*rr_asa_stroke*dt))</f>
        <v>0.044615153022378</v>
      </c>
      <c r="BM120" s="57" t="n">
        <f aca="false">(1-EXP(-r_ich*rr_asa_ich*dt))</f>
        <v>0.00102357767802375</v>
      </c>
      <c r="BN120" s="57" t="n">
        <f aca="false">(1-EXP(-r_mb*rr_asa_mb*dt))</f>
        <v>0.00951809672747972</v>
      </c>
      <c r="BO120" s="57" t="n">
        <f aca="false">(1-EXP(-r_mi*rr_asa_mi*dt))</f>
        <v>0.00213413516393479</v>
      </c>
      <c r="BP120" s="57" t="n">
        <f aca="false">(1-EXP(-r_tia*rr_asa_tia*dt))</f>
        <v>0.00312764565589152</v>
      </c>
      <c r="BQ120" s="57" t="n">
        <f aca="false">(1-EXP(-r_minor*rr_asa_minor*dt))</f>
        <v>0.0278181950466747</v>
      </c>
      <c r="BR120" s="57" t="n">
        <f aca="false">BK120*BL120</f>
        <v>1.23329582893894E-007</v>
      </c>
      <c r="BS120" s="57" t="n">
        <f aca="false">BK120*BM120</f>
        <v>2.82947383430136E-009</v>
      </c>
      <c r="BT120" s="57" t="n">
        <f aca="false">BK120*BN120</f>
        <v>2.63108567341466E-008</v>
      </c>
      <c r="BU120" s="57" t="n">
        <f aca="false">BK120*BO120</f>
        <v>5.89938578660158E-009</v>
      </c>
      <c r="BV120" s="57" t="n">
        <f aca="false">BK120*BP120</f>
        <v>8.64574495547573E-009</v>
      </c>
      <c r="BW120" s="57" t="n">
        <f aca="false">BK120*BQ120</f>
        <v>7.68977838145389E-008</v>
      </c>
      <c r="BX120" s="57" t="n">
        <f aca="false">BR120*f_stroke_fatal_recur</f>
        <v>4.58897044989892E-008</v>
      </c>
      <c r="BY120" s="57" t="n">
        <f aca="false">BR120*(1-f_stroke_fatal_recur)*f_stroke_major</f>
        <v>2.57874795055035E-008</v>
      </c>
      <c r="BZ120" s="57" t="n">
        <f aca="false">BR120*(1-f_stroke_fatal_recur)*(1-f_stroke_major)</f>
        <v>5.16523988894018E-008</v>
      </c>
      <c r="CA120" s="57" t="n">
        <f aca="false">BS120*(1-f_bleed_fatal)</f>
        <v>2.59179803222004E-009</v>
      </c>
      <c r="CB120" s="57" t="n">
        <f aca="false">BT120*(1-f_bleed_fatal)</f>
        <v>2.41007447684783E-008</v>
      </c>
      <c r="CC120" s="57" t="n">
        <f aca="false">BU120*f_mi_fatal</f>
        <v>7.13825680178791E-010</v>
      </c>
      <c r="CD120" s="57" t="n">
        <f aca="false">BU120-CC120</f>
        <v>5.18556010642279E-009</v>
      </c>
      <c r="CE120" s="57" t="n">
        <f aca="false">BK120-BR120-BS120-BT120-CC120</f>
        <v>2.61111436450928E-006</v>
      </c>
      <c r="CF120" s="19" t="n">
        <f aca="false">BX120*c_stroke_fatal+BY120*c_stroke_major+BZ120*c_stroke_minor+BS120*c_ich+BT120*c_major_bleed+CC120*c_mi_fatal+CD120*c_mi_nonfatal+BV120*c_tia+BW120*c_minor_bleed</f>
        <v>0.00462457263408154</v>
      </c>
      <c r="CG120" s="57" t="n">
        <f aca="false">dt*(CD120*dec_mi+CB120*dec_major_bleed+BW120*dec_minor_bleed+BV120*dec_tia)</f>
        <v>1.18891161300146E-009</v>
      </c>
      <c r="CH120" s="57" t="n">
        <f aca="false">I120*BJ120+BX120+BS120-CA120+BT120-CB120+CC120</f>
        <v>2.0909426787439E-006</v>
      </c>
      <c r="CI120" s="57" t="n">
        <f aca="false">1-EXP(LN(1-E120)*dt)</f>
        <v>0.213754349469101</v>
      </c>
      <c r="CJ120" s="57" t="n">
        <f aca="false">J120*(1-CI120)</f>
        <v>0.000102243406212908</v>
      </c>
      <c r="CK120" s="57" t="n">
        <f aca="false">(1-EXP(-r_stroke*F120*rr_asa_stroke*dt))</f>
        <v>0.0205322103427947</v>
      </c>
      <c r="CL120" s="57" t="n">
        <f aca="false">(1-EXP(-r_ich*rr_asa_ich*dt))</f>
        <v>0.00102357767802375</v>
      </c>
      <c r="CM120" s="57" t="n">
        <f aca="false">(1-EXP(-r_mb*rr_asa_mb*dt))</f>
        <v>0.00951809672747972</v>
      </c>
      <c r="CN120" s="57" t="n">
        <f aca="false">(1-EXP(-r_mi*rr_asa_mi*dt))</f>
        <v>0.00213413516393479</v>
      </c>
      <c r="CO120" s="57" t="n">
        <f aca="false">(1-EXP(-r_tia*rr_asa_tia*dt))</f>
        <v>0.00312764565589152</v>
      </c>
      <c r="CP120" s="57" t="n">
        <f aca="false">(1-EXP(-r_minor*rr_asa_minor*dt))</f>
        <v>0.0278181950466747</v>
      </c>
      <c r="CQ120" s="57" t="n">
        <f aca="false">CJ120*CK120</f>
        <v>2.09928312252723E-006</v>
      </c>
      <c r="CR120" s="57" t="n">
        <f aca="false">CJ120*CL120</f>
        <v>1.04654068324647E-007</v>
      </c>
      <c r="CS120" s="57" t="n">
        <f aca="false">CJ120*CM120</f>
        <v>9.73162630081459E-007</v>
      </c>
      <c r="CT120" s="57" t="n">
        <f aca="false">CJ120*CN120</f>
        <v>2.18201248479436E-007</v>
      </c>
      <c r="CU120" s="57" t="n">
        <f aca="false">CJ120*CO120</f>
        <v>3.19781145285354E-007</v>
      </c>
      <c r="CV120" s="57" t="n">
        <f aca="false">CJ120*CP120</f>
        <v>2.84422701626707E-006</v>
      </c>
      <c r="CW120" s="57" t="n">
        <f aca="false">CQ120*f_stroke_fatal</f>
        <v>4.97530100038954E-007</v>
      </c>
      <c r="CX120" s="57" t="n">
        <f aca="false">CQ120*(1-f_stroke_fatal)*f_stroke_major</f>
        <v>5.33383756488597E-007</v>
      </c>
      <c r="CY120" s="57" t="n">
        <f aca="false">CQ120*(1-f_stroke_fatal)*(1-f_stroke_major)</f>
        <v>1.06836926599968E-006</v>
      </c>
      <c r="CZ120" s="57" t="n">
        <f aca="false">CR120*(1-f_bleed_fatal)</f>
        <v>9.58631265853767E-008</v>
      </c>
      <c r="DA120" s="57" t="n">
        <f aca="false">CS120*(1-f_bleed_fatal)</f>
        <v>8.91416969154617E-007</v>
      </c>
      <c r="DB120" s="57" t="n">
        <f aca="false">CT120*f_mi_fatal</f>
        <v>2.64023510660117E-008</v>
      </c>
      <c r="DC120" s="57" t="n">
        <f aca="false">CT120-DB120</f>
        <v>1.91798897413424E-007</v>
      </c>
      <c r="DD120" s="57" t="n">
        <f aca="false">CJ120-CQ120-CR120-CS120-DB120</f>
        <v>9.90399040409087E-005</v>
      </c>
      <c r="DE120" s="19" t="n">
        <f aca="false">CW120*c_stroke_fatal+CX120*c_stroke_major+CY120*c_stroke_minor+CR120*c_ich+CS120*c_major_bleed+DB120*c_mi_fatal+DC120*c_mi_nonfatal+CU120*c_tia+CV120*c_minor_bleed</f>
        <v>0.0913314565818602</v>
      </c>
      <c r="DF120" s="57" t="n">
        <f aca="false">dt*(DC120*dec_mi+DA120*dec_major_bleed+CV120*dec_minor_bleed+CU120*dec_tia)</f>
        <v>4.39744081286915E-008</v>
      </c>
      <c r="DG120" s="57" t="n">
        <f aca="false">J120*CI120+CW120+CR120-CZ120+CS120-DA120+DB120</f>
        <v>2.84110905902946E-005</v>
      </c>
      <c r="DH120" s="57" t="n">
        <f aca="false">AG120</f>
        <v>9.40369344009462E-005</v>
      </c>
      <c r="DI120" s="57" t="n">
        <f aca="false">AB120+AC120+BF120+BA120+BB120+BC120+CY120+CZ120</f>
        <v>7.6155304423859E-006</v>
      </c>
      <c r="DJ120" s="57" t="n">
        <f aca="false">AA120+AZ120+BY120+CX120+CE120+BZ120+CA120+CB120</f>
        <v>3.61407916243284E-006</v>
      </c>
      <c r="DK120" s="57" t="n">
        <f aca="false">AD120+DD120+DA120</f>
        <v>0.00010066806699883</v>
      </c>
      <c r="DL120" s="57" t="n">
        <f aca="false">K120+AJ120+BI120+CH120+DG120</f>
        <v>0.999794065388997</v>
      </c>
      <c r="DM120" s="58" t="n">
        <f aca="false">SUM(DH120:DL120)</f>
        <v>1</v>
      </c>
      <c r="DN120" s="19" t="n">
        <f aca="false">dt*(G120*Warfarin!$H$2+(H120+I120+J120)*c_aspirin)</f>
        <v>0.0131770098913738</v>
      </c>
      <c r="DO120" s="19" t="n">
        <f aca="false">dt*(H120*c_lt_minor_stroke+I120*c_lt_major_stroke)</f>
        <v>0.0586774203705059</v>
      </c>
      <c r="DP120" s="19" t="n">
        <f aca="false">AH120+BG120+CF120+DE120</f>
        <v>0.164049781620791</v>
      </c>
      <c r="DQ120" s="19" t="n">
        <f aca="false">DN120+DO120+DP120</f>
        <v>0.23590421188267</v>
      </c>
      <c r="DR120" s="57" t="n">
        <f aca="false">dt*(G120*(u_af-dec_per_year_over_70*MAX(B120-ref_age,0))+H120*(u_minor_stroke-dec_per_year_over_70*MAX(B120-ref_age,0))+I120*(u_major_stroke-dec_per_year_over_70*MAX(B120-ref_age,0))+J120*(u_af-dec_per_year_over_70*MAX(B120-ref_age,0)))-AI120-BH120-CG120-DF120</f>
        <v>5.27828655406486E-005</v>
      </c>
      <c r="DS120" s="57" t="n">
        <f aca="false">dt*(G120+H120+I120+J120)</f>
        <v>6.68490459446071E-005</v>
      </c>
      <c r="DT120" s="19" t="n">
        <f aca="false">DQ120*C120</f>
        <v>0.154331113926408</v>
      </c>
      <c r="DU120" s="19" t="n">
        <f aca="false">DN120*C120</f>
        <v>0.00862054390010829</v>
      </c>
      <c r="DV120" s="19" t="n">
        <f aca="false">DP120*C120</f>
        <v>0.107323160255879</v>
      </c>
      <c r="DW120" s="19" t="n">
        <f aca="false">DO120*C120</f>
        <v>0.0383874097704209</v>
      </c>
      <c r="DX120" s="57" t="n">
        <f aca="false">DR120*C120</f>
        <v>3.45311275712518E-005</v>
      </c>
      <c r="DY120" s="57" t="n">
        <f aca="false">DS120*C120</f>
        <v>4.37333765396272E-005</v>
      </c>
      <c r="DZ120" s="57" t="n">
        <f aca="false">T120+AS120+BR120+CQ120</f>
        <v>3.70681910733286E-006</v>
      </c>
      <c r="EA120" s="57" t="n">
        <f aca="false">U120+AT120+BS120+CR120</f>
        <v>3.06562954115791E-007</v>
      </c>
      <c r="EB120" s="57" t="n">
        <f aca="false">V120+AU120+BT120+CS120</f>
        <v>1.85906403597694E-006</v>
      </c>
      <c r="EC120" s="57" t="n">
        <f aca="false">G120*dt*C120</f>
        <v>2.00272784977743E-005</v>
      </c>
    </row>
    <row r="121" customFormat="false" ht="15" hidden="false" customHeight="false" outlineLevel="0" collapsed="false">
      <c r="A121" s="8" t="n">
        <v>115</v>
      </c>
      <c r="B121" s="54" t="n">
        <f aca="false">start_age+A121*dt</f>
        <v>98.75</v>
      </c>
      <c r="C121" s="16" t="n">
        <f aca="false">(1+disc_rate)^-(A121*dt)</f>
        <v>0.651780383320465</v>
      </c>
      <c r="D121" s="55" t="n">
        <f aca="false">IF(A121*dt&gt;=wane_start,(1-wane_decay)^(A121*dt-wane_start),1)</f>
        <v>1</v>
      </c>
      <c r="E121" s="25" t="n">
        <f aca="false">MIN(p_nonvasc_death*MIN(EXP(gomp_int+gomp_slope*INT(B121)),1)/qx_ref,0.999)</f>
        <v>0.617850739193043</v>
      </c>
      <c r="F121" s="55" t="n">
        <f aca="false">rr_stroke_per_decade^((B121-ref_age)/10)</f>
        <v>3.20820690922023</v>
      </c>
      <c r="G121" s="57" t="n">
        <f aca="false">DH120</f>
        <v>9.40369344009462E-005</v>
      </c>
      <c r="H121" s="57" t="n">
        <f aca="false">DI120</f>
        <v>7.6155304423859E-006</v>
      </c>
      <c r="I121" s="57" t="n">
        <f aca="false">DJ120</f>
        <v>3.61407916243284E-006</v>
      </c>
      <c r="J121" s="57" t="n">
        <f aca="false">DK120</f>
        <v>0.00010066806699883</v>
      </c>
      <c r="K121" s="57" t="n">
        <f aca="false">DL120</f>
        <v>0.999794065388997</v>
      </c>
      <c r="L121" s="57" t="n">
        <f aca="false">1-EXP(LN(1-E121)*dt)</f>
        <v>0.213754349469101</v>
      </c>
      <c r="M121" s="57" t="n">
        <f aca="false">G121*(1-L121)</f>
        <v>7.39361306620034E-005</v>
      </c>
      <c r="N121" s="57" t="n">
        <f aca="false">IF(Warfarin!$B$2=1,EXP(LN(or_apx_stroke)*D121)*(1-EXP(-r_stroke*F121*dt))/(1-(1-EXP(-r_stroke*F121*dt))+EXP(LN(or_apx_stroke)*D121)*(1-EXP(-r_stroke*F121*dt))),(1-EXP(-r_stroke*F121*dt)))</f>
        <v>0.0128532805164305</v>
      </c>
      <c r="O121" s="57" t="n">
        <f aca="false">IF(Warfarin!$B$2=1,EXP(LN(or_apx_ich)*D121)*(1-EXP(-r_ich*dt))/(1-(1-EXP(-r_ich*dt))+EXP(LN(or_apx_ich)*D121)*(1-EXP(-r_ich*dt))),(1-EXP(-r_ich*dt)))</f>
        <v>0.0020060281549299</v>
      </c>
      <c r="P121" s="57" t="n">
        <f aca="false">IF(Warfarin!$B$2=1,EXP(LN(or_apx_mb)*D121)*(1-EXP(-r_mb*dt))/(1-(1-EXP(-r_mb*dt))+EXP(LN(or_apx_mb)*D121)*(1-EXP(-r_mb*dt))),(1-EXP(-r_mb*dt)))</f>
        <v>0.00835410477572107</v>
      </c>
      <c r="Q121" s="57" t="n">
        <f aca="false">IF(Warfarin!$B$2=1,EXP(LN(or_apx_mi)*D121)*(1-EXP(-r_mi*dt))/(1-(1-EXP(-r_mi*dt))+EXP(LN(or_apx_mi)*D121)*(1-EXP(-r_mi*dt))),(1-EXP(-r_mi*dt)))</f>
        <v>0.00150338686144691</v>
      </c>
      <c r="R121" s="57" t="n">
        <f aca="false">(1-EXP(-r_tia*dt))</f>
        <v>0.0020060281549299</v>
      </c>
      <c r="S121" s="57" t="n">
        <f aca="false">(1-EXP(-r_minor*dt))</f>
        <v>0.0437937690785545</v>
      </c>
      <c r="T121" s="57" t="n">
        <f aca="false">M121*N121</f>
        <v>9.50321827698191E-007</v>
      </c>
      <c r="U121" s="57" t="n">
        <f aca="false">M121*O121</f>
        <v>1.48317959774554E-007</v>
      </c>
      <c r="V121" s="57" t="n">
        <f aca="false">M121*P121</f>
        <v>6.1767018226178E-007</v>
      </c>
      <c r="W121" s="57" t="n">
        <f aca="false">M121*Q121</f>
        <v>1.11154607423478E-007</v>
      </c>
      <c r="X121" s="57" t="n">
        <f aca="false">M121*R121</f>
        <v>1.48317959774554E-007</v>
      </c>
      <c r="Y121" s="57" t="n">
        <f aca="false">M121*S121</f>
        <v>3.23794183277361E-006</v>
      </c>
      <c r="Z121" s="57" t="n">
        <f aca="false">T121*f_stroke_fatal</f>
        <v>2.25226273164471E-007</v>
      </c>
      <c r="AA121" s="57" t="n">
        <f aca="false">T121*(1-f_stroke_fatal)*f_stroke_major</f>
        <v>2.41456819659729E-007</v>
      </c>
      <c r="AB121" s="57" t="n">
        <f aca="false">T121*(1-f_stroke_fatal)*(1-f_stroke_major)</f>
        <v>4.83638734873991E-007</v>
      </c>
      <c r="AC121" s="57" t="n">
        <f aca="false">U121*(1-f_bleed_fatal)</f>
        <v>1.35859251153492E-007</v>
      </c>
      <c r="AD121" s="57" t="n">
        <f aca="false">V121*(1-f_bleed_fatal)</f>
        <v>5.6578588695179E-007</v>
      </c>
      <c r="AE121" s="57" t="n">
        <f aca="false">W121*f_mi_fatal</f>
        <v>1.34497074982408E-008</v>
      </c>
      <c r="AF121" s="57" t="n">
        <f aca="false">W121-AE121</f>
        <v>9.77048999252371E-008</v>
      </c>
      <c r="AG121" s="57" t="n">
        <f aca="false">M121-T121-U121-V121-AE121</f>
        <v>7.22063709847707E-005</v>
      </c>
      <c r="AH121" s="19" t="n">
        <f aca="false">Z121*c_stroke_fatal+AA121*c_stroke_major+AB121*c_stroke_minor+U121*c_ich+V121*c_major_bleed+AE121*c_mi_fatal+AF121*c_mi_nonfatal+X121*c_tia+Y121*c_minor_bleed</f>
        <v>0.0451825370265809</v>
      </c>
      <c r="AI121" s="57" t="n">
        <f aca="false">dt*(AF121*dec_mi+AD121*dec_major_bleed+Y121*dec_minor_bleed+X121*dec_tia)</f>
        <v>3.04088519432638E-008</v>
      </c>
      <c r="AJ121" s="57" t="n">
        <f aca="false">G121*L121+Z121+U121-AC121+V121-AD121+AE121</f>
        <v>2.04038227235365E-005</v>
      </c>
      <c r="AK121" s="57" t="n">
        <f aca="false">1-EXP(LN(1-E121)*hr_death_prior_stroke*dt)</f>
        <v>0.424846206313917</v>
      </c>
      <c r="AL121" s="57" t="n">
        <f aca="false">H121*(1-AK121)</f>
        <v>4.38010122487011E-006</v>
      </c>
      <c r="AM121" s="57" t="n">
        <f aca="false">(1-EXP(-r_stroke*F121*rr_stroke_prior*rr_asa_stroke*dt))</f>
        <v>0.0450593027434513</v>
      </c>
      <c r="AN121" s="57" t="n">
        <f aca="false">(1-EXP(-r_ich*rr_asa_ich*dt))</f>
        <v>0.00102357767802375</v>
      </c>
      <c r="AO121" s="57" t="n">
        <f aca="false">(1-EXP(-r_mb*rr_asa_mb*dt))</f>
        <v>0.00951809672747972</v>
      </c>
      <c r="AP121" s="57" t="n">
        <f aca="false">(1-EXP(-r_mi*rr_asa_mi*dt))</f>
        <v>0.00213413516393479</v>
      </c>
      <c r="AQ121" s="57" t="n">
        <f aca="false">(1-EXP(-r_tia*rr_asa_tia*dt))</f>
        <v>0.00312764565589152</v>
      </c>
      <c r="AR121" s="57" t="n">
        <f aca="false">(1-EXP(-r_minor*rr_asa_minor*dt))</f>
        <v>0.0278181950466747</v>
      </c>
      <c r="AS121" s="57" t="n">
        <f aca="false">AL121*AM121</f>
        <v>1.97364307138384E-007</v>
      </c>
      <c r="AT121" s="57" t="n">
        <f aca="false">AL121*AN121</f>
        <v>4.48337384126151E-009</v>
      </c>
      <c r="AU121" s="57" t="n">
        <f aca="false">AL121*AO121</f>
        <v>4.16902271344661E-008</v>
      </c>
      <c r="AV121" s="57" t="n">
        <f aca="false">AL121*AP121</f>
        <v>9.34772804558915E-009</v>
      </c>
      <c r="AW121" s="57" t="n">
        <f aca="false">AL121*AQ121</f>
        <v>1.36994045683301E-008</v>
      </c>
      <c r="AX121" s="57" t="n">
        <f aca="false">AL121*AR121</f>
        <v>1.21846510197615E-007</v>
      </c>
      <c r="AY121" s="57" t="n">
        <f aca="false">AS121*f_stroke_fatal_recur</f>
        <v>7.34372850431212E-008</v>
      </c>
      <c r="AZ121" s="57" t="n">
        <f aca="false">AS121*(1-f_stroke_fatal_recur)*f_stroke_major</f>
        <v>4.12676983577225E-008</v>
      </c>
      <c r="BA121" s="57" t="n">
        <f aca="false">AS121*(1-f_stroke_fatal_recur)*(1-f_stroke_major)</f>
        <v>8.26593237375402E-008</v>
      </c>
      <c r="BB121" s="57" t="n">
        <f aca="false">AT121*(1-f_bleed_fatal)</f>
        <v>4.10677043859554E-009</v>
      </c>
      <c r="BC121" s="57" t="n">
        <f aca="false">AU121*(1-f_bleed_fatal)</f>
        <v>3.81882480551709E-008</v>
      </c>
      <c r="BD121" s="57" t="n">
        <f aca="false">AV121*f_mi_fatal</f>
        <v>1.13107509351629E-009</v>
      </c>
      <c r="BE121" s="57" t="n">
        <f aca="false">AV121-BD121</f>
        <v>8.21665295207286E-009</v>
      </c>
      <c r="BF121" s="57" t="n">
        <f aca="false">AL121-AS121-AT121-AU121-BD121</f>
        <v>4.13543224166248E-006</v>
      </c>
      <c r="BG121" s="19" t="n">
        <f aca="false">AY121*c_stroke_fatal+AZ121*c_stroke_major+BA121*c_stroke_minor+AT121*c_ich+AU121*c_major_bleed+BD121*c_mi_fatal+BE121*c_mi_nonfatal+AW121*c_tia+AX121*c_minor_bleed</f>
        <v>0.00739483096883126</v>
      </c>
      <c r="BH121" s="57" t="n">
        <f aca="false">dt*(BE121*dec_mi+BC121*dec_major_bleed+AX121*dec_minor_bleed+AW121*dec_tia)</f>
        <v>1.88386093579796E-009</v>
      </c>
      <c r="BI121" s="57" t="n">
        <f aca="false">H121*AK121+AY121+AT121-BB121+AU121-BC121+BD121</f>
        <v>3.3138761601344E-006</v>
      </c>
      <c r="BJ121" s="57" t="n">
        <f aca="false">1-EXP(LN(1-E121)*hr_death_prior_stroke*dt)</f>
        <v>0.424846206313917</v>
      </c>
      <c r="BK121" s="57" t="n">
        <f aca="false">I121*(1-BJ121)</f>
        <v>2.07865134095507E-006</v>
      </c>
      <c r="BL121" s="57" t="n">
        <f aca="false">(1-EXP(-r_stroke*F121*rr_stroke_prior*rr_asa_stroke*dt))</f>
        <v>0.0450593027434513</v>
      </c>
      <c r="BM121" s="57" t="n">
        <f aca="false">(1-EXP(-r_ich*rr_asa_ich*dt))</f>
        <v>0.00102357767802375</v>
      </c>
      <c r="BN121" s="57" t="n">
        <f aca="false">(1-EXP(-r_mb*rr_asa_mb*dt))</f>
        <v>0.00951809672747972</v>
      </c>
      <c r="BO121" s="57" t="n">
        <f aca="false">(1-EXP(-r_mi*rr_asa_mi*dt))</f>
        <v>0.00213413516393479</v>
      </c>
      <c r="BP121" s="57" t="n">
        <f aca="false">(1-EXP(-r_tia*rr_asa_tia*dt))</f>
        <v>0.00312764565589152</v>
      </c>
      <c r="BQ121" s="57" t="n">
        <f aca="false">(1-EXP(-r_minor*rr_asa_minor*dt))</f>
        <v>0.0278181950466747</v>
      </c>
      <c r="BR121" s="57" t="n">
        <f aca="false">BK121*BL121</f>
        <v>9.36625800701754E-008</v>
      </c>
      <c r="BS121" s="57" t="n">
        <f aca="false">BK121*BM121</f>
        <v>2.12766111299574E-009</v>
      </c>
      <c r="BT121" s="57" t="n">
        <f aca="false">BK121*BN121</f>
        <v>1.97848045259158E-008</v>
      </c>
      <c r="BU121" s="57" t="n">
        <f aca="false">BK121*BO121</f>
        <v>4.43612292029242E-009</v>
      </c>
      <c r="BV121" s="57" t="n">
        <f aca="false">BK121*BP121</f>
        <v>6.5012848366512E-009</v>
      </c>
      <c r="BW121" s="57" t="n">
        <f aca="false">BK121*BQ121</f>
        <v>5.782432843672E-008</v>
      </c>
      <c r="BX121" s="57" t="n">
        <f aca="false">BR121*f_stroke_fatal_recur</f>
        <v>3.48509094183116E-008</v>
      </c>
      <c r="BY121" s="57" t="n">
        <f aca="false">BR121*(1-f_stroke_fatal_recur)*f_stroke_major</f>
        <v>1.95842863270707E-008</v>
      </c>
      <c r="BZ121" s="57" t="n">
        <f aca="false">BR121*(1-f_stroke_fatal_recur)*(1-f_stroke_major)</f>
        <v>3.92273843247932E-008</v>
      </c>
      <c r="CA121" s="57" t="n">
        <f aca="false">BS121*(1-f_bleed_fatal)</f>
        <v>1.94893757950409E-009</v>
      </c>
      <c r="CB121" s="57" t="n">
        <f aca="false">BT121*(1-f_bleed_fatal)</f>
        <v>1.81228809457388E-008</v>
      </c>
      <c r="CC121" s="57" t="n">
        <f aca="false">BU121*f_mi_fatal</f>
        <v>5.36770873355383E-010</v>
      </c>
      <c r="CD121" s="57" t="n">
        <f aca="false">BU121-CC121</f>
        <v>3.89935204693704E-009</v>
      </c>
      <c r="CE121" s="57" t="n">
        <f aca="false">BK121-BR121-BS121-BT121-CC121</f>
        <v>1.96253952437263E-006</v>
      </c>
      <c r="CF121" s="19" t="n">
        <f aca="false">BX121*c_stroke_fatal+BY121*c_stroke_major+BZ121*c_stroke_minor+BS121*c_ich+BT121*c_major_bleed+CC121*c_mi_fatal+CD121*c_mi_nonfatal+BV121*c_tia+BW121*c_minor_bleed</f>
        <v>0.00350934248327857</v>
      </c>
      <c r="CG121" s="57" t="n">
        <f aca="false">dt*(CD121*dec_mi+CB121*dec_major_bleed+BW121*dec_minor_bleed+BV121*dec_tia)</f>
        <v>8.94018165181884E-010</v>
      </c>
      <c r="CH121" s="57" t="n">
        <f aca="false">I121*BJ121+BX121+BS121-CA121+BT121-CB121+CC121</f>
        <v>1.57265614888311E-006</v>
      </c>
      <c r="CI121" s="57" t="n">
        <f aca="false">1-EXP(LN(1-E121)*dt)</f>
        <v>0.213754349469101</v>
      </c>
      <c r="CJ121" s="57" t="n">
        <f aca="false">J121*(1-CI121)</f>
        <v>7.91498298251831E-005</v>
      </c>
      <c r="CK121" s="57" t="n">
        <f aca="false">(1-EXP(-r_stroke*F121*rr_asa_stroke*dt))</f>
        <v>0.0207392118920464</v>
      </c>
      <c r="CL121" s="57" t="n">
        <f aca="false">(1-EXP(-r_ich*rr_asa_ich*dt))</f>
        <v>0.00102357767802375</v>
      </c>
      <c r="CM121" s="57" t="n">
        <f aca="false">(1-EXP(-r_mb*rr_asa_mb*dt))</f>
        <v>0.00951809672747972</v>
      </c>
      <c r="CN121" s="57" t="n">
        <f aca="false">(1-EXP(-r_mi*rr_asa_mi*dt))</f>
        <v>0.00213413516393479</v>
      </c>
      <c r="CO121" s="57" t="n">
        <f aca="false">(1-EXP(-r_tia*rr_asa_tia*dt))</f>
        <v>0.00312764565589152</v>
      </c>
      <c r="CP121" s="57" t="n">
        <f aca="false">(1-EXP(-r_minor*rr_asa_minor*dt))</f>
        <v>0.0278181950466747</v>
      </c>
      <c r="CQ121" s="57" t="n">
        <f aca="false">CJ121*CK121</f>
        <v>1.64150509196389E-006</v>
      </c>
      <c r="CR121" s="57" t="n">
        <f aca="false">CJ121*CL121</f>
        <v>8.10159990284355E-008</v>
      </c>
      <c r="CS121" s="57" t="n">
        <f aca="false">CJ121*CM121</f>
        <v>7.53355736239652E-007</v>
      </c>
      <c r="CT121" s="57" t="n">
        <f aca="false">CJ121*CN121</f>
        <v>1.68916435049378E-007</v>
      </c>
      <c r="CU121" s="57" t="n">
        <f aca="false">CJ121*CO121</f>
        <v>2.47552621417287E-007</v>
      </c>
      <c r="CV121" s="57" t="n">
        <f aca="false">CJ121*CP121</f>
        <v>2.20180540398805E-006</v>
      </c>
      <c r="CW121" s="57" t="n">
        <f aca="false">CQ121*f_stroke_fatal</f>
        <v>3.89036706795441E-007</v>
      </c>
      <c r="CX121" s="57" t="n">
        <f aca="false">CQ121*(1-f_stroke_fatal)*f_stroke_major</f>
        <v>4.17071972261093E-007</v>
      </c>
      <c r="CY121" s="57" t="n">
        <f aca="false">CQ121*(1-f_stroke_fatal)*(1-f_stroke_major)</f>
        <v>8.35396412907354E-007</v>
      </c>
      <c r="CZ121" s="57" t="n">
        <f aca="false">CR121*(1-f_bleed_fatal)</f>
        <v>7.4210655110047E-008</v>
      </c>
      <c r="DA121" s="57" t="n">
        <f aca="false">CS121*(1-f_bleed_fatal)</f>
        <v>6.90073854395521E-007</v>
      </c>
      <c r="DB121" s="57" t="n">
        <f aca="false">CT121*f_mi_fatal</f>
        <v>2.04388886409747E-008</v>
      </c>
      <c r="DC121" s="57" t="n">
        <f aca="false">CT121-DB121</f>
        <v>1.48477546408403E-007</v>
      </c>
      <c r="DD121" s="57" t="n">
        <f aca="false">CJ121-CQ121-CR121-CS121-DB121</f>
        <v>7.66535141093101E-005</v>
      </c>
      <c r="DE121" s="19" t="n">
        <f aca="false">CW121*c_stroke_fatal+CX121*c_stroke_major+CY121*c_stroke_minor+CR121*c_ich+CS121*c_major_bleed+DB121*c_mi_fatal+DC121*c_mi_nonfatal+CU121*c_tia+CV121*c_minor_bleed</f>
        <v>0.0713079021866093</v>
      </c>
      <c r="DF121" s="57" t="n">
        <f aca="false">dt*(DC121*dec_mi+DA121*dec_major_bleed+CV121*dec_minor_bleed+CU121*dec_tia)</f>
        <v>3.40419695408159E-008</v>
      </c>
      <c r="DG121" s="57" t="n">
        <f aca="false">J121*CI121+CW121+CR121-CZ121+CS121-DA121+DB121</f>
        <v>2.19977999948457E-005</v>
      </c>
      <c r="DH121" s="57" t="n">
        <f aca="false">AG121</f>
        <v>7.22063709847707E-005</v>
      </c>
      <c r="DI121" s="57" t="n">
        <f aca="false">AB121+AC121+BF121+BA121+BB121+BC121+CY121+CZ121</f>
        <v>5.78949163793867E-006</v>
      </c>
      <c r="DJ121" s="57" t="n">
        <f aca="false">AA121+AZ121+BY121+CX121+CE121+BZ121+CA121+CB121</f>
        <v>2.74121950382828E-006</v>
      </c>
      <c r="DK121" s="57" t="n">
        <f aca="false">AD121+DD121+DA121</f>
        <v>7.79093738506575E-005</v>
      </c>
      <c r="DL121" s="57" t="n">
        <f aca="false">K121+AJ121+BI121+CH121+DG121</f>
        <v>0.999841353544024</v>
      </c>
      <c r="DM121" s="58" t="n">
        <f aca="false">SUM(DH121:DL121)</f>
        <v>1</v>
      </c>
      <c r="DN121" s="19" t="n">
        <f aca="false">dt*(G121*Warfarin!$H$2+(H121+I121+J121)*c_aspirin)</f>
        <v>0.010125046699556</v>
      </c>
      <c r="DO121" s="19" t="n">
        <f aca="false">dt*(H121*c_lt_minor_stroke+I121*c_lt_major_stroke)</f>
        <v>0.0441823662717099</v>
      </c>
      <c r="DP121" s="19" t="n">
        <f aca="false">AH121+BG121+CF121+DE121</f>
        <v>0.1273946126653</v>
      </c>
      <c r="DQ121" s="19" t="n">
        <f aca="false">DN121+DO121+DP121</f>
        <v>0.181702025636566</v>
      </c>
      <c r="DR121" s="57" t="n">
        <f aca="false">dt*(G121*(u_af-dec_per_year_over_70*MAX(B121-ref_age,0))+H121*(u_minor_stroke-dec_per_year_over_70*MAX(B121-ref_age,0))+I121*(u_major_stroke-dec_per_year_over_70*MAX(B121-ref_age,0))+J121*(u_af-dec_per_year_over_70*MAX(B121-ref_age,0)))-AI121-BH121-CG121-DF121</f>
        <v>4.06597117683605E-005</v>
      </c>
      <c r="DS121" s="57" t="n">
        <f aca="false">dt*(G121+H121+I121+J121)</f>
        <v>5.14836527511487E-005</v>
      </c>
      <c r="DT121" s="19" t="n">
        <f aca="false">DQ121*C121</f>
        <v>0.118429815919506</v>
      </c>
      <c r="DU121" s="19" t="n">
        <f aca="false">DN121*C121</f>
        <v>0.00659930681897424</v>
      </c>
      <c r="DV121" s="19" t="n">
        <f aca="false">DP121*C121</f>
        <v>0.0830333094759514</v>
      </c>
      <c r="DW121" s="19" t="n">
        <f aca="false">DO121*C121</f>
        <v>0.0287971996245803</v>
      </c>
      <c r="DX121" s="57" t="n">
        <f aca="false">DR121*C121</f>
        <v>2.65012025220816E-005</v>
      </c>
      <c r="DY121" s="57" t="n">
        <f aca="false">DS121*C121</f>
        <v>3.35560349248814E-005</v>
      </c>
      <c r="DZ121" s="57" t="n">
        <f aca="false">T121+AS121+BR121+CQ121</f>
        <v>2.88285380687064E-006</v>
      </c>
      <c r="EA121" s="57" t="n">
        <f aca="false">U121+AT121+BS121+CR121</f>
        <v>2.35944993757247E-007</v>
      </c>
      <c r="EB121" s="57" t="n">
        <f aca="false">V121+AU121+BT121+CS121</f>
        <v>1.43250095016181E-006</v>
      </c>
      <c r="EC121" s="57" t="n">
        <f aca="false">G121*dt*C121</f>
        <v>1.53228572875325E-005</v>
      </c>
    </row>
    <row r="122" customFormat="false" ht="15" hidden="false" customHeight="false" outlineLevel="0" collapsed="false">
      <c r="A122" s="8" t="n">
        <v>116</v>
      </c>
      <c r="B122" s="54" t="n">
        <f aca="false">start_age+A122*dt</f>
        <v>99</v>
      </c>
      <c r="C122" s="16" t="n">
        <f aca="false">(1+disc_rate)^-(A122*dt)</f>
        <v>0.649358866355088</v>
      </c>
      <c r="D122" s="55" t="n">
        <f aca="false">IF(A122*dt&gt;=wane_start,(1-wane_decay)^(A122*dt-wane_start),1)</f>
        <v>1</v>
      </c>
      <c r="E122" s="25" t="n">
        <f aca="false">MIN(p_nonvasc_death*MIN(EXP(gomp_int+gomp_slope*INT(B122)),1)/qx_ref,0.999)</f>
        <v>0.68600193880086</v>
      </c>
      <c r="F122" s="55" t="n">
        <f aca="false">rr_stroke_per_decade^((B122-ref_age)/10)</f>
        <v>3.24089269017374</v>
      </c>
      <c r="G122" s="57" t="n">
        <f aca="false">DH121</f>
        <v>7.22063709847707E-005</v>
      </c>
      <c r="H122" s="57" t="n">
        <f aca="false">DI121</f>
        <v>5.78949163793867E-006</v>
      </c>
      <c r="I122" s="57" t="n">
        <f aca="false">DJ121</f>
        <v>2.74121950382828E-006</v>
      </c>
      <c r="J122" s="57" t="n">
        <f aca="false">DK121</f>
        <v>7.79093738506575E-005</v>
      </c>
      <c r="K122" s="57" t="n">
        <f aca="false">DL121</f>
        <v>0.999841353544024</v>
      </c>
      <c r="L122" s="57" t="n">
        <f aca="false">1-EXP(LN(1-E122)*dt)</f>
        <v>0.251431166108985</v>
      </c>
      <c r="M122" s="57" t="n">
        <f aca="false">G122*(1-L122)</f>
        <v>5.40514389275718E-005</v>
      </c>
      <c r="N122" s="57" t="n">
        <f aca="false">IF(Warfarin!$B$2=1,EXP(LN(or_apx_stroke)*D122)*(1-EXP(-r_stroke*F122*dt))/(1-(1-EXP(-r_stroke*F122*dt))+EXP(LN(or_apx_stroke)*D122)*(1-EXP(-r_stroke*F122*dt))),(1-EXP(-r_stroke*F122*dt)))</f>
        <v>0.0129833782369335</v>
      </c>
      <c r="O122" s="57" t="n">
        <f aca="false">IF(Warfarin!$B$2=1,EXP(LN(or_apx_ich)*D122)*(1-EXP(-r_ich*dt))/(1-(1-EXP(-r_ich*dt))+EXP(LN(or_apx_ich)*D122)*(1-EXP(-r_ich*dt))),(1-EXP(-r_ich*dt)))</f>
        <v>0.0020060281549299</v>
      </c>
      <c r="P122" s="57" t="n">
        <f aca="false">IF(Warfarin!$B$2=1,EXP(LN(or_apx_mb)*D122)*(1-EXP(-r_mb*dt))/(1-(1-EXP(-r_mb*dt))+EXP(LN(or_apx_mb)*D122)*(1-EXP(-r_mb*dt))),(1-EXP(-r_mb*dt)))</f>
        <v>0.00835410477572107</v>
      </c>
      <c r="Q122" s="57" t="n">
        <f aca="false">IF(Warfarin!$B$2=1,EXP(LN(or_apx_mi)*D122)*(1-EXP(-r_mi*dt))/(1-(1-EXP(-r_mi*dt))+EXP(LN(or_apx_mi)*D122)*(1-EXP(-r_mi*dt))),(1-EXP(-r_mi*dt)))</f>
        <v>0.00150338686144691</v>
      </c>
      <c r="R122" s="57" t="n">
        <f aca="false">(1-EXP(-r_tia*dt))</f>
        <v>0.0020060281549299</v>
      </c>
      <c r="S122" s="57" t="n">
        <f aca="false">(1-EXP(-r_minor*dt))</f>
        <v>0.0437937690785545</v>
      </c>
      <c r="T122" s="57" t="n">
        <f aca="false">M122*N122</f>
        <v>7.01770275847177E-007</v>
      </c>
      <c r="U122" s="57" t="n">
        <f aca="false">M122*O122</f>
        <v>1.08428708303183E-007</v>
      </c>
      <c r="V122" s="57" t="n">
        <f aca="false">M122*P122</f>
        <v>4.51551384079423E-007</v>
      </c>
      <c r="W122" s="57" t="n">
        <f aca="false">M122*Q122</f>
        <v>8.12602231260114E-008</v>
      </c>
      <c r="X122" s="57" t="n">
        <f aca="false">M122*R122</f>
        <v>1.08428708303183E-007</v>
      </c>
      <c r="Y122" s="57" t="n">
        <f aca="false">M122*S122</f>
        <v>2.36711623475767E-006</v>
      </c>
      <c r="Z122" s="57" t="n">
        <f aca="false">T122*f_stroke_fatal</f>
        <v>1.66319555375781E-007</v>
      </c>
      <c r="AA122" s="57" t="n">
        <f aca="false">T122*(1-f_stroke_fatal)*f_stroke_major</f>
        <v>1.78305089916975E-007</v>
      </c>
      <c r="AB122" s="57" t="n">
        <f aca="false">T122*(1-f_stroke_fatal)*(1-f_stroke_major)</f>
        <v>3.57145630554421E-007</v>
      </c>
      <c r="AC122" s="57" t="n">
        <f aca="false">U122*(1-f_bleed_fatal)</f>
        <v>9.93206968057154E-008</v>
      </c>
      <c r="AD122" s="57" t="n">
        <f aca="false">V122*(1-f_bleed_fatal)</f>
        <v>4.13621067816752E-007</v>
      </c>
      <c r="AE122" s="57" t="n">
        <f aca="false">W122*f_mi_fatal</f>
        <v>9.83248699824738E-009</v>
      </c>
      <c r="AF122" s="57" t="n">
        <f aca="false">W122-AE122</f>
        <v>7.14277361277641E-008</v>
      </c>
      <c r="AG122" s="57" t="n">
        <f aca="false">M122-T122-U122-V122-AE122</f>
        <v>5.27798560723438E-005</v>
      </c>
      <c r="AH122" s="19" t="n">
        <f aca="false">Z122*c_stroke_fatal+AA122*c_stroke_major+AB122*c_stroke_minor+U122*c_ich+V122*c_major_bleed+AE122*c_mi_fatal+AF122*c_mi_nonfatal+X122*c_tia+Y122*c_minor_bleed</f>
        <v>0.0332907714327295</v>
      </c>
      <c r="AI122" s="57" t="n">
        <f aca="false">dt*(AF122*dec_mi+AD122*dec_major_bleed+Y122*dec_minor_bleed+X122*dec_tia)</f>
        <v>2.22305683155473E-008</v>
      </c>
      <c r="AJ122" s="57" t="n">
        <f aca="false">G122*L122+Z122+U122-AC122+V122-AD122+AE122</f>
        <v>1.8378122427333E-005</v>
      </c>
      <c r="AK122" s="57" t="n">
        <f aca="false">1-EXP(LN(1-E122)*hr_death_prior_stroke*dt)</f>
        <v>0.486272273512471</v>
      </c>
      <c r="AL122" s="57" t="n">
        <f aca="false">H122*(1-AK122)</f>
        <v>2.97422237667679E-006</v>
      </c>
      <c r="AM122" s="57" t="n">
        <f aca="false">(1-EXP(-r_stroke*F122*rr_stroke_prior*rr_asa_stroke*dt))</f>
        <v>0.0455077678936023</v>
      </c>
      <c r="AN122" s="57" t="n">
        <f aca="false">(1-EXP(-r_ich*rr_asa_ich*dt))</f>
        <v>0.00102357767802375</v>
      </c>
      <c r="AO122" s="57" t="n">
        <f aca="false">(1-EXP(-r_mb*rr_asa_mb*dt))</f>
        <v>0.00951809672747972</v>
      </c>
      <c r="AP122" s="57" t="n">
        <f aca="false">(1-EXP(-r_mi*rr_asa_mi*dt))</f>
        <v>0.00213413516393479</v>
      </c>
      <c r="AQ122" s="57" t="n">
        <f aca="false">(1-EXP(-r_tia*rr_asa_tia*dt))</f>
        <v>0.00312764565589152</v>
      </c>
      <c r="AR122" s="57" t="n">
        <f aca="false">(1-EXP(-r_minor*rr_asa_minor*dt))</f>
        <v>0.0278181950466747</v>
      </c>
      <c r="AS122" s="57" t="n">
        <f aca="false">AL122*AM122</f>
        <v>1.35350221581766E-007</v>
      </c>
      <c r="AT122" s="57" t="n">
        <f aca="false">AL122*AN122</f>
        <v>3.0443476342451E-009</v>
      </c>
      <c r="AU122" s="57" t="n">
        <f aca="false">AL122*AO122</f>
        <v>2.83089362702443E-008</v>
      </c>
      <c r="AV122" s="57" t="n">
        <f aca="false">AL122*AP122</f>
        <v>6.34739255942766E-009</v>
      </c>
      <c r="AW122" s="57" t="n">
        <f aca="false">AL122*AQ122</f>
        <v>9.30231369606853E-009</v>
      </c>
      <c r="AX122" s="57" t="n">
        <f aca="false">AL122*AR122</f>
        <v>8.27374981865795E-008</v>
      </c>
      <c r="AY122" s="57" t="n">
        <f aca="false">AS122*f_stroke_fatal_recur</f>
        <v>5.03624639483592E-008</v>
      </c>
      <c r="AZ122" s="57" t="n">
        <f aca="false">AS122*(1-f_stroke_fatal_recur)*f_stroke_major</f>
        <v>2.83009232919244E-008</v>
      </c>
      <c r="BA122" s="57" t="n">
        <f aca="false">AS122*(1-f_stroke_fatal_recur)*(1-f_stroke_major)</f>
        <v>5.66868343414822E-008</v>
      </c>
      <c r="BB122" s="57" t="n">
        <f aca="false">AT122*(1-f_bleed_fatal)</f>
        <v>2.78862243296851E-009</v>
      </c>
      <c r="BC122" s="57" t="n">
        <f aca="false">AU122*(1-f_bleed_fatal)</f>
        <v>2.59309856235438E-008</v>
      </c>
      <c r="BD122" s="57" t="n">
        <f aca="false">AV122*f_mi_fatal</f>
        <v>7.68034499690746E-010</v>
      </c>
      <c r="BE122" s="57" t="n">
        <f aca="false">AV122-BD122</f>
        <v>5.57935805973691E-009</v>
      </c>
      <c r="BF122" s="57" t="n">
        <f aca="false">AL122-AS122-AT122-AU122-BD122</f>
        <v>2.80675083669085E-006</v>
      </c>
      <c r="BG122" s="19" t="n">
        <f aca="false">AY122*c_stroke_fatal+AZ122*c_stroke_major+BA122*c_stroke_minor+AT122*c_ich+AU122*c_major_bleed+BD122*c_mi_fatal+BE122*c_mi_nonfatal+AW122*c_tia+AX122*c_minor_bleed</f>
        <v>0.00506730576750209</v>
      </c>
      <c r="BH122" s="57" t="n">
        <f aca="false">dt*(BE122*dec_mi+BC122*dec_major_bleed+AX122*dec_minor_bleed+AW122*dec_tia)</f>
        <v>1.27919905548843E-009</v>
      </c>
      <c r="BI122" s="57" t="n">
        <f aca="false">H122*AK122+AY122+AT122-BB122+AU122-BC122+BD122</f>
        <v>2.8690334355579E-006</v>
      </c>
      <c r="BJ122" s="57" t="n">
        <f aca="false">1-EXP(LN(1-E122)*hr_death_prior_stroke*dt)</f>
        <v>0.486272273512471</v>
      </c>
      <c r="BK122" s="57" t="n">
        <f aca="false">I122*(1-BJ122)</f>
        <v>1.40824046350497E-006</v>
      </c>
      <c r="BL122" s="57" t="n">
        <f aca="false">(1-EXP(-r_stroke*F122*rr_stroke_prior*rr_asa_stroke*dt))</f>
        <v>0.0455077678936023</v>
      </c>
      <c r="BM122" s="57" t="n">
        <f aca="false">(1-EXP(-r_ich*rr_asa_ich*dt))</f>
        <v>0.00102357767802375</v>
      </c>
      <c r="BN122" s="57" t="n">
        <f aca="false">(1-EXP(-r_mb*rr_asa_mb*dt))</f>
        <v>0.00951809672747972</v>
      </c>
      <c r="BO122" s="57" t="n">
        <f aca="false">(1-EXP(-r_mi*rr_asa_mi*dt))</f>
        <v>0.00213413516393479</v>
      </c>
      <c r="BP122" s="57" t="n">
        <f aca="false">(1-EXP(-r_tia*rr_asa_tia*dt))</f>
        <v>0.00312764565589152</v>
      </c>
      <c r="BQ122" s="57" t="n">
        <f aca="false">(1-EXP(-r_minor*rr_asa_minor*dt))</f>
        <v>0.0278181950466747</v>
      </c>
      <c r="BR122" s="57" t="n">
        <f aca="false">BK122*BL122</f>
        <v>6.40858801515633E-008</v>
      </c>
      <c r="BS122" s="57" t="n">
        <f aca="false">BK122*BM122</f>
        <v>1.4414435037335E-009</v>
      </c>
      <c r="BT122" s="57" t="n">
        <f aca="false">BK122*BN122</f>
        <v>1.34037689471912E-008</v>
      </c>
      <c r="BU122" s="57" t="n">
        <f aca="false">BK122*BO122</f>
        <v>3.00537549244179E-009</v>
      </c>
      <c r="BV122" s="57" t="n">
        <f aca="false">BK122*BP122</f>
        <v>4.40447716813199E-009</v>
      </c>
      <c r="BW122" s="57" t="n">
        <f aca="false">BK122*BQ122</f>
        <v>3.9174707886401E-008</v>
      </c>
      <c r="BX122" s="57" t="n">
        <f aca="false">BR122*f_stroke_fatal_recur</f>
        <v>2.38457151455952E-008</v>
      </c>
      <c r="BY122" s="57" t="n">
        <f aca="false">BR122*(1-f_stroke_fatal_recur)*f_stroke_major</f>
        <v>1.33999749469874E-008</v>
      </c>
      <c r="BZ122" s="57" t="n">
        <f aca="false">BR122*(1-f_stroke_fatal_recur)*(1-f_stroke_major)</f>
        <v>2.68401900589807E-008</v>
      </c>
      <c r="CA122" s="57" t="n">
        <f aca="false">BS122*(1-f_bleed_fatal)</f>
        <v>1.32036224941989E-009</v>
      </c>
      <c r="CB122" s="57" t="n">
        <f aca="false">BT122*(1-f_bleed_fatal)</f>
        <v>1.22778523556272E-008</v>
      </c>
      <c r="CC122" s="57" t="n">
        <f aca="false">BU122*f_mi_fatal</f>
        <v>3.63650434585457E-010</v>
      </c>
      <c r="CD122" s="57" t="n">
        <f aca="false">BU122-CC122</f>
        <v>2.64172505785634E-009</v>
      </c>
      <c r="CE122" s="57" t="n">
        <f aca="false">BK122-BR122-BS122-BT122-CC122</f>
        <v>1.3289457204679E-006</v>
      </c>
      <c r="CF122" s="19" t="n">
        <f aca="false">BX122*c_stroke_fatal+BY122*c_stroke_major+BZ122*c_stroke_minor+BS122*c_ich+BT122*c_major_bleed+CC122*c_mi_fatal+CD122*c_mi_nonfatal+BV122*c_tia+BW122*c_minor_bleed</f>
        <v>0.00239927756535873</v>
      </c>
      <c r="CG122" s="57" t="n">
        <f aca="false">dt*(CD122*dec_mi+CB122*dec_major_bleed+BW122*dec_minor_bleed+BV122*dec_tia)</f>
        <v>6.05677599947637E-010</v>
      </c>
      <c r="CH122" s="57" t="n">
        <f aca="false">I122*BJ122+BX122+BS122-CA122+BT122-CB122+CC122</f>
        <v>1.35843540374936E-006</v>
      </c>
      <c r="CI122" s="57" t="n">
        <f aca="false">1-EXP(LN(1-E122)*dt)</f>
        <v>0.251431166108985</v>
      </c>
      <c r="CJ122" s="57" t="n">
        <f aca="false">J122*(1-CI122)</f>
        <v>5.83205291325658E-005</v>
      </c>
      <c r="CK122" s="57" t="n">
        <f aca="false">(1-EXP(-r_stroke*F122*rr_asa_stroke*dt))</f>
        <v>0.0209482779911053</v>
      </c>
      <c r="CL122" s="57" t="n">
        <f aca="false">(1-EXP(-r_ich*rr_asa_ich*dt))</f>
        <v>0.00102357767802375</v>
      </c>
      <c r="CM122" s="57" t="n">
        <f aca="false">(1-EXP(-r_mb*rr_asa_mb*dt))</f>
        <v>0.00951809672747972</v>
      </c>
      <c r="CN122" s="57" t="n">
        <f aca="false">(1-EXP(-r_mi*rr_asa_mi*dt))</f>
        <v>0.00213413516393479</v>
      </c>
      <c r="CO122" s="57" t="n">
        <f aca="false">(1-EXP(-r_tia*rr_asa_tia*dt))</f>
        <v>0.00312764565589152</v>
      </c>
      <c r="CP122" s="57" t="n">
        <f aca="false">(1-EXP(-r_minor*rr_asa_minor*dt))</f>
        <v>0.0278181950466747</v>
      </c>
      <c r="CQ122" s="57" t="n">
        <f aca="false">CJ122*CK122</f>
        <v>1.22171465685734E-006</v>
      </c>
      <c r="CR122" s="57" t="n">
        <f aca="false">CJ122*CL122</f>
        <v>5.96955917906279E-008</v>
      </c>
      <c r="CS122" s="57" t="n">
        <f aca="false">CJ122*CM122</f>
        <v>5.5510043748156E-007</v>
      </c>
      <c r="CT122" s="57" t="n">
        <f aca="false">CJ122*CN122</f>
        <v>1.24463892001092E-007</v>
      </c>
      <c r="CU122" s="57" t="n">
        <f aca="false">CJ122*CO122</f>
        <v>1.82405949590764E-007</v>
      </c>
      <c r="CV122" s="57" t="n">
        <f aca="false">CJ122*CP122</f>
        <v>1.62237185463499E-006</v>
      </c>
      <c r="CW122" s="57" t="n">
        <f aca="false">CQ122*f_stroke_fatal</f>
        <v>2.89546373675191E-007</v>
      </c>
      <c r="CX122" s="57" t="n">
        <f aca="false">CQ122*(1-f_stroke_fatal)*f_stroke_major</f>
        <v>3.10412038299657E-007</v>
      </c>
      <c r="CY122" s="57" t="n">
        <f aca="false">CQ122*(1-f_stroke_fatal)*(1-f_stroke_major)</f>
        <v>6.21756244882497E-007</v>
      </c>
      <c r="CZ122" s="57" t="n">
        <f aca="false">CR122*(1-f_bleed_fatal)</f>
        <v>5.46811620802152E-008</v>
      </c>
      <c r="DA122" s="57" t="n">
        <f aca="false">CS122*(1-f_bleed_fatal)</f>
        <v>5.08472000733109E-007</v>
      </c>
      <c r="DB122" s="57" t="n">
        <f aca="false">CT122*f_mi_fatal</f>
        <v>1.50601309321321E-008</v>
      </c>
      <c r="DC122" s="57" t="n">
        <f aca="false">CT122-DB122</f>
        <v>1.0940376106896E-007</v>
      </c>
      <c r="DD122" s="57" t="n">
        <f aca="false">CJ122-CQ122-CR122-CS122-DB122</f>
        <v>5.64689583155041E-005</v>
      </c>
      <c r="DE122" s="19" t="n">
        <f aca="false">CW122*c_stroke_fatal+CX122*c_stroke_major+CY122*c_stroke_minor+CR122*c_ich+CS122*c_major_bleed+DB122*c_mi_fatal+DC122*c_mi_nonfatal+CU122*c_tia+CV122*c_minor_bleed</f>
        <v>0.0529928028604479</v>
      </c>
      <c r="DF122" s="57" t="n">
        <f aca="false">dt*(DC122*dec_mi+DA122*dec_major_bleed+CV122*dec_minor_bleed+CU122*dec_tia)</f>
        <v>2.50833852797924E-008</v>
      </c>
      <c r="DG122" s="57" t="n">
        <f aca="false">J122*CI122+CW122+CR122-CZ122+CS122-DA122+DB122</f>
        <v>1.99450940891579E-005</v>
      </c>
      <c r="DH122" s="57" t="n">
        <f aca="false">AG122</f>
        <v>5.27798560723438E-005</v>
      </c>
      <c r="DI122" s="57" t="n">
        <f aca="false">AB122+AC122+BF122+BA122+BB122+BC122+CY122+CZ122</f>
        <v>4.02506101341169E-006</v>
      </c>
      <c r="DJ122" s="57" t="n">
        <f aca="false">AA122+AZ122+BY122+CX122+CE122+BZ122+CA122+CB122</f>
        <v>1.89980215158747E-006</v>
      </c>
      <c r="DK122" s="57" t="n">
        <f aca="false">AD122+DD122+DA122</f>
        <v>5.7391051384054E-005</v>
      </c>
      <c r="DL122" s="57" t="n">
        <f aca="false">K122+AJ122+BI122+CH122+DG122</f>
        <v>0.99988390422938</v>
      </c>
      <c r="DM122" s="58" t="n">
        <f aca="false">SUM(DH122:DL122)</f>
        <v>1</v>
      </c>
      <c r="DN122" s="19" t="n">
        <f aca="false">dt*(G122*Warfarin!$H$2+(H122+I122+J122)*c_aspirin)</f>
        <v>0.00777959763263933</v>
      </c>
      <c r="DO122" s="19" t="n">
        <f aca="false">dt*(H122*c_lt_minor_stroke+I122*c_lt_major_stroke)</f>
        <v>0.0335473817797569</v>
      </c>
      <c r="DP122" s="19" t="n">
        <f aca="false">AH122+BG122+CF122+DE122</f>
        <v>0.0937501576260382</v>
      </c>
      <c r="DQ122" s="19" t="n">
        <f aca="false">DN122+DO122+DP122</f>
        <v>0.135077137038434</v>
      </c>
      <c r="DR122" s="57" t="n">
        <f aca="false">dt*(G122*(u_af-dec_per_year_over_70*MAX(B122-ref_age,0))+H122*(u_minor_stroke-dec_per_year_over_70*MAX(B122-ref_age,0))+I122*(u_major_stroke-dec_per_year_over_70*MAX(B122-ref_age,0))+J122*(u_af-dec_per_year_over_70*MAX(B122-ref_age,0)))-AI122-BH122-CG122-DF122</f>
        <v>3.13291474090882E-005</v>
      </c>
      <c r="DS122" s="57" t="n">
        <f aca="false">dt*(G122+H122+I122+J122)</f>
        <v>3.96616139942988E-005</v>
      </c>
      <c r="DT122" s="19" t="n">
        <f aca="false">DQ122*C122</f>
        <v>0.0877135365777686</v>
      </c>
      <c r="DU122" s="19" t="n">
        <f aca="false">DN122*C122</f>
        <v>0.0050517506994294</v>
      </c>
      <c r="DV122" s="19" t="n">
        <f aca="false">DP122*C122</f>
        <v>0.0608774960766549</v>
      </c>
      <c r="DW122" s="19" t="n">
        <f aca="false">DO122*C122</f>
        <v>0.0217842898016843</v>
      </c>
      <c r="DX122" s="57" t="n">
        <f aca="false">DR122*C122</f>
        <v>2.03438596454369E-005</v>
      </c>
      <c r="DY122" s="57" t="n">
        <f aca="false">DS122*C122</f>
        <v>2.57546207011509E-005</v>
      </c>
      <c r="DZ122" s="57" t="n">
        <f aca="false">T122+AS122+BR122+CQ122</f>
        <v>2.12292103443785E-006</v>
      </c>
      <c r="EA122" s="57" t="n">
        <f aca="false">U122+AT122+BS122+CR122</f>
        <v>1.72610091231789E-007</v>
      </c>
      <c r="EB122" s="57" t="n">
        <f aca="false">V122+AU122+BT122+CS122</f>
        <v>1.04836452677842E-006</v>
      </c>
      <c r="EC122" s="57" t="n">
        <f aca="false">G122*dt*C122</f>
        <v>1.17219618015714E-005</v>
      </c>
    </row>
    <row r="123" customFormat="false" ht="15" hidden="false" customHeight="false" outlineLevel="0" collapsed="false">
      <c r="A123" s="8" t="n">
        <v>117</v>
      </c>
      <c r="B123" s="54" t="n">
        <f aca="false">start_age+A123*dt</f>
        <v>99.25</v>
      </c>
      <c r="C123" s="16" t="n">
        <f aca="false">(1+disc_rate)^-(A123*dt)</f>
        <v>0.646946345893078</v>
      </c>
      <c r="D123" s="55" t="n">
        <f aca="false">IF(A123*dt&gt;=wane_start,(1-wane_decay)^(A123*dt-wane_start),1)</f>
        <v>1</v>
      </c>
      <c r="E123" s="25" t="n">
        <f aca="false">MIN(p_nonvasc_death*MIN(EXP(gomp_int+gomp_slope*INT(B123)),1)/qx_ref,0.999)</f>
        <v>0.68600193880086</v>
      </c>
      <c r="F123" s="55" t="n">
        <f aca="false">rr_stroke_per_decade^((B123-ref_age)/10)</f>
        <v>3.27391147966029</v>
      </c>
      <c r="G123" s="57" t="n">
        <f aca="false">DH122</f>
        <v>5.27798560723438E-005</v>
      </c>
      <c r="H123" s="57" t="n">
        <f aca="false">DI122</f>
        <v>4.02506101341169E-006</v>
      </c>
      <c r="I123" s="57" t="n">
        <f aca="false">DJ122</f>
        <v>1.89980215158747E-006</v>
      </c>
      <c r="J123" s="57" t="n">
        <f aca="false">DK122</f>
        <v>5.7391051384054E-005</v>
      </c>
      <c r="K123" s="57" t="n">
        <f aca="false">DL122</f>
        <v>0.99988390422938</v>
      </c>
      <c r="L123" s="57" t="n">
        <f aca="false">1-EXP(LN(1-E123)*dt)</f>
        <v>0.251431166108985</v>
      </c>
      <c r="M123" s="57" t="n">
        <f aca="false">G123*(1-L123)</f>
        <v>3.950935531301E-005</v>
      </c>
      <c r="N123" s="57" t="n">
        <f aca="false">IF(Warfarin!$B$2=1,EXP(LN(or_apx_stroke)*D123)*(1-EXP(-r_stroke*F123*dt))/(1-(1-EXP(-r_stroke*F123*dt))+EXP(LN(or_apx_stroke)*D123)*(1-EXP(-r_stroke*F123*dt))),(1-EXP(-r_stroke*F123*dt)))</f>
        <v>0.0131147840073801</v>
      </c>
      <c r="O123" s="57" t="n">
        <f aca="false">IF(Warfarin!$B$2=1,EXP(LN(or_apx_ich)*D123)*(1-EXP(-r_ich*dt))/(1-(1-EXP(-r_ich*dt))+EXP(LN(or_apx_ich)*D123)*(1-EXP(-r_ich*dt))),(1-EXP(-r_ich*dt)))</f>
        <v>0.0020060281549299</v>
      </c>
      <c r="P123" s="57" t="n">
        <f aca="false">IF(Warfarin!$B$2=1,EXP(LN(or_apx_mb)*D123)*(1-EXP(-r_mb*dt))/(1-(1-EXP(-r_mb*dt))+EXP(LN(or_apx_mb)*D123)*(1-EXP(-r_mb*dt))),(1-EXP(-r_mb*dt)))</f>
        <v>0.00835410477572107</v>
      </c>
      <c r="Q123" s="57" t="n">
        <f aca="false">IF(Warfarin!$B$2=1,EXP(LN(or_apx_mi)*D123)*(1-EXP(-r_mi*dt))/(1-(1-EXP(-r_mi*dt))+EXP(LN(or_apx_mi)*D123)*(1-EXP(-r_mi*dt))),(1-EXP(-r_mi*dt)))</f>
        <v>0.00150338686144691</v>
      </c>
      <c r="R123" s="57" t="n">
        <f aca="false">(1-EXP(-r_tia*dt))</f>
        <v>0.0020060281549299</v>
      </c>
      <c r="S123" s="57" t="n">
        <f aca="false">(1-EXP(-r_minor*dt))</f>
        <v>0.0437937690785545</v>
      </c>
      <c r="T123" s="57" t="n">
        <f aca="false">M123*N123</f>
        <v>5.18156661200961E-007</v>
      </c>
      <c r="U123" s="57" t="n">
        <f aca="false">M123*O123</f>
        <v>7.92568791410271E-008</v>
      </c>
      <c r="V123" s="57" t="n">
        <f aca="false">M123*P123</f>
        <v>3.30065293906077E-007</v>
      </c>
      <c r="W123" s="57" t="n">
        <f aca="false">M123*Q123</f>
        <v>5.93978456818168E-008</v>
      </c>
      <c r="X123" s="57" t="n">
        <f aca="false">M123*R123</f>
        <v>7.92568791410271E-008</v>
      </c>
      <c r="Y123" s="57" t="n">
        <f aca="false">M123*S123</f>
        <v>1.73026358302052E-006</v>
      </c>
      <c r="Z123" s="57" t="n">
        <f aca="false">T123*f_stroke_fatal</f>
        <v>1.22803128704628E-007</v>
      </c>
      <c r="AA123" s="57" t="n">
        <f aca="false">T123*(1-f_stroke_fatal)*f_stroke_major</f>
        <v>1.31652726321279E-007</v>
      </c>
      <c r="AB123" s="57" t="n">
        <f aca="false">T123*(1-f_stroke_fatal)*(1-f_stroke_major)</f>
        <v>2.63700806175054E-007</v>
      </c>
      <c r="AC123" s="57" t="n">
        <f aca="false">U123*(1-f_bleed_fatal)</f>
        <v>7.25993012931808E-008</v>
      </c>
      <c r="AD123" s="57" t="n">
        <f aca="false">V123*(1-f_bleed_fatal)</f>
        <v>3.02339809217967E-007</v>
      </c>
      <c r="AE123" s="57" t="n">
        <f aca="false">W123*f_mi_fatal</f>
        <v>7.18713932749984E-009</v>
      </c>
      <c r="AF123" s="57" t="n">
        <f aca="false">W123-AE123</f>
        <v>5.2210706354317E-008</v>
      </c>
      <c r="AG123" s="57" t="n">
        <f aca="false">M123-T123-U123-V123-AE123</f>
        <v>3.85746893394344E-005</v>
      </c>
      <c r="AH123" s="19" t="n">
        <f aca="false">Z123*c_stroke_fatal+AA123*c_stroke_major+AB123*c_stroke_minor+U123*c_ich+V123*c_major_bleed+AE123*c_mi_fatal+AF123*c_mi_nonfatal+X123*c_tia+Y123*c_minor_bleed</f>
        <v>0.0245259933822743</v>
      </c>
      <c r="AI123" s="57" t="n">
        <f aca="false">dt*(AF123*dec_mi+AD123*dec_major_bleed+Y123*dec_minor_bleed+X123*dec_tia)</f>
        <v>1.62496214682838E-008</v>
      </c>
      <c r="AJ123" s="57" t="n">
        <f aca="false">G123*L123+Z123+U123-AC123+V123-AD123+AE123</f>
        <v>1.34348740899019E-005</v>
      </c>
      <c r="AK123" s="57" t="n">
        <f aca="false">1-EXP(LN(1-E123)*hr_death_prior_stroke*dt)</f>
        <v>0.486272273512471</v>
      </c>
      <c r="AL123" s="57" t="n">
        <f aca="false">H123*(1-AK123)</f>
        <v>2.06778544339358E-006</v>
      </c>
      <c r="AM123" s="57" t="n">
        <f aca="false">(1-EXP(-r_stroke*F123*rr_stroke_prior*rr_asa_stroke*dt))</f>
        <v>0.0459605882460595</v>
      </c>
      <c r="AN123" s="57" t="n">
        <f aca="false">(1-EXP(-r_ich*rr_asa_ich*dt))</f>
        <v>0.00102357767802375</v>
      </c>
      <c r="AO123" s="57" t="n">
        <f aca="false">(1-EXP(-r_mb*rr_asa_mb*dt))</f>
        <v>0.00951809672747972</v>
      </c>
      <c r="AP123" s="57" t="n">
        <f aca="false">(1-EXP(-r_mi*rr_asa_mi*dt))</f>
        <v>0.00213413516393479</v>
      </c>
      <c r="AQ123" s="57" t="n">
        <f aca="false">(1-EXP(-r_tia*rr_asa_tia*dt))</f>
        <v>0.00312764565589152</v>
      </c>
      <c r="AR123" s="57" t="n">
        <f aca="false">(1-EXP(-r_minor*rr_asa_minor*dt))</f>
        <v>0.0278181950466747</v>
      </c>
      <c r="AS123" s="57" t="n">
        <f aca="false">AL123*AM123</f>
        <v>9.50366353450079E-008</v>
      </c>
      <c r="AT123" s="57" t="n">
        <f aca="false">AL123*AN123</f>
        <v>2.1165390228001E-009</v>
      </c>
      <c r="AU123" s="57" t="n">
        <f aca="false">AL123*AO123</f>
        <v>1.96813818618946E-008</v>
      </c>
      <c r="AV123" s="57" t="n">
        <f aca="false">AL123*AP123</f>
        <v>4.41293362621873E-009</v>
      </c>
      <c r="AW123" s="57" t="n">
        <f aca="false">AL123*AQ123</f>
        <v>6.46730015934565E-009</v>
      </c>
      <c r="AX123" s="57" t="n">
        <f aca="false">AL123*AR123</f>
        <v>5.75220587789973E-008</v>
      </c>
      <c r="AY123" s="57" t="n">
        <f aca="false">AS123*f_stroke_fatal_recur</f>
        <v>3.5362181645524E-008</v>
      </c>
      <c r="AZ123" s="57" t="n">
        <f aca="false">AS123*(1-f_stroke_fatal_recur)*f_stroke_major</f>
        <v>1.98715930819281E-008</v>
      </c>
      <c r="BA123" s="57" t="n">
        <f aca="false">AS123*(1-f_stroke_fatal_recur)*(1-f_stroke_major)</f>
        <v>3.98028606175558E-008</v>
      </c>
      <c r="BB123" s="57" t="n">
        <f aca="false">AT123*(1-f_bleed_fatal)</f>
        <v>1.93874974488489E-009</v>
      </c>
      <c r="BC123" s="57" t="n">
        <f aca="false">AU123*(1-f_bleed_fatal)</f>
        <v>1.80281457854955E-008</v>
      </c>
      <c r="BD123" s="57" t="n">
        <f aca="false">AV123*f_mi_fatal</f>
        <v>5.33964968772466E-010</v>
      </c>
      <c r="BE123" s="57" t="n">
        <f aca="false">AV123-BD123</f>
        <v>3.87896865744626E-009</v>
      </c>
      <c r="BF123" s="57" t="n">
        <f aca="false">AL123-AS123-AT123-AU123-BD123</f>
        <v>1.9504169221951E-006</v>
      </c>
      <c r="BG123" s="19" t="n">
        <f aca="false">AY123*c_stroke_fatal+AZ123*c_stroke_major+BA123*c_stroke_minor+AT123*c_ich+AU123*c_major_bleed+BD123*c_mi_fatal+BE123*c_mi_nonfatal+AW123*c_tia+AX123*c_minor_bleed</f>
        <v>0.00355525598048251</v>
      </c>
      <c r="BH123" s="57" t="n">
        <f aca="false">dt*(BE123*dec_mi+BC123*dec_major_bleed+AX123*dec_minor_bleed+AW123*dec_tia)</f>
        <v>8.89344793746483E-010</v>
      </c>
      <c r="BI123" s="57" t="n">
        <f aca="false">H123*AK123+AY123+AT123-BB123+AU123-BC123+BD123</f>
        <v>1.99500274198672E-006</v>
      </c>
      <c r="BJ123" s="57" t="n">
        <f aca="false">1-EXP(LN(1-E123)*hr_death_prior_stroke*dt)</f>
        <v>0.486272273512471</v>
      </c>
      <c r="BK123" s="57" t="n">
        <f aca="false">I123*(1-BJ123)</f>
        <v>9.75981040111148E-007</v>
      </c>
      <c r="BL123" s="57" t="n">
        <f aca="false">(1-EXP(-r_stroke*F123*rr_stroke_prior*rr_asa_stroke*dt))</f>
        <v>0.0459605882460595</v>
      </c>
      <c r="BM123" s="57" t="n">
        <f aca="false">(1-EXP(-r_ich*rr_asa_ich*dt))</f>
        <v>0.00102357767802375</v>
      </c>
      <c r="BN123" s="57" t="n">
        <f aca="false">(1-EXP(-r_mb*rr_asa_mb*dt))</f>
        <v>0.00951809672747972</v>
      </c>
      <c r="BO123" s="57" t="n">
        <f aca="false">(1-EXP(-r_mi*rr_asa_mi*dt))</f>
        <v>0.00213413516393479</v>
      </c>
      <c r="BP123" s="57" t="n">
        <f aca="false">(1-EXP(-r_tia*rr_asa_tia*dt))</f>
        <v>0.00312764565589152</v>
      </c>
      <c r="BQ123" s="57" t="n">
        <f aca="false">(1-EXP(-r_minor*rr_asa_minor*dt))</f>
        <v>0.0278181950466747</v>
      </c>
      <c r="BR123" s="57" t="n">
        <f aca="false">BK123*BL123</f>
        <v>4.48566627205094E-008</v>
      </c>
      <c r="BS123" s="57" t="n">
        <f aca="false">BK123*BM123</f>
        <v>9.9899240683217E-010</v>
      </c>
      <c r="BT123" s="57" t="n">
        <f aca="false">BK123*BN123</f>
        <v>9.28948194396417E-009</v>
      </c>
      <c r="BU123" s="57" t="n">
        <f aca="false">BK123*BO123</f>
        <v>2.08287545703485E-009</v>
      </c>
      <c r="BV123" s="57" t="n">
        <f aca="false">BK123*BP123</f>
        <v>3.05252286033612E-009</v>
      </c>
      <c r="BW123" s="57" t="n">
        <f aca="false">BK123*BQ123</f>
        <v>2.71500309356684E-008</v>
      </c>
      <c r="BX123" s="57" t="n">
        <f aca="false">BR123*f_stroke_fatal_recur</f>
        <v>1.66907156316743E-008</v>
      </c>
      <c r="BY123" s="57" t="n">
        <f aca="false">BR123*(1-f_stroke_fatal_recur)*f_stroke_major</f>
        <v>9.37926038058208E-009</v>
      </c>
      <c r="BZ123" s="57" t="n">
        <f aca="false">BR123*(1-f_stroke_fatal_recur)*(1-f_stroke_major)</f>
        <v>1.8786686708253E-008</v>
      </c>
      <c r="CA123" s="57" t="n">
        <f aca="false">BS123*(1-f_bleed_fatal)</f>
        <v>9.15077044658268E-010</v>
      </c>
      <c r="CB123" s="57" t="n">
        <f aca="false">BT123*(1-f_bleed_fatal)</f>
        <v>8.50916546067118E-009</v>
      </c>
      <c r="CC123" s="57" t="n">
        <f aca="false">BU123*f_mi_fatal</f>
        <v>2.52027930301217E-010</v>
      </c>
      <c r="CD123" s="57" t="n">
        <f aca="false">BU123-CC123</f>
        <v>1.83084752673364E-009</v>
      </c>
      <c r="CE123" s="57" t="n">
        <f aca="false">BK123-BR123-BS123-BT123-CC123</f>
        <v>9.20583875109542E-007</v>
      </c>
      <c r="CF123" s="19" t="n">
        <f aca="false">BX123*c_stroke_fatal+BY123*c_stroke_major+BZ123*c_stroke_minor+BS123*c_ich+BT123*c_major_bleed+CC123*c_mi_fatal+CD123*c_mi_nonfatal+BV123*c_tia+BW123*c_minor_bleed</f>
        <v>0.00167805728625214</v>
      </c>
      <c r="CG123" s="57" t="n">
        <f aca="false">dt*(CD123*dec_mi+CB123*dec_major_bleed+BW123*dec_minor_bleed+BV123*dec_tia)</f>
        <v>4.19764855000441E-010</v>
      </c>
      <c r="CH123" s="57" t="n">
        <f aca="false">I123*BJ123+BX123+BS123-CA123+BT123-CB123+CC123</f>
        <v>9.41628086883766E-007</v>
      </c>
      <c r="CI123" s="57" t="n">
        <f aca="false">1-EXP(LN(1-E123)*dt)</f>
        <v>0.251431166108985</v>
      </c>
      <c r="CJ123" s="57" t="n">
        <f aca="false">J123*(1-CI123)</f>
        <v>4.29611524103406E-005</v>
      </c>
      <c r="CK123" s="57" t="n">
        <f aca="false">(1-EXP(-r_stroke*F123*rr_asa_stroke*dt))</f>
        <v>0.0211594287739471</v>
      </c>
      <c r="CL123" s="57" t="n">
        <f aca="false">(1-EXP(-r_ich*rr_asa_ich*dt))</f>
        <v>0.00102357767802375</v>
      </c>
      <c r="CM123" s="57" t="n">
        <f aca="false">(1-EXP(-r_mb*rr_asa_mb*dt))</f>
        <v>0.00951809672747972</v>
      </c>
      <c r="CN123" s="57" t="n">
        <f aca="false">(1-EXP(-r_mi*rr_asa_mi*dt))</f>
        <v>0.00213413516393479</v>
      </c>
      <c r="CO123" s="57" t="n">
        <f aca="false">(1-EXP(-r_tia*rr_asa_tia*dt))</f>
        <v>0.00312764565589152</v>
      </c>
      <c r="CP123" s="57" t="n">
        <f aca="false">(1-EXP(-r_minor*rr_asa_minor*dt))</f>
        <v>0.0278181950466747</v>
      </c>
      <c r="CQ123" s="57" t="n">
        <f aca="false">CJ123*CK123</f>
        <v>9.09033444473286E-007</v>
      </c>
      <c r="CR123" s="57" t="n">
        <f aca="false">CJ123*CL123</f>
        <v>4.39740766294007E-008</v>
      </c>
      <c r="CS123" s="57" t="n">
        <f aca="false">CJ123*CM123</f>
        <v>4.0890840416562E-007</v>
      </c>
      <c r="CT123" s="57" t="n">
        <f aca="false">CJ123*CN123</f>
        <v>9.16849060420698E-008</v>
      </c>
      <c r="CU123" s="57" t="n">
        <f aca="false">CJ123*CO123</f>
        <v>1.34367261708295E-007</v>
      </c>
      <c r="CV123" s="57" t="n">
        <f aca="false">CJ123*CP123</f>
        <v>1.19510171718077E-006</v>
      </c>
      <c r="CW123" s="57" t="n">
        <f aca="false">CQ123*f_stroke_fatal</f>
        <v>2.15440926340169E-007</v>
      </c>
      <c r="CX123" s="57" t="n">
        <f aca="false">CQ123*(1-f_stroke_fatal)*f_stroke_major</f>
        <v>2.30966308538328E-007</v>
      </c>
      <c r="CY123" s="57" t="n">
        <f aca="false">CQ123*(1-f_stroke_fatal)*(1-f_stroke_major)</f>
        <v>4.62626209594789E-007</v>
      </c>
      <c r="CZ123" s="57" t="n">
        <f aca="false">CR123*(1-f_bleed_fatal)</f>
        <v>4.02802541925311E-008</v>
      </c>
      <c r="DA123" s="57" t="n">
        <f aca="false">CS123*(1-f_bleed_fatal)</f>
        <v>3.74560098215708E-007</v>
      </c>
      <c r="DB123" s="57" t="n">
        <f aca="false">CT123*f_mi_fatal</f>
        <v>1.10938736310905E-008</v>
      </c>
      <c r="DC123" s="57" t="n">
        <f aca="false">CT123-DB123</f>
        <v>8.05910324109794E-008</v>
      </c>
      <c r="DD123" s="57" t="n">
        <f aca="false">CJ123-CQ123-CR123-CS123-DB123</f>
        <v>4.15881426114412E-005</v>
      </c>
      <c r="DE123" s="19" t="n">
        <f aca="false">CW123*c_stroke_fatal+CX123*c_stroke_major+CY123*c_stroke_minor+CR123*c_ich+CS123*c_major_bleed+DB123*c_mi_fatal+DC123*c_mi_nonfatal+CU123*c_tia+CV123*c_minor_bleed</f>
        <v>0.0393717059759221</v>
      </c>
      <c r="DF123" s="57" t="n">
        <f aca="false">dt*(DC123*dec_mi+DA123*dec_major_bleed+CV123*dec_minor_bleed+CU123*dec_tia)</f>
        <v>1.84773895916305E-008</v>
      </c>
      <c r="DG123" s="57" t="n">
        <f aca="false">J123*CI123+CW123+CR123-CZ123+CS123-DA123+DB123</f>
        <v>1.46944759020714E-005</v>
      </c>
      <c r="DH123" s="57" t="n">
        <f aca="false">AG123</f>
        <v>3.85746893394344E-005</v>
      </c>
      <c r="DI123" s="57" t="n">
        <f aca="false">AB123+AC123+BF123+BA123+BB123+BC123+CY123+CZ123</f>
        <v>2.8493932495986E-006</v>
      </c>
      <c r="DJ123" s="57" t="n">
        <f aca="false">AA123+AZ123+BY123+CX123+CE123+BZ123+CA123+CB123</f>
        <v>1.34066469264524E-006</v>
      </c>
      <c r="DK123" s="57" t="n">
        <f aca="false">AD123+DD123+DA123</f>
        <v>4.22650425188749E-005</v>
      </c>
      <c r="DL123" s="57" t="n">
        <f aca="false">K123+AJ123+BI123+CH123+DG123</f>
        <v>0.999914970210201</v>
      </c>
      <c r="DM123" s="58" t="n">
        <f aca="false">SUM(DH123:DL123)</f>
        <v>1</v>
      </c>
      <c r="DN123" s="19" t="n">
        <f aca="false">dt*(G123*Warfarin!$H$2+(H123+I123+J123)*c_aspirin)</f>
        <v>0.0056878489437041</v>
      </c>
      <c r="DO123" s="19" t="n">
        <f aca="false">dt*(H123*c_lt_minor_stroke+I123*c_lt_major_stroke)</f>
        <v>0.023284220425862</v>
      </c>
      <c r="DP123" s="19" t="n">
        <f aca="false">AH123+BG123+CF123+DE123</f>
        <v>0.069131012624931</v>
      </c>
      <c r="DQ123" s="19" t="n">
        <f aca="false">DN123+DO123+DP123</f>
        <v>0.0981030819944972</v>
      </c>
      <c r="DR123" s="57" t="n">
        <f aca="false">dt*(G123*(u_af-dec_per_year_over_70*MAX(B123-ref_age,0))+H123*(u_minor_stroke-dec_per_year_over_70*MAX(B123-ref_age,0))+I123*(u_major_stroke-dec_per_year_over_70*MAX(B123-ref_age,0))+J123*(u_af-dec_per_year_over_70*MAX(B123-ref_age,0)))-AI123-BH123-CG123-DF123</f>
        <v>2.29400445345571E-005</v>
      </c>
      <c r="DS123" s="57" t="n">
        <f aca="false">dt*(G123+H123+I123+J123)</f>
        <v>2.90239426553492E-005</v>
      </c>
      <c r="DT123" s="19" t="n">
        <f aca="false">DQ123*C123</f>
        <v>0.063467430417189</v>
      </c>
      <c r="DU123" s="19" t="n">
        <f aca="false">DN123*C123</f>
        <v>0.00367973309012117</v>
      </c>
      <c r="DV123" s="19" t="n">
        <f aca="false">DP123*C123</f>
        <v>0.0447240560055874</v>
      </c>
      <c r="DW123" s="19" t="n">
        <f aca="false">DO123*C123</f>
        <v>0.0150636413214804</v>
      </c>
      <c r="DX123" s="57" t="n">
        <f aca="false">DR123*C123</f>
        <v>1.48409779862562E-005</v>
      </c>
      <c r="DY123" s="57" t="n">
        <f aca="false">DS123*C123</f>
        <v>1.87769336442884E-005</v>
      </c>
      <c r="DZ123" s="57" t="n">
        <f aca="false">T123+AS123+BR123+CQ123</f>
        <v>1.56708340373976E-006</v>
      </c>
      <c r="EA123" s="57" t="n">
        <f aca="false">U123+AT123+BS123+CR123</f>
        <v>1.2634648720006E-007</v>
      </c>
      <c r="EB123" s="57" t="n">
        <f aca="false">V123+AU123+BT123+CS123</f>
        <v>7.67944561877557E-007</v>
      </c>
      <c r="EC123" s="57" t="n">
        <f aca="false">G123*dt*C123</f>
        <v>8.53643375569135E-006</v>
      </c>
    </row>
    <row r="124" customFormat="false" ht="15" hidden="false" customHeight="false" outlineLevel="0" collapsed="false">
      <c r="A124" s="8" t="n">
        <v>118</v>
      </c>
      <c r="B124" s="54" t="n">
        <f aca="false">start_age+A124*dt</f>
        <v>99.5</v>
      </c>
      <c r="C124" s="16" t="n">
        <f aca="false">(1+disc_rate)^-(A124*dt)</f>
        <v>0.644542788510317</v>
      </c>
      <c r="D124" s="55" t="n">
        <f aca="false">IF(A124*dt&gt;=wane_start,(1-wane_decay)^(A124*dt-wane_start),1)</f>
        <v>1</v>
      </c>
      <c r="E124" s="25" t="n">
        <f aca="false">MIN(p_nonvasc_death*MIN(EXP(gomp_int+gomp_slope*INT(B124)),1)/qx_ref,0.999)</f>
        <v>0.68600193880086</v>
      </c>
      <c r="F124" s="55" t="n">
        <f aca="false">rr_stroke_per_decade^((B124-ref_age)/10)</f>
        <v>3.30726667042988</v>
      </c>
      <c r="G124" s="57" t="n">
        <f aca="false">DH123</f>
        <v>3.85746893394344E-005</v>
      </c>
      <c r="H124" s="57" t="n">
        <f aca="false">DI123</f>
        <v>2.8493932495986E-006</v>
      </c>
      <c r="I124" s="57" t="n">
        <f aca="false">DJ123</f>
        <v>1.34066469264524E-006</v>
      </c>
      <c r="J124" s="57" t="n">
        <f aca="false">DK123</f>
        <v>4.22650425188749E-005</v>
      </c>
      <c r="K124" s="57" t="n">
        <f aca="false">DL123</f>
        <v>0.999914970210201</v>
      </c>
      <c r="L124" s="57" t="n">
        <f aca="false">1-EXP(LN(1-E124)*dt)</f>
        <v>0.251431166108985</v>
      </c>
      <c r="M124" s="57" t="n">
        <f aca="false">G124*(1-L124)</f>
        <v>2.88758102165286E-005</v>
      </c>
      <c r="N124" s="57" t="n">
        <f aca="false">IF(Warfarin!$B$2=1,EXP(LN(or_apx_stroke)*D124)*(1-EXP(-r_stroke*F124*dt))/(1-(1-EXP(-r_stroke*F124*dt))+EXP(LN(or_apx_stroke)*D124)*(1-EXP(-r_stroke*F124*dt))),(1-EXP(-r_stroke*F124*dt)))</f>
        <v>0.0132475108002472</v>
      </c>
      <c r="O124" s="57" t="n">
        <f aca="false">IF(Warfarin!$B$2=1,EXP(LN(or_apx_ich)*D124)*(1-EXP(-r_ich*dt))/(1-(1-EXP(-r_ich*dt))+EXP(LN(or_apx_ich)*D124)*(1-EXP(-r_ich*dt))),(1-EXP(-r_ich*dt)))</f>
        <v>0.0020060281549299</v>
      </c>
      <c r="P124" s="57" t="n">
        <f aca="false">IF(Warfarin!$B$2=1,EXP(LN(or_apx_mb)*D124)*(1-EXP(-r_mb*dt))/(1-(1-EXP(-r_mb*dt))+EXP(LN(or_apx_mb)*D124)*(1-EXP(-r_mb*dt))),(1-EXP(-r_mb*dt)))</f>
        <v>0.00835410477572107</v>
      </c>
      <c r="Q124" s="57" t="n">
        <f aca="false">IF(Warfarin!$B$2=1,EXP(LN(or_apx_mi)*D124)*(1-EXP(-r_mi*dt))/(1-(1-EXP(-r_mi*dt))+EXP(LN(or_apx_mi)*D124)*(1-EXP(-r_mi*dt))),(1-EXP(-r_mi*dt)))</f>
        <v>0.00150338686144691</v>
      </c>
      <c r="R124" s="57" t="n">
        <f aca="false">(1-EXP(-r_tia*dt))</f>
        <v>0.0020060281549299</v>
      </c>
      <c r="S124" s="57" t="n">
        <f aca="false">(1-EXP(-r_minor*dt))</f>
        <v>0.0437937690785545</v>
      </c>
      <c r="T124" s="57" t="n">
        <f aca="false">M124*N124</f>
        <v>3.82532607709351E-007</v>
      </c>
      <c r="U124" s="57" t="n">
        <f aca="false">M124*O124</f>
        <v>5.79256882907687E-008</v>
      </c>
      <c r="V124" s="57" t="n">
        <f aca="false">M124*P124</f>
        <v>2.41231544032717E-007</v>
      </c>
      <c r="W124" s="57" t="n">
        <f aca="false">M124*Q124</f>
        <v>4.34115136931635E-008</v>
      </c>
      <c r="X124" s="57" t="n">
        <f aca="false">M124*R124</f>
        <v>5.79256882907687E-008</v>
      </c>
      <c r="Y124" s="57" t="n">
        <f aca="false">M124*S124</f>
        <v>1.26458056457882E-006</v>
      </c>
      <c r="Z124" s="57" t="n">
        <f aca="false">T124*f_stroke_fatal</f>
        <v>9.06602280271163E-008</v>
      </c>
      <c r="AA124" s="57" t="n">
        <f aca="false">T124*(1-f_stroke_fatal)*f_stroke_major</f>
        <v>9.71935024341843E-008</v>
      </c>
      <c r="AB124" s="57" t="n">
        <f aca="false">T124*(1-f_stroke_fatal)*(1-f_stroke_major)</f>
        <v>1.94678877248051E-007</v>
      </c>
      <c r="AC124" s="57" t="n">
        <f aca="false">U124*(1-f_bleed_fatal)</f>
        <v>5.30599304743441E-008</v>
      </c>
      <c r="AD124" s="57" t="n">
        <f aca="false">V124*(1-f_bleed_fatal)</f>
        <v>2.20968094333969E-007</v>
      </c>
      <c r="AE124" s="57" t="n">
        <f aca="false">W124*f_mi_fatal</f>
        <v>5.25279315687278E-009</v>
      </c>
      <c r="AF124" s="57" t="n">
        <f aca="false">W124-AE124</f>
        <v>3.81587205362907E-008</v>
      </c>
      <c r="AG124" s="57" t="n">
        <f aca="false">M124-T124-U124-V124-AE124</f>
        <v>2.81888675833389E-005</v>
      </c>
      <c r="AH124" s="19" t="n">
        <f aca="false">Z124*c_stroke_fatal+AA124*c_stroke_major+AB124*c_stroke_minor+U124*c_ich+V124*c_major_bleed+AE124*c_mi_fatal+AF124*c_mi_nonfatal+X124*c_tia+Y124*c_minor_bleed</f>
        <v>0.0180666745133223</v>
      </c>
      <c r="AI124" s="57" t="n">
        <f aca="false">dt*(AF124*dec_mi+AD124*dec_major_bleed+Y124*dec_minor_bleed+X124*dec_tia)</f>
        <v>1.18761994948088E-008</v>
      </c>
      <c r="AJ124" s="57" t="n">
        <f aca="false">G124*L124+Z124+U124-AC124+V124-AD124+AE124</f>
        <v>9.81992135160498E-006</v>
      </c>
      <c r="AK124" s="57" t="n">
        <f aca="false">1-EXP(LN(1-E124)*hr_death_prior_stroke*dt)</f>
        <v>0.486272273512471</v>
      </c>
      <c r="AL124" s="57" t="n">
        <f aca="false">H124*(1-AK124)</f>
        <v>1.4638123159852E-006</v>
      </c>
      <c r="AM124" s="57" t="n">
        <f aca="false">(1-EXP(-r_stroke*F124*rr_stroke_prior*rr_asa_stroke*dt))</f>
        <v>0.0464178038964457</v>
      </c>
      <c r="AN124" s="57" t="n">
        <f aca="false">(1-EXP(-r_ich*rr_asa_ich*dt))</f>
        <v>0.00102357767802375</v>
      </c>
      <c r="AO124" s="57" t="n">
        <f aca="false">(1-EXP(-r_mb*rr_asa_mb*dt))</f>
        <v>0.00951809672747972</v>
      </c>
      <c r="AP124" s="57" t="n">
        <f aca="false">(1-EXP(-r_mi*rr_asa_mi*dt))</f>
        <v>0.00213413516393479</v>
      </c>
      <c r="AQ124" s="57" t="n">
        <f aca="false">(1-EXP(-r_tia*rr_asa_tia*dt))</f>
        <v>0.00312764565589152</v>
      </c>
      <c r="AR124" s="57" t="n">
        <f aca="false">(1-EXP(-r_minor*rr_asa_minor*dt))</f>
        <v>0.0278181950466747</v>
      </c>
      <c r="AS124" s="57" t="n">
        <f aca="false">AL124*AM124</f>
        <v>6.79469530246029E-008</v>
      </c>
      <c r="AT124" s="57" t="n">
        <f aca="false">AL124*AN124</f>
        <v>1.49832561145869E-009</v>
      </c>
      <c r="AU124" s="57" t="n">
        <f aca="false">AL124*AO124</f>
        <v>1.39327072144232E-008</v>
      </c>
      <c r="AV124" s="57" t="n">
        <f aca="false">AL124*AP124</f>
        <v>3.12397333694484E-009</v>
      </c>
      <c r="AW124" s="57" t="n">
        <f aca="false">AL124*AQ124</f>
        <v>4.57828623113161E-009</v>
      </c>
      <c r="AX124" s="57" t="n">
        <f aca="false">AL124*AR124</f>
        <v>4.07206165178009E-008</v>
      </c>
      <c r="AY124" s="57" t="n">
        <f aca="false">AS124*f_stroke_fatal_recur</f>
        <v>2.52823817509245E-008</v>
      </c>
      <c r="AZ124" s="57" t="n">
        <f aca="false">AS124*(1-f_stroke_fatal_recur)*f_stroke_major</f>
        <v>1.42073022341349E-008</v>
      </c>
      <c r="BA124" s="57" t="n">
        <f aca="false">AS124*(1-f_stroke_fatal_recur)*(1-f_stroke_major)</f>
        <v>2.84572690395435E-008</v>
      </c>
      <c r="BB124" s="57" t="n">
        <f aca="false">AT124*(1-f_bleed_fatal)</f>
        <v>1.37246626009616E-009</v>
      </c>
      <c r="BC124" s="57" t="n">
        <f aca="false">AU124*(1-f_bleed_fatal)</f>
        <v>1.27623598084117E-008</v>
      </c>
      <c r="BD124" s="57" t="n">
        <f aca="false">AV124*f_mi_fatal</f>
        <v>3.78000773770326E-010</v>
      </c>
      <c r="BE124" s="57" t="n">
        <f aca="false">AV124-BD124</f>
        <v>2.74597256317451E-009</v>
      </c>
      <c r="BF124" s="57" t="n">
        <f aca="false">AL124-AS124-AT124-AU124-BD124</f>
        <v>1.38005632936094E-006</v>
      </c>
      <c r="BG124" s="19" t="n">
        <f aca="false">AY124*c_stroke_fatal+AZ124*c_stroke_major+BA124*c_stroke_minor+AT124*c_ich+AU124*c_major_bleed+BD124*c_mi_fatal+BE124*c_mi_nonfatal+AW124*c_tia+AX124*c_minor_bleed</f>
        <v>0.00253988847089625</v>
      </c>
      <c r="BH124" s="57" t="n">
        <f aca="false">dt*(BE124*dec_mi+BC124*dec_major_bleed+AX124*dec_minor_bleed+AW124*dec_tia)</f>
        <v>6.29578792327164E-010</v>
      </c>
      <c r="BI124" s="57" t="n">
        <f aca="false">H124*AK124+AY124+AT124-BB124+AU124-BC124+BD124</f>
        <v>1.41253752289546E-006</v>
      </c>
      <c r="BJ124" s="57" t="n">
        <f aca="false">1-EXP(LN(1-E124)*hr_death_prior_stroke*dt)</f>
        <v>0.486272273512471</v>
      </c>
      <c r="BK124" s="57" t="n">
        <f aca="false">I124*(1-BJ124)</f>
        <v>6.88736624534742E-007</v>
      </c>
      <c r="BL124" s="57" t="n">
        <f aca="false">(1-EXP(-r_stroke*F124*rr_stroke_prior*rr_asa_stroke*dt))</f>
        <v>0.0464178038964457</v>
      </c>
      <c r="BM124" s="57" t="n">
        <f aca="false">(1-EXP(-r_ich*rr_asa_ich*dt))</f>
        <v>0.00102357767802375</v>
      </c>
      <c r="BN124" s="57" t="n">
        <f aca="false">(1-EXP(-r_mb*rr_asa_mb*dt))</f>
        <v>0.00951809672747972</v>
      </c>
      <c r="BO124" s="57" t="n">
        <f aca="false">(1-EXP(-r_mi*rr_asa_mi*dt))</f>
        <v>0.00213413516393479</v>
      </c>
      <c r="BP124" s="57" t="n">
        <f aca="false">(1-EXP(-r_tia*rr_asa_tia*dt))</f>
        <v>0.00312764565589152</v>
      </c>
      <c r="BQ124" s="57" t="n">
        <f aca="false">(1-EXP(-r_minor*rr_asa_minor*dt))</f>
        <v>0.0278181950466747</v>
      </c>
      <c r="BR124" s="57" t="n">
        <f aca="false">BK124*BL124</f>
        <v>3.19696415739536E-008</v>
      </c>
      <c r="BS124" s="57" t="n">
        <f aca="false">BK124*BM124</f>
        <v>7.04975434911184E-010</v>
      </c>
      <c r="BT124" s="57" t="n">
        <f aca="false">BK124*BN124</f>
        <v>6.55546181207956E-009</v>
      </c>
      <c r="BU124" s="57" t="n">
        <f aca="false">BK124*BO124</f>
        <v>1.46985704910935E-009</v>
      </c>
      <c r="BV124" s="57" t="n">
        <f aca="false">BK124*BP124</f>
        <v>2.15412411177947E-009</v>
      </c>
      <c r="BW124" s="57" t="n">
        <f aca="false">BK124*BQ124</f>
        <v>1.91594097570958E-008</v>
      </c>
      <c r="BX124" s="57" t="n">
        <f aca="false">BR124*f_stroke_fatal_recur</f>
        <v>1.18955839332524E-008</v>
      </c>
      <c r="BY124" s="57" t="n">
        <f aca="false">BR124*(1-f_stroke_fatal_recur)*f_stroke_major</f>
        <v>6.6846611943535E-009</v>
      </c>
      <c r="BZ124" s="57" t="n">
        <f aca="false">BR124*(1-f_stroke_fatal_recur)*(1-f_stroke_major)</f>
        <v>1.33893964463477E-008</v>
      </c>
      <c r="CA124" s="57" t="n">
        <f aca="false">BS124*(1-f_bleed_fatal)</f>
        <v>6.45757498378644E-010</v>
      </c>
      <c r="CB124" s="57" t="n">
        <f aca="false">BT124*(1-f_bleed_fatal)</f>
        <v>6.00480301986487E-009</v>
      </c>
      <c r="CC124" s="57" t="n">
        <f aca="false">BU124*f_mi_fatal</f>
        <v>1.77852702942231E-010</v>
      </c>
      <c r="CD124" s="57" t="n">
        <f aca="false">BU124-CC124</f>
        <v>1.29200434616712E-009</v>
      </c>
      <c r="CE124" s="57" t="n">
        <f aca="false">BK124-BR124-BS124-BT124-CC124</f>
        <v>6.49328693010855E-007</v>
      </c>
      <c r="CF124" s="19" t="n">
        <f aca="false">BX124*c_stroke_fatal+BY124*c_stroke_major+BZ124*c_stroke_minor+BS124*c_ich+BT124*c_major_bleed+CC124*c_mi_fatal+CD124*c_mi_nonfatal+BV124*c_tia+BW124*c_minor_bleed</f>
        <v>0.00119503996040807</v>
      </c>
      <c r="CG124" s="57" t="n">
        <f aca="false">dt*(CD124*dec_mi+CB124*dec_major_bleed+BW124*dec_minor_bleed+BV124*dec_tia)</f>
        <v>2.96222382863497E-010</v>
      </c>
      <c r="CH124" s="57" t="n">
        <f aca="false">I124*BJ124+BX124+BS124-CA124+BT124-CB124+CC124</f>
        <v>6.64611381475441E-007</v>
      </c>
      <c r="CI124" s="57" t="n">
        <f aca="false">1-EXP(LN(1-E124)*dt)</f>
        <v>0.251431166108985</v>
      </c>
      <c r="CJ124" s="57" t="n">
        <f aca="false">J124*(1-CI124)</f>
        <v>3.16382935927083E-005</v>
      </c>
      <c r="CK124" s="57" t="n">
        <f aca="false">(1-EXP(-r_stroke*F124*rr_asa_stroke*dt))</f>
        <v>0.02137268456154</v>
      </c>
      <c r="CL124" s="57" t="n">
        <f aca="false">(1-EXP(-r_ich*rr_asa_ich*dt))</f>
        <v>0.00102357767802375</v>
      </c>
      <c r="CM124" s="57" t="n">
        <f aca="false">(1-EXP(-r_mb*rr_asa_mb*dt))</f>
        <v>0.00951809672747972</v>
      </c>
      <c r="CN124" s="57" t="n">
        <f aca="false">(1-EXP(-r_mi*rr_asa_mi*dt))</f>
        <v>0.00213413516393479</v>
      </c>
      <c r="CO124" s="57" t="n">
        <f aca="false">(1-EXP(-r_tia*rr_asa_tia*dt))</f>
        <v>0.00312764565589152</v>
      </c>
      <c r="CP124" s="57" t="n">
        <f aca="false">(1-EXP(-r_minor*rr_asa_minor*dt))</f>
        <v>0.0278181950466747</v>
      </c>
      <c r="CQ124" s="57" t="n">
        <f aca="false">CJ124*CK124</f>
        <v>6.76195269022346E-007</v>
      </c>
      <c r="CR124" s="57" t="n">
        <f aca="false">CJ124*CL124</f>
        <v>3.2384251092258E-008</v>
      </c>
      <c r="CS124" s="57" t="n">
        <f aca="false">CJ124*CM124</f>
        <v>3.011363387078E-007</v>
      </c>
      <c r="CT124" s="57" t="n">
        <f aca="false">CJ124*CN124</f>
        <v>6.75203948830917E-008</v>
      </c>
      <c r="CU124" s="57" t="n">
        <f aca="false">CJ124*CO124</f>
        <v>9.89533715150548E-008</v>
      </c>
      <c r="CV124" s="57" t="n">
        <f aca="false">CJ124*CP124</f>
        <v>8.80120222105919E-007</v>
      </c>
      <c r="CW124" s="57" t="n">
        <f aca="false">CQ124*f_stroke_fatal</f>
        <v>1.60258278758296E-007</v>
      </c>
      <c r="CX124" s="57" t="n">
        <f aca="false">CQ124*(1-f_stroke_fatal)*f_stroke_major</f>
        <v>1.71807017757929E-007</v>
      </c>
      <c r="CY124" s="57" t="n">
        <f aca="false">CQ124*(1-f_stroke_fatal)*(1-f_stroke_major)</f>
        <v>3.44129972506121E-007</v>
      </c>
      <c r="CZ124" s="57" t="n">
        <f aca="false">CR124*(1-f_bleed_fatal)</f>
        <v>2.96639740005083E-008</v>
      </c>
      <c r="DA124" s="57" t="n">
        <f aca="false">CS124*(1-f_bleed_fatal)</f>
        <v>2.75840886256345E-007</v>
      </c>
      <c r="DB124" s="57" t="n">
        <f aca="false">CT124*f_mi_fatal</f>
        <v>8.16996778085409E-009</v>
      </c>
      <c r="DC124" s="57" t="n">
        <f aca="false">CT124-DB124</f>
        <v>5.93504271022376E-008</v>
      </c>
      <c r="DD124" s="57" t="n">
        <f aca="false">CJ124-CQ124-CR124-CS124-DB124</f>
        <v>3.06204077661051E-005</v>
      </c>
      <c r="DE124" s="19" t="n">
        <f aca="false">CW124*c_stroke_fatal+CX124*c_stroke_major+CY124*c_stroke_minor+CR124*c_ich+CS124*c_major_bleed+DB124*c_mi_fatal+DC124*c_mi_nonfatal+CU124*c_tia+CV124*c_minor_bleed</f>
        <v>0.0292441706054707</v>
      </c>
      <c r="DF124" s="57" t="n">
        <f aca="false">dt*(DC124*dec_mi+DA124*dec_major_bleed+CV124*dec_minor_bleed+CU124*dec_tia)</f>
        <v>1.36074812691978E-008</v>
      </c>
      <c r="DG124" s="57" t="n">
        <f aca="false">J124*CI124+CW124+CR124-CZ124+CS124-DA124+DB124</f>
        <v>1.08231929022489E-005</v>
      </c>
      <c r="DH124" s="57" t="n">
        <f aca="false">AG124</f>
        <v>2.81888675833389E-005</v>
      </c>
      <c r="DI124" s="57" t="n">
        <f aca="false">AB124+AC124+BF124+BA124+BB124+BC124+CY124+CZ124</f>
        <v>2.04418117869802E-006</v>
      </c>
      <c r="DJ124" s="57" t="n">
        <f aca="false">AA124+AZ124+BY124+CX124+CE124+BZ124+CA124+CB124</f>
        <v>9.59261133596048E-007</v>
      </c>
      <c r="DK124" s="57" t="n">
        <f aca="false">AD124+DD124+DA124</f>
        <v>3.11172167466954E-005</v>
      </c>
      <c r="DL124" s="57" t="n">
        <f aca="false">K124+AJ124+BI124+CH124+DG124</f>
        <v>0.999937690473359</v>
      </c>
      <c r="DM124" s="58" t="n">
        <f aca="false">SUM(DH124:DL124)</f>
        <v>1</v>
      </c>
      <c r="DN124" s="19" t="n">
        <f aca="false">dt*(G124*Warfarin!$H$2+(H124+I124+J124)*c_aspirin)</f>
        <v>0.00415877874138857</v>
      </c>
      <c r="DO124" s="19" t="n">
        <f aca="false">dt*(H124*c_lt_minor_stroke+I124*c_lt_major_stroke)</f>
        <v>0.0164555872080428</v>
      </c>
      <c r="DP124" s="19" t="n">
        <f aca="false">AH124+BG124+CF124+DE124</f>
        <v>0.0510457735500973</v>
      </c>
      <c r="DQ124" s="19" t="n">
        <f aca="false">DN124+DO124+DP124</f>
        <v>0.0716601394995286</v>
      </c>
      <c r="DR124" s="57" t="n">
        <f aca="false">dt*(G124*(u_af-dec_per_year_over_70*MAX(B124-ref_age,0))+H124*(u_minor_stroke-dec_per_year_over_70*MAX(B124-ref_age,0))+I124*(u_major_stroke-dec_per_year_over_70*MAX(B124-ref_age,0))+J124*(u_af-dec_per_year_over_70*MAX(B124-ref_age,0)))-AI124-BH124-CG124-DF124</f>
        <v>1.68075162599257E-005</v>
      </c>
      <c r="DS124" s="57" t="n">
        <f aca="false">dt*(G124+H124+I124+J124)</f>
        <v>2.12574474501383E-005</v>
      </c>
      <c r="DT124" s="19" t="n">
        <f aca="false">DQ124*C124</f>
        <v>0.0461880261380645</v>
      </c>
      <c r="DU124" s="19" t="n">
        <f aca="false">DN124*C124</f>
        <v>0.00268051084677201</v>
      </c>
      <c r="DV124" s="19" t="n">
        <f aca="false">DP124*C124</f>
        <v>0.0329011852256459</v>
      </c>
      <c r="DW124" s="19" t="n">
        <f aca="false">DO124*C124</f>
        <v>0.0106063300656466</v>
      </c>
      <c r="DX124" s="57" t="n">
        <f aca="false">DR124*C124</f>
        <v>1.0833163398105E-005</v>
      </c>
      <c r="DY124" s="57" t="n">
        <f aca="false">DS124*C124</f>
        <v>1.37013344561237E-005</v>
      </c>
      <c r="DZ124" s="57" t="n">
        <f aca="false">T124+AS124+BR124+CQ124</f>
        <v>1.15864447133025E-006</v>
      </c>
      <c r="EA124" s="57" t="n">
        <f aca="false">U124+AT124+BS124+CR124</f>
        <v>9.25132404293965E-008</v>
      </c>
      <c r="EB124" s="57" t="n">
        <f aca="false">V124+AU124+BT124+CS124</f>
        <v>5.62856051767019E-007</v>
      </c>
      <c r="EC124" s="57" t="n">
        <f aca="false">G124*dt*C124</f>
        <v>6.21575945818956E-006</v>
      </c>
    </row>
    <row r="125" customFormat="false" ht="15" hidden="false" customHeight="false" outlineLevel="0" collapsed="false">
      <c r="A125" s="8" t="n">
        <v>119</v>
      </c>
      <c r="B125" s="54" t="n">
        <f aca="false">start_age+A125*dt</f>
        <v>99.75</v>
      </c>
      <c r="C125" s="16" t="n">
        <f aca="false">(1+disc_rate)^-(A125*dt)</f>
        <v>0.642148160906862</v>
      </c>
      <c r="D125" s="55" t="n">
        <f aca="false">IF(A125*dt&gt;=wane_start,(1-wane_decay)^(A125*dt-wane_start),1)</f>
        <v>1</v>
      </c>
      <c r="E125" s="25" t="n">
        <f aca="false">MIN(p_nonvasc_death*MIN(EXP(gomp_int+gomp_slope*INT(B125)),1)/qx_ref,0.999)</f>
        <v>0.68600193880086</v>
      </c>
      <c r="F125" s="55" t="n">
        <f aca="false">rr_stroke_per_decade^((B125-ref_age)/10)</f>
        <v>3.34096168979844</v>
      </c>
      <c r="G125" s="57" t="n">
        <f aca="false">DH124</f>
        <v>2.81888675833389E-005</v>
      </c>
      <c r="H125" s="57" t="n">
        <f aca="false">DI124</f>
        <v>2.04418117869802E-006</v>
      </c>
      <c r="I125" s="57" t="n">
        <f aca="false">DJ124</f>
        <v>9.59261133596048E-007</v>
      </c>
      <c r="J125" s="57" t="n">
        <f aca="false">DK124</f>
        <v>3.11172167466954E-005</v>
      </c>
      <c r="K125" s="57" t="n">
        <f aca="false">DL124</f>
        <v>0.999937690473359</v>
      </c>
      <c r="L125" s="57" t="n">
        <f aca="false">1-EXP(LN(1-E125)*dt)</f>
        <v>0.251431166108985</v>
      </c>
      <c r="M125" s="57" t="n">
        <f aca="false">G125*(1-L125)</f>
        <v>2.11013077355682E-005</v>
      </c>
      <c r="N125" s="57" t="n">
        <f aca="false">IF(Warfarin!$B$2=1,EXP(LN(or_apx_stroke)*D125)*(1-EXP(-r_stroke*F125*dt))/(1-(1-EXP(-r_stroke*F125*dt))+EXP(LN(or_apx_stroke)*D125)*(1-EXP(-r_stroke*F125*dt))),(1-EXP(-r_stroke*F125*dt)))</f>
        <v>0.0133815717129971</v>
      </c>
      <c r="O125" s="57" t="n">
        <f aca="false">IF(Warfarin!$B$2=1,EXP(LN(or_apx_ich)*D125)*(1-EXP(-r_ich*dt))/(1-(1-EXP(-r_ich*dt))+EXP(LN(or_apx_ich)*D125)*(1-EXP(-r_ich*dt))),(1-EXP(-r_ich*dt)))</f>
        <v>0.0020060281549299</v>
      </c>
      <c r="P125" s="57" t="n">
        <f aca="false">IF(Warfarin!$B$2=1,EXP(LN(or_apx_mb)*D125)*(1-EXP(-r_mb*dt))/(1-(1-EXP(-r_mb*dt))+EXP(LN(or_apx_mb)*D125)*(1-EXP(-r_mb*dt))),(1-EXP(-r_mb*dt)))</f>
        <v>0.00835410477572107</v>
      </c>
      <c r="Q125" s="57" t="n">
        <f aca="false">IF(Warfarin!$B$2=1,EXP(LN(or_apx_mi)*D125)*(1-EXP(-r_mi*dt))/(1-(1-EXP(-r_mi*dt))+EXP(LN(or_apx_mi)*D125)*(1-EXP(-r_mi*dt))),(1-EXP(-r_mi*dt)))</f>
        <v>0.00150338686144691</v>
      </c>
      <c r="R125" s="57" t="n">
        <f aca="false">(1-EXP(-r_tia*dt))</f>
        <v>0.0020060281549299</v>
      </c>
      <c r="S125" s="57" t="n">
        <f aca="false">(1-EXP(-r_minor*dt))</f>
        <v>0.0437937690785545</v>
      </c>
      <c r="T125" s="57" t="n">
        <f aca="false">M125*N125</f>
        <v>2.82368662701527E-007</v>
      </c>
      <c r="U125" s="57" t="n">
        <f aca="false">M125*O125</f>
        <v>4.23298174233898E-008</v>
      </c>
      <c r="V125" s="57" t="n">
        <f aca="false">M125*P125</f>
        <v>1.7628253572767E-007</v>
      </c>
      <c r="W125" s="57" t="n">
        <f aca="false">M125*Q125</f>
        <v>3.17234288090013E-008</v>
      </c>
      <c r="X125" s="57" t="n">
        <f aca="false">M125*R125</f>
        <v>4.23298174233898E-008</v>
      </c>
      <c r="Y125" s="57" t="n">
        <f aca="false">M125*S125</f>
        <v>9.2410579822699E-007</v>
      </c>
      <c r="Z125" s="57" t="n">
        <f aca="false">T125*f_stroke_fatal</f>
        <v>6.6921373060262E-008</v>
      </c>
      <c r="AA125" s="57" t="n">
        <f aca="false">T125*(1-f_stroke_fatal)*f_stroke_major</f>
        <v>7.17439474505414E-008</v>
      </c>
      <c r="AB125" s="57" t="n">
        <f aca="false">T125*(1-f_stroke_fatal)*(1-f_stroke_major)</f>
        <v>1.43703342190724E-007</v>
      </c>
      <c r="AC125" s="57" t="n">
        <f aca="false">U125*(1-f_bleed_fatal)</f>
        <v>3.87741127598251E-008</v>
      </c>
      <c r="AD125" s="57" t="n">
        <f aca="false">V125*(1-f_bleed_fatal)</f>
        <v>1.61474802726546E-007</v>
      </c>
      <c r="AE125" s="57" t="n">
        <f aca="false">W125*f_mi_fatal</f>
        <v>3.83853488588916E-009</v>
      </c>
      <c r="AF125" s="57" t="n">
        <f aca="false">W125-AE125</f>
        <v>2.78848939231121E-008</v>
      </c>
      <c r="AG125" s="57" t="n">
        <f aca="false">M125-T125-U125-V125-AE125</f>
        <v>2.05964881848297E-005</v>
      </c>
      <c r="AH125" s="19" t="n">
        <f aca="false">Z125*c_stroke_fatal+AA125*c_stroke_major+AB125*c_stroke_minor+U125*c_ich+V125*c_major_bleed+AE125*c_mi_fatal+AF125*c_mi_nonfatal+X125*c_tia+Y125*c_minor_bleed</f>
        <v>0.013306935690971</v>
      </c>
      <c r="AI125" s="57" t="n">
        <f aca="false">dt*(AF125*dec_mi+AD125*dec_major_bleed+Y125*dec_minor_bleed+X125*dec_tia)</f>
        <v>8.67866004069782E-009</v>
      </c>
      <c r="AJ125" s="57" t="n">
        <f aca="false">G125*L125+Z125+U125-AC125+V125-AD125+AE125</f>
        <v>7.1766831933815E-006</v>
      </c>
      <c r="AK125" s="57" t="n">
        <f aca="false">1-EXP(LN(1-E125)*hr_death_prior_stroke*dt)</f>
        <v>0.486272273512471</v>
      </c>
      <c r="AL125" s="57" t="n">
        <f aca="false">H125*(1-AK125)</f>
        <v>1.05015254946113E-006</v>
      </c>
      <c r="AM125" s="57" t="n">
        <f aca="false">(1-EXP(-r_stroke*F125*rr_stroke_prior*rr_asa_stroke*dt))</f>
        <v>0.0468794552644585</v>
      </c>
      <c r="AN125" s="57" t="n">
        <f aca="false">(1-EXP(-r_ich*rr_asa_ich*dt))</f>
        <v>0.00102357767802375</v>
      </c>
      <c r="AO125" s="57" t="n">
        <f aca="false">(1-EXP(-r_mb*rr_asa_mb*dt))</f>
        <v>0.00951809672747972</v>
      </c>
      <c r="AP125" s="57" t="n">
        <f aca="false">(1-EXP(-r_mi*rr_asa_mi*dt))</f>
        <v>0.00213413516393479</v>
      </c>
      <c r="AQ125" s="57" t="n">
        <f aca="false">(1-EXP(-r_tia*rr_asa_tia*dt))</f>
        <v>0.00312764565589152</v>
      </c>
      <c r="AR125" s="57" t="n">
        <f aca="false">(1-EXP(-r_minor*rr_asa_minor*dt))</f>
        <v>0.0278181950466747</v>
      </c>
      <c r="AS125" s="57" t="n">
        <f aca="false">AL125*AM125</f>
        <v>4.92305794633201E-008</v>
      </c>
      <c r="AT125" s="57" t="n">
        <f aca="false">AL125*AN125</f>
        <v>1.07491270814814E-009</v>
      </c>
      <c r="AU125" s="57" t="n">
        <f aca="false">AL125*AO125</f>
        <v>9.99545354438048E-009</v>
      </c>
      <c r="AV125" s="57" t="n">
        <f aca="false">AL125*AP125</f>
        <v>2.24116748330077E-009</v>
      </c>
      <c r="AW125" s="57" t="n">
        <f aca="false">AL125*AQ125</f>
        <v>3.28450505934551E-009</v>
      </c>
      <c r="AX125" s="57" t="n">
        <f aca="false">AL125*AR125</f>
        <v>2.92133484496725E-008</v>
      </c>
      <c r="AY125" s="57" t="n">
        <f aca="false">AS125*f_stroke_fatal_recur</f>
        <v>1.83182063125068E-008</v>
      </c>
      <c r="AZ125" s="57" t="n">
        <f aca="false">AS125*(1-f_stroke_fatal_recur)*f_stroke_major</f>
        <v>1.02938202592208E-008</v>
      </c>
      <c r="BA125" s="57" t="n">
        <f aca="false">AS125*(1-f_stroke_fatal_recur)*(1-f_stroke_major)</f>
        <v>2.06185528915925E-008</v>
      </c>
      <c r="BB125" s="57" t="n">
        <f aca="false">AT125*(1-f_bleed_fatal)</f>
        <v>9.84620040663698E-010</v>
      </c>
      <c r="BC125" s="57" t="n">
        <f aca="false">AU125*(1-f_bleed_fatal)</f>
        <v>9.15583544665252E-009</v>
      </c>
      <c r="BD125" s="57" t="n">
        <f aca="false">AV125*f_mi_fatal</f>
        <v>2.71181265479393E-010</v>
      </c>
      <c r="BE125" s="57" t="n">
        <f aca="false">AV125-BD125</f>
        <v>1.96998621782138E-009</v>
      </c>
      <c r="BF125" s="57" t="n">
        <f aca="false">AL125-AS125-AT125-AU125-BD125</f>
        <v>9.89580422479803E-007</v>
      </c>
      <c r="BG125" s="19" t="n">
        <f aca="false">AY125*c_stroke_fatal+AZ125*c_stroke_major+BA125*c_stroke_minor+AT125*c_ich+AU125*c_major_bleed+BD125*c_mi_fatal+BE125*c_mi_nonfatal+AW125*c_tia+AX125*c_minor_bleed</f>
        <v>0.00183885536739216</v>
      </c>
      <c r="BH125" s="57" t="n">
        <f aca="false">dt*(BE125*dec_mi+BC125*dec_major_bleed+AX125*dec_minor_bleed+AW125*dec_tia)</f>
        <v>4.51665672319508E-010</v>
      </c>
      <c r="BI125" s="57" t="n">
        <f aca="false">H125*AK125+AY125+AT125-BB125+AU125-BC125+BD125</f>
        <v>1.01354792758009E-006</v>
      </c>
      <c r="BJ125" s="57" t="n">
        <f aca="false">1-EXP(LN(1-E125)*hr_death_prior_stroke*dt)</f>
        <v>0.486272273512471</v>
      </c>
      <c r="BK125" s="57" t="n">
        <f aca="false">I125*(1-BJ125)</f>
        <v>4.92799041270148E-007</v>
      </c>
      <c r="BL125" s="57" t="n">
        <f aca="false">(1-EXP(-r_stroke*F125*rr_stroke_prior*rr_asa_stroke*dt))</f>
        <v>0.0468794552644585</v>
      </c>
      <c r="BM125" s="57" t="n">
        <f aca="false">(1-EXP(-r_ich*rr_asa_ich*dt))</f>
        <v>0.00102357767802375</v>
      </c>
      <c r="BN125" s="57" t="n">
        <f aca="false">(1-EXP(-r_mb*rr_asa_mb*dt))</f>
        <v>0.00951809672747972</v>
      </c>
      <c r="BO125" s="57" t="n">
        <f aca="false">(1-EXP(-r_mi*rr_asa_mi*dt))</f>
        <v>0.00213413516393479</v>
      </c>
      <c r="BP125" s="57" t="n">
        <f aca="false">(1-EXP(-r_tia*rr_asa_tia*dt))</f>
        <v>0.00312764565589152</v>
      </c>
      <c r="BQ125" s="57" t="n">
        <f aca="false">(1-EXP(-r_minor*rr_asa_minor*dt))</f>
        <v>0.0278181950466747</v>
      </c>
      <c r="BR125" s="57" t="n">
        <f aca="false">BK125*BL125</f>
        <v>2.31021506095919E-008</v>
      </c>
      <c r="BS125" s="57" t="n">
        <f aca="false">BK125*BM125</f>
        <v>5.04418098395626E-010</v>
      </c>
      <c r="BT125" s="57" t="n">
        <f aca="false">BK125*BN125</f>
        <v>4.69050894201854E-009</v>
      </c>
      <c r="BU125" s="57" t="n">
        <f aca="false">BK125*BO125</f>
        <v>1.05169976272797E-009</v>
      </c>
      <c r="BV125" s="57" t="n">
        <f aca="false">BK125*BP125</f>
        <v>1.54130078065608E-009</v>
      </c>
      <c r="BW125" s="57" t="n">
        <f aca="false">BK125*BQ125</f>
        <v>1.37087798488673E-008</v>
      </c>
      <c r="BX125" s="57" t="n">
        <f aca="false">BR125*f_stroke_fatal_recur</f>
        <v>8.59607922032305E-009</v>
      </c>
      <c r="BY125" s="57" t="n">
        <f aca="false">BR125*(1-f_stroke_fatal_recur)*f_stroke_major</f>
        <v>4.83052177262653E-009</v>
      </c>
      <c r="BZ125" s="57" t="n">
        <f aca="false">BR125*(1-f_stroke_fatal_recur)*(1-f_stroke_major)</f>
        <v>9.67554961664233E-009</v>
      </c>
      <c r="CA125" s="57" t="n">
        <f aca="false">BS125*(1-f_bleed_fatal)</f>
        <v>4.62046978130393E-010</v>
      </c>
      <c r="CB125" s="57" t="n">
        <f aca="false">BT125*(1-f_bleed_fatal)</f>
        <v>4.29650619088898E-009</v>
      </c>
      <c r="CC125" s="57" t="n">
        <f aca="false">BU125*f_mi_fatal</f>
        <v>1.27255671290085E-010</v>
      </c>
      <c r="CD125" s="57" t="n">
        <f aca="false">BU125-CC125</f>
        <v>9.2444409143789E-010</v>
      </c>
      <c r="CE125" s="57" t="n">
        <f aca="false">BK125-BR125-BS125-BT125-CC125</f>
        <v>4.64374707948852E-007</v>
      </c>
      <c r="CF125" s="19" t="n">
        <f aca="false">BX125*c_stroke_fatal+BY125*c_stroke_major+BZ125*c_stroke_minor+BS125*c_ich+BT125*c_major_bleed+CC125*c_mi_fatal+CD125*c_mi_nonfatal+BV125*c_tia+BW125*c_minor_bleed</f>
        <v>0.000862909072163197</v>
      </c>
      <c r="CG125" s="57" t="n">
        <f aca="false">dt*(CD125*dec_mi+CB125*dec_major_bleed+BW125*dec_minor_bleed+BV125*dec_tia)</f>
        <v>2.11950549858593E-010</v>
      </c>
      <c r="CH125" s="57" t="n">
        <f aca="false">I125*BJ125+BX125+BS125-CA125+BT125-CB125+CC125</f>
        <v>4.75621801088908E-007</v>
      </c>
      <c r="CI125" s="57" t="n">
        <f aca="false">1-EXP(LN(1-E125)*dt)</f>
        <v>0.251431166108985</v>
      </c>
      <c r="CJ125" s="57" t="n">
        <f aca="false">J125*(1-CI125)</f>
        <v>2.32933786540077E-005</v>
      </c>
      <c r="CK125" s="57" t="n">
        <f aca="false">(1-EXP(-r_stroke*F125*rr_asa_stroke*dt))</f>
        <v>0.0215880658633875</v>
      </c>
      <c r="CL125" s="57" t="n">
        <f aca="false">(1-EXP(-r_ich*rr_asa_ich*dt))</f>
        <v>0.00102357767802375</v>
      </c>
      <c r="CM125" s="57" t="n">
        <f aca="false">(1-EXP(-r_mb*rr_asa_mb*dt))</f>
        <v>0.00951809672747972</v>
      </c>
      <c r="CN125" s="57" t="n">
        <f aca="false">(1-EXP(-r_mi*rr_asa_mi*dt))</f>
        <v>0.00213413516393479</v>
      </c>
      <c r="CO125" s="57" t="n">
        <f aca="false">(1-EXP(-r_tia*rr_asa_tia*dt))</f>
        <v>0.00312764565589152</v>
      </c>
      <c r="CP125" s="57" t="n">
        <f aca="false">(1-EXP(-r_minor*rr_asa_minor*dt))</f>
        <v>0.0278181950466747</v>
      </c>
      <c r="CQ125" s="57" t="n">
        <f aca="false">CJ125*CK125</f>
        <v>5.02858992563543E-007</v>
      </c>
      <c r="CR125" s="57" t="n">
        <f aca="false">CJ125*CL125</f>
        <v>2.38425824359971E-008</v>
      </c>
      <c r="CS125" s="57" t="n">
        <f aca="false">CJ125*CM125</f>
        <v>2.21708631138657E-007</v>
      </c>
      <c r="CT125" s="57" t="n">
        <f aca="false">CJ125*CN125</f>
        <v>4.9711218472366E-008</v>
      </c>
      <c r="CU125" s="57" t="n">
        <f aca="false">CJ125*CO125</f>
        <v>7.28534345582436E-008</v>
      </c>
      <c r="CV125" s="57" t="n">
        <f aca="false">CJ125*CP125</f>
        <v>6.47979750693236E-007</v>
      </c>
      <c r="CW125" s="57" t="n">
        <f aca="false">CQ125*f_stroke_fatal</f>
        <v>1.1917758123756E-007</v>
      </c>
      <c r="CX125" s="57" t="n">
        <f aca="false">CQ125*(1-f_stroke_fatal)*f_stroke_major</f>
        <v>1.27765909971552E-007</v>
      </c>
      <c r="CY125" s="57" t="n">
        <f aca="false">CQ125*(1-f_stroke_fatal)*(1-f_stroke_major)</f>
        <v>2.55915501354431E-007</v>
      </c>
      <c r="CZ125" s="57" t="n">
        <f aca="false">CR125*(1-f_bleed_fatal)</f>
        <v>2.18398055113734E-008</v>
      </c>
      <c r="DA125" s="57" t="n">
        <f aca="false">CS125*(1-f_bleed_fatal)</f>
        <v>2.0308510612301E-007</v>
      </c>
      <c r="DB125" s="57" t="n">
        <f aca="false">CT125*f_mi_fatal</f>
        <v>6.01505743515628E-009</v>
      </c>
      <c r="DC125" s="57" t="n">
        <f aca="false">CT125-DB125</f>
        <v>4.36961610372097E-008</v>
      </c>
      <c r="DD125" s="57" t="n">
        <f aca="false">CJ125-CQ125-CR125-CS125-DB125</f>
        <v>2.25389533904344E-005</v>
      </c>
      <c r="DE125" s="19" t="n">
        <f aca="false">CW125*c_stroke_fatal+CX125*c_stroke_major+CY125*c_stroke_minor+CR125*c_ich+CS125*c_major_bleed+DB125*c_mi_fatal+DC125*c_mi_nonfatal+CU125*c_tia+CV125*c_minor_bleed</f>
        <v>0.0217160941617082</v>
      </c>
      <c r="DF125" s="57" t="n">
        <f aca="false">dt*(DC125*dec_mi+DA125*dec_major_bleed+CV125*dec_minor_bleed+CU125*dec_tia)</f>
        <v>1.00183726028698E-008</v>
      </c>
      <c r="DG125" s="57" t="n">
        <f aca="false">J125*CI125+CW125+CR125-CZ125+CS125-DA125+DB125</f>
        <v>7.96965703330065E-006</v>
      </c>
      <c r="DH125" s="57" t="n">
        <f aca="false">AG125</f>
        <v>2.05964881848297E-005</v>
      </c>
      <c r="DI125" s="57" t="n">
        <f aca="false">AB125+AC125+BF125+BA125+BB125+BC125+CY125+CZ125</f>
        <v>1.48057219267507E-006</v>
      </c>
      <c r="DJ125" s="57" t="n">
        <f aca="false">AA125+AZ125+BY125+CX125+CE125+BZ125+CA125+CB125</f>
        <v>6.93443010188454E-007</v>
      </c>
      <c r="DK125" s="57" t="n">
        <f aca="false">AD125+DD125+DA125</f>
        <v>2.29035132992839E-005</v>
      </c>
      <c r="DL125" s="57" t="n">
        <f aca="false">K125+AJ125+BI125+CH125+DG125</f>
        <v>0.999954325983314</v>
      </c>
      <c r="DM125" s="58" t="n">
        <f aca="false">SUM(DH125:DL125)</f>
        <v>1</v>
      </c>
      <c r="DN125" s="19" t="n">
        <f aca="false">dt*(G125*Warfarin!$H$2+(H125+I125+J125)*c_aspirin)</f>
        <v>0.00304076155169209</v>
      </c>
      <c r="DO125" s="19" t="n">
        <f aca="false">dt*(H125*c_lt_minor_stroke+I125*c_lt_major_stroke)</f>
        <v>0.0117887811604873</v>
      </c>
      <c r="DP125" s="19" t="n">
        <f aca="false">AH125+BG125+CF125+DE125</f>
        <v>0.0377247942922345</v>
      </c>
      <c r="DQ125" s="19" t="n">
        <f aca="false">DN125+DO125+DP125</f>
        <v>0.0525543370044139</v>
      </c>
      <c r="DR125" s="57" t="n">
        <f aca="false">dt*(G125*(u_af-dec_per_year_over_70*MAX(B125-ref_age,0))+H125*(u_minor_stroke-dec_per_year_over_70*MAX(B125-ref_age,0))+I125*(u_major_stroke-dec_per_year_over_70*MAX(B125-ref_age,0))+J125*(u_af-dec_per_year_over_70*MAX(B125-ref_age,0)))-AI125-BH125-CG125-DF125</f>
        <v>1.23187741019539E-005</v>
      </c>
      <c r="DS125" s="57" t="n">
        <f aca="false">dt*(G125+H125+I125+J125)</f>
        <v>1.55773816605821E-005</v>
      </c>
      <c r="DT125" s="19" t="n">
        <f aca="false">DQ125*C125</f>
        <v>0.0337476708550638</v>
      </c>
      <c r="DU125" s="19" t="n">
        <f aca="false">DN125*C125</f>
        <v>0.00195261943817537</v>
      </c>
      <c r="DV125" s="19" t="n">
        <f aca="false">DP125*C125</f>
        <v>0.0242249072753481</v>
      </c>
      <c r="DW125" s="19" t="n">
        <f aca="false">DO125*C125</f>
        <v>0.00757014414154037</v>
      </c>
      <c r="DX125" s="57" t="n">
        <f aca="false">DR125*C125</f>
        <v>7.91047813419679E-006</v>
      </c>
      <c r="DY125" s="57" t="n">
        <f aca="false">DS125*C125</f>
        <v>1.00029869850871E-005</v>
      </c>
      <c r="DZ125" s="57" t="n">
        <f aca="false">T125+AS125+BR125+CQ125</f>
        <v>8.57560385337982E-007</v>
      </c>
      <c r="EA125" s="57" t="n">
        <f aca="false">U125+AT125+BS125+CR125</f>
        <v>6.77517306659307E-008</v>
      </c>
      <c r="EB125" s="57" t="n">
        <f aca="false">V125+AU125+BT125+CS125</f>
        <v>4.12677129352726E-007</v>
      </c>
      <c r="EC125" s="57" t="n">
        <f aca="false">G125*dt*C125</f>
        <v>4.52535736917203E-006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2026-10-28T17:30:32Z</dcterms:created>
  <dc:creator>openpyxl</dc:creator>
  <dc:description/>
  <dc:language>en-US</dc:language>
  <cp:lastModifiedBy/>
  <dcterms:modified xsi:type="dcterms:W3CDTF">2026-10-28T17:30:32Z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